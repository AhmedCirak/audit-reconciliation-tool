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firstSheet="1" activeTab="0"/>
  </bookViews>
  <sheets>
    <sheet name="Summary" sheetId="4" r:id="rId4"/>
    <sheet name="Exceptions" sheetId="6" r:id="rId6"/>
    <sheet name="Reconciliation" sheetId="3" r:id="rId3"/>
    <sheet name="GL_Data" sheetId="1" r:id="rId1"/>
    <sheet name="Bank_Data" sheetId="2" r:id="rId2"/>
    <sheet name="Sheet1" sheetId="5" r:id="rId5"/>
  </sheets>
  <definedNames>
    <definedName name="Slicer_Category">#N/A</definedName>
    <definedName name="Slicer_Has_Duplicate_ID">#N/A</definedName>
    <definedName name="Slicer_Status">#N/A</definedName>
  </definedNames>
  <calcPr calcId="144525" fullCalcOnLoad="1"/>
  <pivotCaches>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<sst xmlns="http://schemas.openxmlformats.org/spreadsheetml/2006/main" count="14236" uniqueCount="1114">
  <si>
    <t>Transaction_ID</t>
  </si>
  <si>
    <t>Date</t>
  </si>
  <si>
    <t>Description</t>
  </si>
  <si>
    <t>Category</t>
  </si>
  <si>
    <t>Amount</t>
  </si>
  <si>
    <t>Account</t>
  </si>
  <si>
    <t>Is_Duplicate</t>
  </si>
  <si>
    <t>TXN-00458</t>
  </si>
  <si>
    <t>Rent payment</t>
  </si>
  <si>
    <t>Rent</t>
  </si>
  <si>
    <t>No</t>
  </si>
  <si>
    <t>TXN-00930</t>
  </si>
  <si>
    <t>Hotel accommodation</t>
  </si>
  <si>
    <t>Travel &amp; Entertainment</t>
  </si>
  <si>
    <t>TXN-00330</t>
  </si>
  <si>
    <t>Business trip - airfare</t>
  </si>
  <si>
    <t>TXN-00350</t>
  </si>
  <si>
    <t>Supplier invoice</t>
  </si>
  <si>
    <t>Vendor Payment</t>
  </si>
  <si>
    <t>TXN-00784</t>
  </si>
  <si>
    <t>TXN-00134</t>
  </si>
  <si>
    <t>Client dinner</t>
  </si>
  <si>
    <t>TXN-00121</t>
  </si>
  <si>
    <t>Stationery purchase</t>
  </si>
  <si>
    <t>Office Supplies</t>
  </si>
  <si>
    <t>TXN-00436</t>
  </si>
  <si>
    <t>TXN-00095</t>
  </si>
  <si>
    <t>Wire transfer fee</t>
  </si>
  <si>
    <t>Bank Fees</t>
  </si>
  <si>
    <t>TXN-00763</t>
  </si>
  <si>
    <t>Deposit interest credit</t>
  </si>
  <si>
    <t>Interest Income</t>
  </si>
  <si>
    <t>TXN-00456</t>
  </si>
  <si>
    <t>TXN-00007</t>
  </si>
  <si>
    <t>Customer deposit</t>
  </si>
  <si>
    <t>Sales Revenue</t>
  </si>
  <si>
    <t>TXN-00687</t>
  </si>
  <si>
    <t>TXN-00484</t>
  </si>
  <si>
    <t>Online ad campaign</t>
  </si>
  <si>
    <t>Marketing</t>
  </si>
  <si>
    <t>TXN-00769</t>
  </si>
  <si>
    <t>TXN-00815</t>
  </si>
  <si>
    <t>Trade fair booth</t>
  </si>
  <si>
    <t>TXN-00652</t>
  </si>
  <si>
    <t>Monthly office rent</t>
  </si>
  <si>
    <t>TXN-00734</t>
  </si>
  <si>
    <t>TXN-00536</t>
  </si>
  <si>
    <t>TXN-00819</t>
  </si>
  <si>
    <t>Warehouse lease</t>
  </si>
  <si>
    <t>TXN-00551</t>
  </si>
  <si>
    <t>TXN-00872</t>
  </si>
  <si>
    <t>Payroll transfer</t>
  </si>
  <si>
    <t>Payroll</t>
  </si>
  <si>
    <t>TXN-00237</t>
  </si>
  <si>
    <t>TXN-00598</t>
  </si>
  <si>
    <t>TXN-00818</t>
  </si>
  <si>
    <t>Vendor payment - materials</t>
  </si>
  <si>
    <t>TXN-00614</t>
  </si>
  <si>
    <t>Water utility</t>
  </si>
  <si>
    <t>Utilities</t>
  </si>
  <si>
    <t>TXN-00660</t>
  </si>
  <si>
    <t>TXN-00554</t>
  </si>
  <si>
    <t>TXN-00933</t>
  </si>
  <si>
    <t>Monthly salary run</t>
  </si>
  <si>
    <t>TXN-00802</t>
  </si>
  <si>
    <t>TXN-00806</t>
  </si>
  <si>
    <t>TXN-00447</t>
  </si>
  <si>
    <t>Internet &amp; telecom</t>
  </si>
  <si>
    <t>TXN-00742</t>
  </si>
  <si>
    <t>Print advertising</t>
  </si>
  <si>
    <t>TXN-00307</t>
  </si>
  <si>
    <t>Electricity bill</t>
  </si>
  <si>
    <t>TXN-00578</t>
  </si>
  <si>
    <t>TXN-00939</t>
  </si>
  <si>
    <t>TXN-00390</t>
  </si>
  <si>
    <t>TXN-00396</t>
  </si>
  <si>
    <t>Account maintenance fee</t>
  </si>
  <si>
    <t>TXN-00268</t>
  </si>
  <si>
    <t>TXN-00693</t>
  </si>
  <si>
    <t>Savings interest</t>
  </si>
  <si>
    <t>TXN-00120</t>
  </si>
  <si>
    <t>Contractor fee</t>
  </si>
  <si>
    <t>TXN-00042</t>
  </si>
  <si>
    <t>TXN-00387</t>
  </si>
  <si>
    <t>TXN-00160</t>
  </si>
  <si>
    <t>TXN-00735</t>
  </si>
  <si>
    <t>TXN-00035</t>
  </si>
  <si>
    <t>TXN-09015</t>
  </si>
  <si>
    <t>TXN-00036</t>
  </si>
  <si>
    <t>TXN-00413</t>
  </si>
  <si>
    <t>TXN-00091</t>
  </si>
  <si>
    <t>TXN-00950</t>
  </si>
  <si>
    <t>TXN-00429</t>
  </si>
  <si>
    <t>TXN-00155</t>
  </si>
  <si>
    <t>Office equipment</t>
  </si>
  <si>
    <t>TXN-00275</t>
  </si>
  <si>
    <t>TXN-00342</t>
  </si>
  <si>
    <t>Employee wages</t>
  </si>
  <si>
    <t>TXN-00759</t>
  </si>
  <si>
    <t>TXN-00892</t>
  </si>
  <si>
    <t>TXN-00862</t>
  </si>
  <si>
    <t>TXN-00770</t>
  </si>
  <si>
    <t>TXN-00454</t>
  </si>
  <si>
    <t>Invoice payment received</t>
  </si>
  <si>
    <t>TXN-00801</t>
  </si>
  <si>
    <t>TXN-00181</t>
  </si>
  <si>
    <t>TXN-00518</t>
  </si>
  <si>
    <t>TXN-00619</t>
  </si>
  <si>
    <t>TXN-00018</t>
  </si>
  <si>
    <t>TXN-00269</t>
  </si>
  <si>
    <t>TXN-00672</t>
  </si>
  <si>
    <t>TXN-00079</t>
  </si>
  <si>
    <t>TXN-00245</t>
  </si>
  <si>
    <t>TXN-00066</t>
  </si>
  <si>
    <t>TXN-00482</t>
  </si>
  <si>
    <t>TXN-00369</t>
  </si>
  <si>
    <t>Product sale</t>
  </si>
  <si>
    <t>TXN-00453</t>
  </si>
  <si>
    <t>TXN-00590</t>
  </si>
  <si>
    <t>TXN-00727</t>
  </si>
  <si>
    <t>TXN-00371</t>
  </si>
  <si>
    <t>TXN-00674</t>
  </si>
  <si>
    <t>TXN-00664</t>
  </si>
  <si>
    <t>Yes</t>
  </si>
  <si>
    <t>TXN-00105</t>
  </si>
  <si>
    <t>TXN-00903</t>
  </si>
  <si>
    <t>TXN-00109</t>
  </si>
  <si>
    <t>Printer consumables</t>
  </si>
  <si>
    <t>TXN-00149</t>
  </si>
  <si>
    <t>TXN-00810</t>
  </si>
  <si>
    <t>TXN-00102</t>
  </si>
  <si>
    <t>TXN-00568</t>
  </si>
  <si>
    <t>TXN-00847</t>
  </si>
  <si>
    <t>TXN-00510</t>
  </si>
  <si>
    <t>TXN-00517</t>
  </si>
  <si>
    <t>TXN-00192</t>
  </si>
  <si>
    <t>TXN-00423</t>
  </si>
  <si>
    <t>TXN-00474</t>
  </si>
  <si>
    <t>TXN-00681</t>
  </si>
  <si>
    <t>TXN-00603</t>
  </si>
  <si>
    <t>TXN-00014</t>
  </si>
  <si>
    <t>TXN-00894</t>
  </si>
  <si>
    <t>TXN-00678</t>
  </si>
  <si>
    <t>TXN-00777</t>
  </si>
  <si>
    <t>TXN-00786</t>
  </si>
  <si>
    <t>TXN-00319</t>
  </si>
  <si>
    <t>Interest accrual</t>
  </si>
  <si>
    <t>TXN-00574</t>
  </si>
  <si>
    <t>TXN-00583</t>
  </si>
  <si>
    <t>TXN-00881</t>
  </si>
  <si>
    <t>TXN-00444</t>
  </si>
  <si>
    <t>TXN-00426</t>
  </si>
  <si>
    <t>TXN-00259</t>
  </si>
  <si>
    <t>TXN-00060</t>
  </si>
  <si>
    <t>TXN-00852</t>
  </si>
  <si>
    <t>TXN-00287</t>
  </si>
  <si>
    <t>TXN-00623</t>
  </si>
  <si>
    <t>TXN-00143</t>
  </si>
  <si>
    <t>TXN-00633</t>
  </si>
  <si>
    <t>TXN-00256</t>
  </si>
  <si>
    <t>TXN-00386</t>
  </si>
  <si>
    <t>TXN-00305</t>
  </si>
  <si>
    <t>TXN-00004</t>
  </si>
  <si>
    <t>TXN-00680</t>
  </si>
  <si>
    <t>TXN-00251</t>
  </si>
  <si>
    <t>TXN-00526</t>
  </si>
  <si>
    <t>TXN-00684</t>
  </si>
  <si>
    <t>TXN-00437</t>
  </si>
  <si>
    <t>TXN-00481</t>
  </si>
  <si>
    <t>TXN-00704</t>
  </si>
  <si>
    <t>TXN-00176</t>
  </si>
  <si>
    <t>TXN-00473</t>
  </si>
  <si>
    <t>TXN-00440</t>
  </si>
  <si>
    <t>TXN-00528</t>
  </si>
  <si>
    <t>TXN-00809</t>
  </si>
  <si>
    <t>TXN-00719</t>
  </si>
  <si>
    <t>TXN-00003</t>
  </si>
  <si>
    <t>TXN-00373</t>
  </si>
  <si>
    <t>TXN-09007</t>
  </si>
  <si>
    <t>TXN-00755</t>
  </si>
  <si>
    <t>TXN-00202</t>
  </si>
  <si>
    <t>TXN-00157</t>
  </si>
  <si>
    <t>TXN-00416</t>
  </si>
  <si>
    <t>TXN-00074</t>
  </si>
  <si>
    <t>TXN-00118</t>
  </si>
  <si>
    <t>TXN-00771</t>
  </si>
  <si>
    <t>TXN-00480</t>
  </si>
  <si>
    <t>TXN-00112</t>
  </si>
  <si>
    <t>TXN-00497</t>
  </si>
  <si>
    <t>TXN-00383</t>
  </si>
  <si>
    <t>TXN-00405</t>
  </si>
  <si>
    <t>TXN-00949</t>
  </si>
  <si>
    <t>TXN-00588</t>
  </si>
  <si>
    <t>TXN-00346</t>
  </si>
  <si>
    <t>TXN-00389</t>
  </si>
  <si>
    <t>Card processing fee</t>
  </si>
  <si>
    <t>TXN-00009</t>
  </si>
  <si>
    <t>TXN-09001</t>
  </si>
  <si>
    <t>TXN-00057</t>
  </si>
  <si>
    <t>TXN-00341</t>
  </si>
  <si>
    <t>TXN-00468</t>
  </si>
  <si>
    <t>TXN-00243</t>
  </si>
  <si>
    <t>TXN-00085</t>
  </si>
  <si>
    <t>TXN-00698</t>
  </si>
  <si>
    <t>TXN-00820</t>
  </si>
  <si>
    <t>TXN-00126</t>
  </si>
  <si>
    <t>TXN-00336</t>
  </si>
  <si>
    <t>TXN-00871</t>
  </si>
  <si>
    <t>TXN-00495</t>
  </si>
  <si>
    <t>TXN-00234</t>
  </si>
  <si>
    <t>TXN-00935</t>
  </si>
  <si>
    <t>TXN-00782</t>
  </si>
  <si>
    <t>TXN-00699</t>
  </si>
  <si>
    <t>TXN-00196</t>
  </si>
  <si>
    <t>TXN-00082</t>
  </si>
  <si>
    <t>TXN-00315</t>
  </si>
  <si>
    <t>TXN-00433</t>
  </si>
  <si>
    <t>TXN-00415</t>
  </si>
  <si>
    <t>TXN-00195</t>
  </si>
  <si>
    <t>TXN-00321</t>
  </si>
  <si>
    <t>TXN-00312</t>
  </si>
  <si>
    <t>TXN-00797</t>
  </si>
  <si>
    <t>TXN-00208</t>
  </si>
  <si>
    <t>TXN-00051</t>
  </si>
  <si>
    <t>TXN-00190</t>
  </si>
  <si>
    <t>TXN-00496</t>
  </si>
  <si>
    <t>TXN-00522</t>
  </si>
  <si>
    <t>TXN-00308</t>
  </si>
  <si>
    <t>TXN-00483</t>
  </si>
  <si>
    <t>TXN-00249</t>
  </si>
  <si>
    <t>TXN-00187</t>
  </si>
  <si>
    <t>TXN-00758</t>
  </si>
  <si>
    <t>TXN-00931</t>
  </si>
  <si>
    <t>TXN-00811</t>
  </si>
  <si>
    <t>TXN-00224</t>
  </si>
  <si>
    <t>TXN-00828</t>
  </si>
  <si>
    <t>TXN-00242</t>
  </si>
  <si>
    <t>TXN-00420</t>
  </si>
  <si>
    <t>TXN-00577</t>
  </si>
  <si>
    <t>TXN-00858</t>
  </si>
  <si>
    <t>TXN-00427</t>
  </si>
  <si>
    <t>TXN-00201</t>
  </si>
  <si>
    <t>TXN-00912</t>
  </si>
  <si>
    <t>TXN-00239</t>
  </si>
  <si>
    <t>TXN-00677</t>
  </si>
  <si>
    <t>TXN-00048</t>
  </si>
  <si>
    <t>TXN-00705</t>
  </si>
  <si>
    <t>TXN-00641</t>
  </si>
  <si>
    <t>TXN-00020</t>
  </si>
  <si>
    <t>TXN-00575</t>
  </si>
  <si>
    <t>TXN-00206</t>
  </si>
  <si>
    <t>TXN-00494</t>
  </si>
  <si>
    <t>TXN-00404</t>
  </si>
  <si>
    <t>TXN-00530</t>
  </si>
  <si>
    <t>TXN-00910</t>
  </si>
  <si>
    <t>TXN-00808</t>
  </si>
  <si>
    <t>TXN-00640</t>
  </si>
  <si>
    <t>TXN-00542</t>
  </si>
  <si>
    <t>TXN-00178</t>
  </si>
  <si>
    <t>TXN-00911</t>
  </si>
  <si>
    <t>TXN-00061</t>
  </si>
  <si>
    <t>TXN-00900</t>
  </si>
  <si>
    <t>TXN-00883</t>
  </si>
  <si>
    <t>TXN-00833</t>
  </si>
  <si>
    <t>TXN-00217</t>
  </si>
  <si>
    <t>TXN-00746</t>
  </si>
  <si>
    <t>TXN-00595</t>
  </si>
  <si>
    <t>TXN-00732</t>
  </si>
  <si>
    <t>TXN-09020</t>
  </si>
  <si>
    <t>TXN-00791</t>
  </si>
  <si>
    <t>TXN-00100</t>
  </si>
  <si>
    <t>TXN-00229</t>
  </si>
  <si>
    <t>TXN-00731</t>
  </si>
  <si>
    <t>TXN-00539</t>
  </si>
  <si>
    <t>TXN-00375</t>
  </si>
  <si>
    <t>TXN-00889</t>
  </si>
  <si>
    <t>TXN-00182</t>
  </si>
  <si>
    <t>TXN-00013</t>
  </si>
  <si>
    <t>TXN-00928</t>
  </si>
  <si>
    <t>TXN-00086</t>
  </si>
  <si>
    <t>TXN-09016</t>
  </si>
  <si>
    <t>TXN-00645</t>
  </si>
  <si>
    <t>TXN-00488</t>
  </si>
  <si>
    <t>TXN-00648</t>
  </si>
  <si>
    <t>TXN-00874</t>
  </si>
  <si>
    <t>TXN-00670</t>
  </si>
  <si>
    <t>TXN-00136</t>
  </si>
  <si>
    <t>TXN-00655</t>
  </si>
  <si>
    <t>TXN-00310</t>
  </si>
  <si>
    <t>TXN-00161</t>
  </si>
  <si>
    <t>TXN-00263</t>
  </si>
  <si>
    <t>TXN-00635</t>
  </si>
  <si>
    <t>TXN-00463</t>
  </si>
  <si>
    <t>TXN-00741</t>
  </si>
  <si>
    <t>TXN-00890</t>
  </si>
  <si>
    <t>TXN-00485</t>
  </si>
  <si>
    <t>TXN-00108</t>
  </si>
  <si>
    <t>TXN-00203</t>
  </si>
  <si>
    <t>TXN-00050</t>
  </si>
  <si>
    <t>TXN-00790</t>
  </si>
  <si>
    <t>TXN-00348</t>
  </si>
  <si>
    <t>TXN-00877</t>
  </si>
  <si>
    <t>TXN-00606</t>
  </si>
  <si>
    <t>TXN-00122</t>
  </si>
  <si>
    <t>TXN-00717</t>
  </si>
  <si>
    <t>TXN-00188</t>
  </si>
  <si>
    <t>TXN-00017</t>
  </si>
  <si>
    <t>TXN-00636</t>
  </si>
  <si>
    <t>TXN-00665</t>
  </si>
  <si>
    <t>TXN-00531</t>
  </si>
  <si>
    <t>TXN-00299</t>
  </si>
  <si>
    <t>TXN-00927</t>
  </si>
  <si>
    <t>TXN-00107</t>
  </si>
  <si>
    <t>TXN-09003</t>
  </si>
  <si>
    <t>TXN-00024</t>
  </si>
  <si>
    <t>TXN-00816</t>
  </si>
  <si>
    <t>TXN-00070</t>
  </si>
  <si>
    <t>TXN-00547</t>
  </si>
  <si>
    <t>TXN-00430</t>
  </si>
  <si>
    <t>TXN-00302</t>
  </si>
  <si>
    <t>TXN-00924</t>
  </si>
  <si>
    <t>TXN-00632</t>
  </si>
  <si>
    <t>TXN-00332</t>
  </si>
  <si>
    <t>TXN-00365</t>
  </si>
  <si>
    <t>TXN-00857</t>
  </si>
  <si>
    <t>TXN-00075</t>
  </si>
  <si>
    <t>TXN-00219</t>
  </si>
  <si>
    <t>TXN-00919</t>
  </si>
  <si>
    <t>TXN-00266</t>
  </si>
  <si>
    <t>TXN-00876</t>
  </si>
  <si>
    <t>TXN-00111</t>
  </si>
  <si>
    <t>TXN-00524</t>
  </si>
  <si>
    <t>TXN-09013</t>
  </si>
  <si>
    <t>TXN-00464</t>
  </si>
  <si>
    <t>TXN-00186</t>
  </si>
  <si>
    <t>TXN-00571</t>
  </si>
  <si>
    <t>TXN-00608</t>
  </si>
  <si>
    <t>TXN-00434</t>
  </si>
  <si>
    <t>TXN-00795</t>
  </si>
  <si>
    <t>TXN-00062</t>
  </si>
  <si>
    <t>TXN-00340</t>
  </si>
  <si>
    <t>TXN-00582</t>
  </si>
  <si>
    <t>TXN-00689</t>
  </si>
  <si>
    <t>TXN-00659</t>
  </si>
  <si>
    <t>TXN-00787</t>
  </si>
  <si>
    <t>TXN-00789</t>
  </si>
  <si>
    <t>TXN-00722</t>
  </si>
  <si>
    <t>TXN-00869</t>
  </si>
  <si>
    <t>TXN-00940</t>
  </si>
  <si>
    <t>TXN-00135</t>
  </si>
  <si>
    <t>TXN-00609</t>
  </si>
  <si>
    <t>TXN-00749</t>
  </si>
  <si>
    <t>TXN-00630</t>
  </si>
  <si>
    <t>TXN-00058</t>
  </si>
  <si>
    <t>TXN-00572</t>
  </si>
  <si>
    <t>TXN-00803</t>
  </si>
  <si>
    <t>TXN-00737</t>
  </si>
  <si>
    <t>TXN-00756</t>
  </si>
  <si>
    <t>TXN-00292</t>
  </si>
  <si>
    <t>TXN-00047</t>
  </si>
  <si>
    <t>TXN-00278</t>
  </si>
  <si>
    <t>TXN-00826</t>
  </si>
  <si>
    <t>TXN-00225</t>
  </si>
  <si>
    <t>TXN-00736</t>
  </si>
  <si>
    <t>TXN-00281</t>
  </si>
  <si>
    <t>TXN-00001</t>
  </si>
  <si>
    <t>TXN-00431</t>
  </si>
  <si>
    <t>TXN-00067</t>
  </si>
  <si>
    <t>TXN-00943</t>
  </si>
  <si>
    <t>TXN-00651</t>
  </si>
  <si>
    <t>TXN-00844</t>
  </si>
  <si>
    <t>TXN-00561</t>
  </si>
  <si>
    <t>TXN-00538</t>
  </si>
  <si>
    <t>TXN-00295</t>
  </si>
  <si>
    <t>TXN-00921</t>
  </si>
  <si>
    <t>TXN-00728</t>
  </si>
  <si>
    <t>TXN-00246</t>
  </si>
  <si>
    <t>TXN-00258</t>
  </si>
  <si>
    <t>TXN-00162</t>
  </si>
  <si>
    <t>TXN-00709</t>
  </si>
  <si>
    <t>TXN-00594</t>
  </si>
  <si>
    <t>TXN-00508</t>
  </si>
  <si>
    <t>TXN-00875</t>
  </si>
  <si>
    <t>TXN-00839</t>
  </si>
  <si>
    <t>TXN-00807</t>
  </si>
  <si>
    <t>TXN-00248</t>
  </si>
  <si>
    <t>TXN-00532</t>
  </si>
  <si>
    <t>TXN-00240</t>
  </si>
  <si>
    <t>TXN-00221</t>
  </si>
  <si>
    <t>TXN-00845</t>
  </si>
  <si>
    <t>TXN-00093</t>
  </si>
  <si>
    <t>TXN-00115</t>
  </si>
  <si>
    <t>TXN-09012</t>
  </si>
  <si>
    <t>TXN-00077</t>
  </si>
  <si>
    <t>TXN-09014</t>
  </si>
  <si>
    <t>TXN-00367</t>
  </si>
  <si>
    <t>TXN-00133</t>
  </si>
  <si>
    <t>TXN-00513</t>
  </si>
  <si>
    <t>TXN-00355</t>
  </si>
  <si>
    <t>TXN-00059</t>
  </si>
  <si>
    <t>TXN-00290</t>
  </si>
  <si>
    <t>TXN-00247</t>
  </si>
  <si>
    <t>TXN-00356</t>
  </si>
  <si>
    <t>TXN-00855</t>
  </si>
  <si>
    <t>TXN-00041</t>
  </si>
  <si>
    <t>TXN-00090</t>
  </si>
  <si>
    <t>TXN-00193</t>
  </si>
  <si>
    <t>TXN-00450</t>
  </si>
  <si>
    <t>TXN-00069</t>
  </si>
  <si>
    <t>TXN-00650</t>
  </si>
  <si>
    <t>TXN-00384</t>
  </si>
  <si>
    <t>TXN-00140</t>
  </si>
  <si>
    <t>TXN-00560</t>
  </si>
  <si>
    <t>TXN-00460</t>
  </si>
  <si>
    <t>TXN-00119</t>
  </si>
  <si>
    <t>TXN-00555</t>
  </si>
  <si>
    <t>TXN-00905</t>
  </si>
  <si>
    <t>TXN-00867</t>
  </si>
  <si>
    <t>TXN-00351</t>
  </si>
  <si>
    <t>TXN-00714</t>
  </si>
  <si>
    <t>TXN-09024</t>
  </si>
  <si>
    <t>TXN-00529</t>
  </si>
  <si>
    <t>TXN-00914</t>
  </si>
  <si>
    <t>TXN-00822</t>
  </si>
  <si>
    <t>TXN-00015</t>
  </si>
  <si>
    <t>TXN-00376</t>
  </si>
  <si>
    <t>TXN-00083</t>
  </si>
  <si>
    <t>TXN-00947</t>
  </si>
  <si>
    <t>TXN-00685</t>
  </si>
  <si>
    <t>TXN-00692</t>
  </si>
  <si>
    <t>TXN-00089</t>
  </si>
  <si>
    <t>TXN-00364</t>
  </si>
  <si>
    <t>TXN-00274</t>
  </si>
  <si>
    <t>TXN-00173</t>
  </si>
  <si>
    <t>TXN-00580</t>
  </si>
  <si>
    <t>TXN-00104</t>
  </si>
  <si>
    <t>TXN-00902</t>
  </si>
  <si>
    <t>TXN-00856</t>
  </si>
  <si>
    <t>TXN-00372</t>
  </si>
  <si>
    <t>TXN-00046</t>
  </si>
  <si>
    <t>TXN-00701</t>
  </si>
  <si>
    <t>TXN-00435</t>
  </si>
  <si>
    <t>TXN-00409</t>
  </si>
  <si>
    <t>TXN-00593</t>
  </si>
  <si>
    <t>TXN-00711</t>
  </si>
  <si>
    <t>TXN-00012</t>
  </si>
  <si>
    <t>TXN-00215</t>
  </si>
  <si>
    <t>TXN-00345</t>
  </si>
  <si>
    <t>TXN-00895</t>
  </si>
  <si>
    <t>TXN-00706</t>
  </si>
  <si>
    <t>TXN-00148</t>
  </si>
  <si>
    <t>TXN-00300</t>
  </si>
  <si>
    <t>TXN-00284</t>
  </si>
  <si>
    <t>TXN-00796</t>
  </si>
  <si>
    <t>TXN-00765</t>
  </si>
  <si>
    <t>TXN-00780</t>
  </si>
  <si>
    <t>TXN-00726</t>
  </si>
  <si>
    <t>TXN-00679</t>
  </si>
  <si>
    <t>TXN-00720</t>
  </si>
  <si>
    <t>TXN-00174</t>
  </si>
  <si>
    <t>TXN-00901</t>
  </si>
  <si>
    <t>TXN-00553</t>
  </si>
  <si>
    <t>TXN-00227</t>
  </si>
  <si>
    <t>TXN-00306</t>
  </si>
  <si>
    <t>TXN-00032</t>
  </si>
  <si>
    <t>TXN-00505</t>
  </si>
  <si>
    <t>TXN-09008</t>
  </si>
  <si>
    <t>TXN-00662</t>
  </si>
  <si>
    <t>TXN-00286</t>
  </si>
  <si>
    <t>TXN-00843</t>
  </si>
  <si>
    <t>TXN-00817</t>
  </si>
  <si>
    <t>TXN-00936</t>
  </si>
  <si>
    <t>TXN-00605</t>
  </si>
  <si>
    <t>TXN-00117</t>
  </si>
  <si>
    <t>TXN-00438</t>
  </si>
  <si>
    <t>TXN-00613</t>
  </si>
  <si>
    <t>TXN-00823</t>
  </si>
  <si>
    <t>TXN-00096</t>
  </si>
  <si>
    <t>TXN-00503</t>
  </si>
  <si>
    <t>TXN-00624</t>
  </si>
  <si>
    <t>TXN-00487</t>
  </si>
  <si>
    <t>TXN-00564</t>
  </si>
  <si>
    <t>TXN-00691</t>
  </si>
  <si>
    <t>TXN-00103</t>
  </si>
  <si>
    <t>TXN-00063</t>
  </si>
  <si>
    <t>TXN-00205</t>
  </si>
  <si>
    <t>TXN-00465</t>
  </si>
  <si>
    <t>TXN-00675</t>
  </si>
  <si>
    <t>TXN-00185</t>
  </si>
  <si>
    <t>TXN-00721</t>
  </si>
  <si>
    <t>TXN-00785</t>
  </si>
  <si>
    <t>TXN-00092</t>
  </si>
  <si>
    <t>TXN-00925</t>
  </si>
  <si>
    <t>TXN-00870</t>
  </si>
  <si>
    <t>TXN-00849</t>
  </si>
  <si>
    <t>TXN-00642</t>
  </si>
  <si>
    <t>TXN-00835</t>
  </si>
  <si>
    <t>TXN-00412</t>
  </si>
  <si>
    <t>TXN-00347</t>
  </si>
  <si>
    <t>TXN-00880</t>
  </si>
  <si>
    <t>TXN-00799</t>
  </si>
  <si>
    <t>TXN-00030</t>
  </si>
  <si>
    <t>TXN-00055</t>
  </si>
  <si>
    <t>TXN-00475</t>
  </si>
  <si>
    <t>TXN-00040</t>
  </si>
  <si>
    <t>TXN-00158</t>
  </si>
  <si>
    <t>TXN-00896</t>
  </si>
  <si>
    <t>TXN-00147</t>
  </si>
  <si>
    <t>TXN-00222</t>
  </si>
  <si>
    <t>TXN-00673</t>
  </si>
  <si>
    <t>TXN-00757</t>
  </si>
  <si>
    <t>TXN-00591</t>
  </si>
  <si>
    <t>TXN-00703</t>
  </si>
  <si>
    <t>TXN-00395</t>
  </si>
  <si>
    <t>TXN-00053</t>
  </si>
  <si>
    <t>TXN-00556</t>
  </si>
  <si>
    <t>TXN-00360</t>
  </si>
  <si>
    <t>TXN-00492</t>
  </si>
  <si>
    <t>TXN-00403</t>
  </si>
  <si>
    <t>TXN-00422</t>
  </si>
  <si>
    <t>TXN-00449</t>
  </si>
  <si>
    <t>TXN-00166</t>
  </si>
  <si>
    <t>TXN-00285</t>
  </si>
  <si>
    <t>TXN-00081</t>
  </si>
  <si>
    <t>TXN-00228</t>
  </si>
  <si>
    <t>TXN-00448</t>
  </si>
  <si>
    <t>TXN-00354</t>
  </si>
  <si>
    <t>TXN-00311</t>
  </si>
  <si>
    <t>TXN-00712</t>
  </si>
  <si>
    <t>TXN-00260</t>
  </si>
  <si>
    <t>TXN-00324</t>
  </si>
  <si>
    <t>TXN-00010</t>
  </si>
  <si>
    <t>TXN-00668</t>
  </si>
  <si>
    <t>TXN-00552</t>
  </si>
  <si>
    <t>TXN-00031</t>
  </si>
  <si>
    <t>TXN-00774</t>
  </si>
  <si>
    <t>TXN-00180</t>
  </si>
  <si>
    <t>TXN-00028</t>
  </si>
  <si>
    <t>TXN-00034</t>
  </si>
  <si>
    <t>TXN-00511</t>
  </si>
  <si>
    <t>TXN-00362</t>
  </si>
  <si>
    <t>TXN-00294</t>
  </si>
  <si>
    <t>TXN-00767</t>
  </si>
  <si>
    <t>TXN-00942</t>
  </si>
  <si>
    <t>TXN-00006</t>
  </si>
  <si>
    <t>TXN-00198</t>
  </si>
  <si>
    <t>TXN-00863</t>
  </si>
  <si>
    <t>TXN-00393</t>
  </si>
  <si>
    <t>TXN-00773</t>
  </si>
  <si>
    <t>TXN-00620</t>
  </si>
  <si>
    <t>TXN-00262</t>
  </si>
  <si>
    <t>TXN-00934</t>
  </si>
  <si>
    <t>TXN-00123</t>
  </si>
  <si>
    <t>TXN-00866</t>
  </si>
  <si>
    <t>TXN-00379</t>
  </si>
  <si>
    <t>TXN-00039</t>
  </si>
  <si>
    <t>TXN-00359</t>
  </si>
  <si>
    <t>TXN-00841</t>
  </si>
  <si>
    <t>TXN-00335</t>
  </si>
  <si>
    <t>TXN-00783</t>
  </si>
  <si>
    <t>TXN-00937</t>
  </si>
  <si>
    <t>TXN-00163</t>
  </si>
  <si>
    <t>TXN-00068</t>
  </si>
  <si>
    <t>TXN-00125</t>
  </si>
  <si>
    <t>TXN-00005</t>
  </si>
  <si>
    <t>TXN-00683</t>
  </si>
  <si>
    <t>TXN-00744</t>
  </si>
  <si>
    <t>TXN-00428</t>
  </si>
  <si>
    <t>TXN-00600</t>
  </si>
  <si>
    <t>TXN-00544</t>
  </si>
  <si>
    <t>TXN-00507</t>
  </si>
  <si>
    <t>TXN-00891</t>
  </si>
  <si>
    <t>TXN-00400</t>
  </si>
  <si>
    <t>TXN-00898</t>
  </si>
  <si>
    <t>TXN-00353</t>
  </si>
  <si>
    <t>TXN-00824</t>
  </si>
  <si>
    <t>TXN-00886</t>
  </si>
  <si>
    <t>TXN-00261</t>
  </si>
  <si>
    <t>TXN-00334</t>
  </si>
  <si>
    <t>TXN-00154</t>
  </si>
  <si>
    <t>TXN-00397</t>
  </si>
  <si>
    <t>TXN-00502</t>
  </si>
  <si>
    <t>TXN-00374</t>
  </si>
  <si>
    <t>TXN-00313</t>
  </si>
  <si>
    <t>TXN-00043</t>
  </si>
  <si>
    <t>TXN-00743</t>
  </si>
  <si>
    <t>TXN-00523</t>
  </si>
  <si>
    <t>TXN-00639</t>
  </si>
  <si>
    <t>TXN-00831</t>
  </si>
  <si>
    <t>TXN-00738</t>
  </si>
  <si>
    <t>TXN-00702</t>
  </si>
  <si>
    <t>TXN-00599</t>
  </si>
  <si>
    <t>TXN-00585</t>
  </si>
  <si>
    <t>TXN-00740</t>
  </si>
  <si>
    <t>TXN-00626</t>
  </si>
  <si>
    <t>TXN-00579</t>
  </si>
  <si>
    <t>TXN-00446</t>
  </si>
  <si>
    <t>TXN-00273</t>
  </si>
  <si>
    <t>TXN-00861</t>
  </si>
  <si>
    <t>TXN-00520</t>
  </si>
  <si>
    <t>TXN-00378</t>
  </si>
  <si>
    <t>TXN-00499</t>
  </si>
  <si>
    <t>TXN-00805</t>
  </si>
  <si>
    <t>TXN-00913</t>
  </si>
  <si>
    <t>TXN-00098</t>
  </si>
  <si>
    <t>TXN-00129</t>
  </si>
  <si>
    <t>TXN-00545</t>
  </si>
  <si>
    <t>TXN-00380</t>
  </si>
  <si>
    <t>TXN-00204</t>
  </si>
  <si>
    <t>TXN-00344</t>
  </si>
  <si>
    <t>TXN-00853</t>
  </si>
  <si>
    <t>TXN-00922</t>
  </si>
  <si>
    <t>TXN-00519</t>
  </si>
  <si>
    <t>TXN-00764</t>
  </si>
  <si>
    <t>TXN-00489</t>
  </si>
  <si>
    <t>TXN-00238</t>
  </si>
  <si>
    <t>TXN-00550</t>
  </si>
  <si>
    <t>TXN-00401</t>
  </si>
  <si>
    <t>TXN-00233</t>
  </si>
  <si>
    <t>TXN-00443</t>
  </si>
  <si>
    <t>TXN-00099</t>
  </si>
  <si>
    <t>TXN-00859</t>
  </si>
  <si>
    <t>TXN-09022</t>
  </si>
  <si>
    <t>TXN-00512</t>
  </si>
  <si>
    <t>TXN-00601</t>
  </si>
  <si>
    <t>TXN-00218</t>
  </si>
  <si>
    <t>TXN-00361</t>
  </si>
  <si>
    <t>TXN-00559</t>
  </si>
  <si>
    <t>TXN-00745</t>
  </si>
  <si>
    <t>TXN-00941</t>
  </si>
  <si>
    <t>TXN-00226</t>
  </si>
  <si>
    <t>TXN-00019</t>
  </si>
  <si>
    <t>TXN-00169</t>
  </si>
  <si>
    <t>TXN-00293</t>
  </si>
  <si>
    <t>TXN-00751</t>
  </si>
  <si>
    <t>TXN-00398</t>
  </si>
  <si>
    <t>TXN-00541</t>
  </si>
  <si>
    <t>TXN-00329</t>
  </si>
  <si>
    <t>TXN-00760</t>
  </si>
  <si>
    <t>TXN-00615</t>
  </si>
  <si>
    <t>TXN-00094</t>
  </si>
  <si>
    <t>TXN-00214</t>
  </si>
  <si>
    <t>TXN-00338</t>
  </si>
  <si>
    <t>TXN-00788</t>
  </si>
  <si>
    <t>TXN-00116</t>
  </si>
  <si>
    <t>TXN-00159</t>
  </si>
  <si>
    <t>TXN-09021</t>
  </si>
  <si>
    <t>TXN-00113</t>
  </si>
  <si>
    <t>TXN-00037</t>
  </si>
  <si>
    <t>TXN-00106</t>
  </si>
  <si>
    <t>TXN-00363</t>
  </si>
  <si>
    <t>TXN-00366</t>
  </si>
  <si>
    <t>TXN-00442</t>
  </si>
  <si>
    <t>TXN-00566</t>
  </si>
  <si>
    <t>TXN-00352</t>
  </si>
  <si>
    <t>TXN-09006</t>
  </si>
  <si>
    <t>TXN-00250</t>
  </si>
  <si>
    <t>TXN-00834</t>
  </si>
  <si>
    <t>TXN-00781</t>
  </si>
  <si>
    <t>TXN-00407</t>
  </si>
  <si>
    <t>TXN-00837</t>
  </si>
  <si>
    <t>TXN-00165</t>
  </si>
  <si>
    <t>TXN-00860</t>
  </si>
  <si>
    <t>TXN-00798</t>
  </si>
  <si>
    <t>TXN-00813</t>
  </si>
  <si>
    <t>TXN-00084</t>
  </si>
  <si>
    <t>TXN-00686</t>
  </si>
  <si>
    <t>TXN-00296</t>
  </si>
  <si>
    <t>TXN-00071</t>
  </si>
  <si>
    <t>TXN-00611</t>
  </si>
  <si>
    <t>TXN-00653</t>
  </si>
  <si>
    <t>TXN-09023</t>
  </si>
  <si>
    <t>TXN-00637</t>
  </si>
  <si>
    <t>TXN-00710</t>
  </si>
  <si>
    <t>TXN-00128</t>
  </si>
  <si>
    <t>TXN-00825</t>
  </si>
  <si>
    <t>TXN-00002</t>
  </si>
  <si>
    <t>TXN-00644</t>
  </si>
  <si>
    <t>TXN-00540</t>
  </si>
  <si>
    <t>TXN-00602</t>
  </si>
  <si>
    <t>TXN-00309</t>
  </si>
  <si>
    <t>TXN-00586</t>
  </si>
  <si>
    <t>TXN-00411</t>
  </si>
  <si>
    <t>TXN-00172</t>
  </si>
  <si>
    <t>TXN-00418</t>
  </si>
  <si>
    <t>TXN-00748</t>
  </si>
  <si>
    <t>TXN-00676</t>
  </si>
  <si>
    <t>TXN-00604</t>
  </si>
  <si>
    <t>TXN-00461</t>
  </si>
  <si>
    <t>TXN-00850</t>
  </si>
  <si>
    <t>TXN-00638</t>
  </si>
  <si>
    <t>TXN-00424</t>
  </si>
  <si>
    <t>TXN-00316</t>
  </si>
  <si>
    <t>TXN-00377</t>
  </si>
  <si>
    <t>TXN-00525</t>
  </si>
  <si>
    <t>TXN-00851</t>
  </si>
  <si>
    <t>TXN-00439</t>
  </si>
  <si>
    <t>TXN-00724</t>
  </si>
  <si>
    <t>TXN-00151</t>
  </si>
  <si>
    <t>TXN-00842</t>
  </si>
  <si>
    <t>TXN-00557</t>
  </si>
  <si>
    <t>TXN-00804</t>
  </si>
  <si>
    <t>TXN-00792</t>
  </si>
  <si>
    <t>TXN-00410</t>
  </si>
  <si>
    <t>TXN-00144</t>
  </si>
  <si>
    <t>TXN-00527</t>
  </si>
  <si>
    <t>TXN-09019</t>
  </si>
  <si>
    <t>TXN-00812</t>
  </si>
  <si>
    <t>TXN-00209</t>
  </si>
  <si>
    <t>TXN-00441</t>
  </si>
  <si>
    <t>TXN-00132</t>
  </si>
  <si>
    <t>TXN-00381</t>
  </si>
  <si>
    <t>TXN-00175</t>
  </si>
  <si>
    <t>TXN-00534</t>
  </si>
  <si>
    <t>TXN-00271</t>
  </si>
  <si>
    <t>TXN-00408</t>
  </si>
  <si>
    <t>TXN-00700</t>
  </si>
  <si>
    <t>TXN-00124</t>
  </si>
  <si>
    <t>TXN-00139</t>
  </si>
  <si>
    <t>TXN-00052</t>
  </si>
  <si>
    <t>TXN-00625</t>
  </si>
  <si>
    <t>TXN-00276</t>
  </si>
  <si>
    <t>TXN-00948</t>
  </si>
  <si>
    <t>TXN-00343</t>
  </si>
  <si>
    <t>TXN-00257</t>
  </si>
  <si>
    <t>TXN-00183</t>
  </si>
  <si>
    <t>TXN-00618</t>
  </si>
  <si>
    <t>TXN-00301</t>
  </si>
  <si>
    <t>TXN-09018</t>
  </si>
  <si>
    <t>TXN-00241</t>
  </si>
  <si>
    <t>TXN-00231</t>
  </si>
  <si>
    <t>TXN-00899</t>
  </si>
  <si>
    <t>TXN-00327</t>
  </si>
  <si>
    <t>TXN-00459</t>
  </si>
  <si>
    <t>TXN-00682</t>
  </si>
  <si>
    <t>TXN-00663</t>
  </si>
  <si>
    <t>TXN-00747</t>
  </si>
  <si>
    <t>TXN-00466</t>
  </si>
  <si>
    <t>TXN-00164</t>
  </si>
  <si>
    <t>TXN-00168</t>
  </si>
  <si>
    <t>TXN-00146</t>
  </si>
  <si>
    <t>TXN-00207</t>
  </si>
  <si>
    <t>TXN-00501</t>
  </si>
  <si>
    <t>TXN-00189</t>
  </si>
  <si>
    <t>TXN-00325</t>
  </si>
  <si>
    <t>TXN-00658</t>
  </si>
  <si>
    <t>TXN-00725</t>
  </si>
  <si>
    <t>TXN-00832</t>
  </si>
  <si>
    <t>TXN-00879</t>
  </si>
  <si>
    <t>TXN-00576</t>
  </si>
  <si>
    <t>TXN-00080</t>
  </si>
  <si>
    <t>TXN-00878</t>
  </si>
  <si>
    <t>TXN-00688</t>
  </si>
  <si>
    <t>TXN-00887</t>
  </si>
  <si>
    <t>TXN-00829</t>
  </si>
  <si>
    <t>TXN-00230</t>
  </si>
  <si>
    <t>TXN-00762</t>
  </si>
  <si>
    <t>TXN-00101</t>
  </si>
  <si>
    <t>TXN-00291</t>
  </si>
  <si>
    <t>TXN-00445</t>
  </si>
  <si>
    <t>TXN-00929</t>
  </si>
  <si>
    <t>TXN-00054</t>
  </si>
  <si>
    <t>TXN-00392</t>
  </si>
  <si>
    <t>TXN-00945</t>
  </si>
  <si>
    <t>TXN-00723</t>
  </si>
  <si>
    <t>TXN-00667</t>
  </si>
  <si>
    <t>TXN-00252</t>
  </si>
  <si>
    <t>TXN-00500</t>
  </si>
  <si>
    <t>TXN-00476</t>
  </si>
  <si>
    <t>TXN-00671</t>
  </si>
  <si>
    <t>TXN-00272</t>
  </si>
  <si>
    <t>TXN-00045</t>
  </si>
  <si>
    <t>TXN-00114</t>
  </si>
  <si>
    <t>TXN-00025</t>
  </si>
  <si>
    <t>TXN-00212</t>
  </si>
  <si>
    <t>TXN-00621</t>
  </si>
  <si>
    <t>TXN-00170</t>
  </si>
  <si>
    <t>TXN-00592</t>
  </si>
  <si>
    <t>TXN-09002</t>
  </si>
  <si>
    <t>TXN-00597</t>
  </si>
  <si>
    <t>TXN-00521</t>
  </si>
  <si>
    <t>TXN-00033</t>
  </si>
  <si>
    <t>TXN-00612</t>
  </si>
  <si>
    <t>TXN-00110</t>
  </si>
  <si>
    <t>TXN-00137</t>
  </si>
  <si>
    <t>TXN-00331</t>
  </si>
  <si>
    <t>TXN-00223</t>
  </si>
  <si>
    <t>TXN-00029</t>
  </si>
  <si>
    <t>TXN-00288</t>
  </si>
  <si>
    <t>TXN-00056</t>
  </si>
  <si>
    <t>TXN-09005</t>
  </si>
  <si>
    <t>TXN-00946</t>
  </si>
  <si>
    <t>TXN-00885</t>
  </si>
  <si>
    <t>TXN-00049</t>
  </si>
  <si>
    <t>TXN-00888</t>
  </si>
  <si>
    <t>TXN-09009</t>
  </si>
  <si>
    <t>TXN-00643</t>
  </si>
  <si>
    <t>TXN-00546</t>
  </si>
  <si>
    <t>TXN-00478</t>
  </si>
  <si>
    <t>TXN-00548</t>
  </si>
  <si>
    <t>TXN-00064</t>
  </si>
  <si>
    <t>TXN-00414</t>
  </si>
  <si>
    <t>TXN-00385</t>
  </si>
  <si>
    <t>TXN-00873</t>
  </si>
  <si>
    <t>TXN-00323</t>
  </si>
  <si>
    <t>TXN-00452</t>
  </si>
  <si>
    <t>TXN-00766</t>
  </si>
  <si>
    <t>TXN-00235</t>
  </si>
  <si>
    <t>TXN-00657</t>
  </si>
  <si>
    <t>TXN-00558</t>
  </si>
  <si>
    <t>TXN-00425</t>
  </si>
  <si>
    <t>TXN-00864</t>
  </si>
  <si>
    <t>TXN-00304</t>
  </si>
  <si>
    <t>TXN-00868</t>
  </si>
  <si>
    <t>TXN-00690</t>
  </si>
  <si>
    <t>TXN-00220</t>
  </si>
  <si>
    <t>TXN-00854</t>
  </si>
  <si>
    <t>TXN-00297</t>
  </si>
  <si>
    <t>TXN-00022</t>
  </si>
  <si>
    <t>TXN-00761</t>
  </si>
  <si>
    <t>TXN-00421</t>
  </si>
  <si>
    <t>TXN-00326</t>
  </si>
  <si>
    <t>TXN-00200</t>
  </si>
  <si>
    <t>TXN-00451</t>
  </si>
  <si>
    <t>TXN-00138</t>
  </si>
  <si>
    <t>TXN-00537</t>
  </si>
  <si>
    <t>TXN-00697</t>
  </si>
  <si>
    <t>TXN-00718</t>
  </si>
  <si>
    <t>TXN-00647</t>
  </si>
  <si>
    <t>TXN-00629</t>
  </si>
  <si>
    <t>TXN-00213</t>
  </si>
  <si>
    <t>TXN-00944</t>
  </si>
  <si>
    <t>TXN-00917</t>
  </si>
  <si>
    <t>TXN-00904</t>
  </si>
  <si>
    <t>TXN-00506</t>
  </si>
  <si>
    <t>TXN-00800</t>
  </si>
  <si>
    <t>TXN-00232</t>
  </si>
  <si>
    <t>TXN-00406</t>
  </si>
  <si>
    <t>TXN-00730</t>
  </si>
  <si>
    <t>TXN-00569</t>
  </si>
  <si>
    <t>TXN-00318</t>
  </si>
  <si>
    <t>TXN-00184</t>
  </si>
  <si>
    <t>TXN-00840</t>
  </si>
  <si>
    <t>TXN-00838</t>
  </si>
  <si>
    <t>TXN-00694</t>
  </si>
  <si>
    <t>TXN-00610</t>
  </si>
  <si>
    <t>TXN-00627</t>
  </si>
  <si>
    <t>TXN-00486</t>
  </si>
  <si>
    <t>TXN-00279</t>
  </si>
  <si>
    <t>TXN-00631</t>
  </si>
  <si>
    <t>TXN-00021</t>
  </si>
  <si>
    <t>TXN-00171</t>
  </si>
  <si>
    <t>TXN-00402</t>
  </si>
  <si>
    <t>TXN-00907</t>
  </si>
  <si>
    <t>TXN-00567</t>
  </si>
  <si>
    <t>TXN-00177</t>
  </si>
  <si>
    <t>TXN-00328</t>
  </si>
  <si>
    <t>TXN-00707</t>
  </si>
  <si>
    <t>TXN-00199</t>
  </si>
  <si>
    <t>TXN-00471</t>
  </si>
  <si>
    <t>TXN-00827</t>
  </si>
  <si>
    <t>TXN-00695</t>
  </si>
  <si>
    <t>TXN-00267</t>
  </si>
  <si>
    <t>TXN-00616</t>
  </si>
  <si>
    <t>TXN-00733</t>
  </si>
  <si>
    <t>TXN-00493</t>
  </si>
  <si>
    <t>TXN-00131</t>
  </si>
  <si>
    <t>TXN-00339</t>
  </si>
  <si>
    <t>TXN-00836</t>
  </si>
  <si>
    <t>TXN-00490</t>
  </si>
  <si>
    <t>TXN-00573</t>
  </si>
  <si>
    <t>TXN-00607</t>
  </si>
  <si>
    <t>TXN-00194</t>
  </si>
  <si>
    <t>TXN-00141</t>
  </si>
  <si>
    <t>TXN-00417</t>
  </si>
  <si>
    <t>TXN-00661</t>
  </si>
  <si>
    <t>TXN-00477</t>
  </si>
  <si>
    <t>TXN-00715</t>
  </si>
  <si>
    <t>TXN-00153</t>
  </si>
  <si>
    <t>TXN-00882</t>
  </si>
  <si>
    <t>TXN-00011</t>
  </si>
  <si>
    <t>TXN-00270</t>
  </si>
  <si>
    <t>TXN-00097</t>
  </si>
  <si>
    <t>TXN-00211</t>
  </si>
  <si>
    <t>TXN-09017</t>
  </si>
  <si>
    <t>TXN-00753</t>
  </si>
  <si>
    <t>TXN-00570</t>
  </si>
  <si>
    <t>TXN-00814</t>
  </si>
  <si>
    <t>TXN-00776</t>
  </si>
  <si>
    <t>TXN-00549</t>
  </si>
  <si>
    <t>TXN-09004</t>
  </si>
  <si>
    <t>TXN-00533</t>
  </si>
  <si>
    <t>TXN-00916</t>
  </si>
  <si>
    <t>TXN-00333</t>
  </si>
  <si>
    <t>TXN-00076</t>
  </si>
  <si>
    <t>TXN-00713</t>
  </si>
  <si>
    <t>TXN-00078</t>
  </si>
  <si>
    <t>TXN-00264</t>
  </si>
  <si>
    <t>TXN-09025</t>
  </si>
  <si>
    <t>TXN-00150</t>
  </si>
  <si>
    <t>TXN-09010</t>
  </si>
  <si>
    <t>TXN-00515</t>
  </si>
  <si>
    <t>TXN-00923</t>
  </si>
  <si>
    <t>TXN-00470</t>
  </si>
  <si>
    <t>TXN-00565</t>
  </si>
  <si>
    <t>TXN-00775</t>
  </si>
  <si>
    <t>TXN-00462</t>
  </si>
  <si>
    <t>TXN-00254</t>
  </si>
  <si>
    <t>TXN-00772</t>
  </si>
  <si>
    <t>TXN-00846</t>
  </si>
  <si>
    <t>TXN-00370</t>
  </si>
  <si>
    <t>TXN-00322</t>
  </si>
  <si>
    <t>TXN-00696</t>
  </si>
  <si>
    <t>TXN-00152</t>
  </si>
  <si>
    <t>TXN-00932</t>
  </si>
  <si>
    <t>TXN-00303</t>
  </si>
  <si>
    <t>TXN-00191</t>
  </si>
  <si>
    <t>TXN-00587</t>
  </si>
  <si>
    <t>TXN-00349</t>
  </si>
  <si>
    <t>TXN-00244</t>
  </si>
  <si>
    <t>TXN-00794</t>
  </si>
  <si>
    <t>TXN-00088</t>
  </si>
  <si>
    <t>TXN-00752</t>
  </si>
  <si>
    <t>TXN-00656</t>
  </si>
  <si>
    <t>TXN-00893</t>
  </si>
  <si>
    <t>TXN-00779</t>
  </si>
  <si>
    <t>TXN-00419</t>
  </si>
  <si>
    <t>TXN-00289</t>
  </si>
  <si>
    <t>TXN-00649</t>
  </si>
  <si>
    <t>TXN-00167</t>
  </si>
  <si>
    <t>TXN-00596</t>
  </si>
  <si>
    <t>TXN-00920</t>
  </si>
  <si>
    <t>TXN-00156</t>
  </si>
  <si>
    <t>TXN-00357</t>
  </si>
  <si>
    <t>TXN-00382</t>
  </si>
  <si>
    <t>TXN-00280</t>
  </si>
  <si>
    <t>TXN-00127</t>
  </si>
  <si>
    <t>TXN-00708</t>
  </si>
  <si>
    <t>TXN-00778</t>
  </si>
  <si>
    <t>TXN-00023</t>
  </si>
  <si>
    <t>TXN-00617</t>
  </si>
  <si>
    <t>TXN-00666</t>
  </si>
  <si>
    <t>TXN-00283</t>
  </si>
  <si>
    <t>TXN-00472</t>
  </si>
  <si>
    <t>TXN-00739</t>
  </si>
  <si>
    <t>TXN-00368</t>
  </si>
  <si>
    <t>TXN-00026</t>
  </si>
  <si>
    <t>TXN-00197</t>
  </si>
  <si>
    <t>TXN-00065</t>
  </si>
  <si>
    <t>TXN-00016</t>
  </si>
  <si>
    <t>TXN-00467</t>
  </si>
  <si>
    <t>TXN-00298</t>
  </si>
  <si>
    <t>TXN-00884</t>
  </si>
  <si>
    <t>TXN-00622</t>
  </si>
  <si>
    <t>TXN-00337</t>
  </si>
  <si>
    <t>TXN-00821</t>
  </si>
  <si>
    <t>TXN-00027</t>
  </si>
  <si>
    <t>TXN-00589</t>
  </si>
  <si>
    <t>TXN-00044</t>
  </si>
  <si>
    <t>TXN-00498</t>
  </si>
  <si>
    <t>TXN-00793</t>
  </si>
  <si>
    <t>TXN-00516</t>
  </si>
  <si>
    <t>TXN-00938</t>
  </si>
  <si>
    <t>TXN-00562</t>
  </si>
  <si>
    <t>TXN-00918</t>
  </si>
  <si>
    <t>TXN-00455</t>
  </si>
  <si>
    <t>TXN-00388</t>
  </si>
  <si>
    <t>TXN-00072</t>
  </si>
  <si>
    <t>TXN-00543</t>
  </si>
  <si>
    <t>TXN-00457</t>
  </si>
  <si>
    <t>TXN-00634</t>
  </si>
  <si>
    <t>TXN-00432</t>
  </si>
  <si>
    <t>TXN-00628</t>
  </si>
  <si>
    <t>TXN-00654</t>
  </si>
  <si>
    <t>TXN-00729</t>
  </si>
  <si>
    <t>TXN-00265</t>
  </si>
  <si>
    <t>TXN-00210</t>
  </si>
  <si>
    <t>TXN-00317</t>
  </si>
  <si>
    <t>TXN-00897</t>
  </si>
  <si>
    <t>TXN-00514</t>
  </si>
  <si>
    <t>TXN-00314</t>
  </si>
  <si>
    <t>TXN-00535</t>
  </si>
  <si>
    <t>TXN-00830</t>
  </si>
  <si>
    <t>TXN-00320</t>
  </si>
  <si>
    <t>TXN-00008</t>
  </si>
  <si>
    <t>TXN-00394</t>
  </si>
  <si>
    <t>TXN-00142</t>
  </si>
  <si>
    <t>TXN-00087</t>
  </si>
  <si>
    <t>TXN-00865</t>
  </si>
  <si>
    <t>TXN-00479</t>
  </si>
  <si>
    <t>TXN-00504</t>
  </si>
  <si>
    <t>TXN-00754</t>
  </si>
  <si>
    <t>TXN-00216</t>
  </si>
  <si>
    <t>TXN-00581</t>
  </si>
  <si>
    <t>TXN-00563</t>
  </si>
  <si>
    <t>TXN-00399</t>
  </si>
  <si>
    <t>TXN-00926</t>
  </si>
  <si>
    <t>TXN-00669</t>
  </si>
  <si>
    <t>TXN-00491</t>
  </si>
  <si>
    <t>TXN-00253</t>
  </si>
  <si>
    <t>TXN-00908</t>
  </si>
  <si>
    <t>TXN-00469</t>
  </si>
  <si>
    <t>TXN-00915</t>
  </si>
  <si>
    <t>TXN-00358</t>
  </si>
  <si>
    <t>TXN-00255</t>
  </si>
  <si>
    <t>TXN-00277</t>
  </si>
  <si>
    <t>TXN-00179</t>
  </si>
  <si>
    <t>TXN-00282</t>
  </si>
  <si>
    <t>TXN-00391</t>
  </si>
  <si>
    <t>TXN-00509</t>
  </si>
  <si>
    <t>TXN-00750</t>
  </si>
  <si>
    <t>TXN-00584</t>
  </si>
  <si>
    <t>TXN-00130</t>
  </si>
  <si>
    <t>TXN-00145</t>
  </si>
  <si>
    <t>TXN-09011</t>
  </si>
  <si>
    <t>TXN-00848</t>
  </si>
  <si>
    <t>TXN-00646</t>
  </si>
  <si>
    <t>TXN-00716</t>
  </si>
  <si>
    <t>TXN-00906</t>
  </si>
  <si>
    <t>TXN-00768</t>
  </si>
  <si>
    <t>TXN-00073</t>
  </si>
  <si>
    <t>TXN-00909</t>
  </si>
  <si>
    <t>TXN-00236</t>
  </si>
  <si>
    <t>TXN-00038</t>
  </si>
  <si>
    <t>DEPOSIT INTEREST CREDI</t>
  </si>
  <si>
    <t>VENDOR PAYMENT - MATER</t>
  </si>
  <si>
    <t>SAVINGS INTEREST</t>
  </si>
  <si>
    <t>CUSTOMER DEPOSIT</t>
  </si>
  <si>
    <t>INTERNET &amp; TELECOM</t>
  </si>
  <si>
    <t>ONLINE AD CAMPAIGN</t>
  </si>
  <si>
    <t>CLIENT DINNER</t>
  </si>
  <si>
    <t>INTEREST ACCRUAL</t>
  </si>
  <si>
    <t>HOTEL ACCOMMODATION</t>
  </si>
  <si>
    <t>PAYROLL TRANSFER</t>
  </si>
  <si>
    <t>PRODUCT SALE</t>
  </si>
  <si>
    <t>PRINTER CONSUMABLES</t>
  </si>
  <si>
    <t>TRADE FAIR BOOTH</t>
  </si>
  <si>
    <t>SUPPLIER INVOICE</t>
  </si>
  <si>
    <t>WATER UTILITY</t>
  </si>
  <si>
    <t>CONTRACTOR FEE</t>
  </si>
  <si>
    <t>TXN-09509</t>
  </si>
  <si>
    <t>WIRE TRANSFER FEE</t>
  </si>
  <si>
    <t>RENT PAYMENT</t>
  </si>
  <si>
    <t>WAREHOUSE LEASE</t>
  </si>
  <si>
    <t>BUSINESS TRIP - AIRFAR</t>
  </si>
  <si>
    <t>STATIONERY PURCHASE</t>
  </si>
  <si>
    <t>EMPLOYEE WAGES</t>
  </si>
  <si>
    <t>ACCOUNT MAINTENANCE FE</t>
  </si>
  <si>
    <t>CARD PROCESSING FEE</t>
  </si>
  <si>
    <t>INVOICE PAYMENT RECEIV</t>
  </si>
  <si>
    <t>ELECTRICITY BILL</t>
  </si>
  <si>
    <t>MONTHLY SALARY RUN</t>
  </si>
  <si>
    <t>PRINT ADVERTISING</t>
  </si>
  <si>
    <t>OFFICE EQUIPMENT</t>
  </si>
  <si>
    <t>MONTHLY OFFICE RENT</t>
  </si>
  <si>
    <t>TXN-09504</t>
  </si>
  <si>
    <t>TXN-09507</t>
  </si>
  <si>
    <t>TXN-09502</t>
  </si>
  <si>
    <t>TXN-09515</t>
  </si>
  <si>
    <t>TXN-09501</t>
  </si>
  <si>
    <t>TXN-09503</t>
  </si>
  <si>
    <t>TXN-09516</t>
  </si>
  <si>
    <t>TXN-09511</t>
  </si>
  <si>
    <t>TXN-09514</t>
  </si>
  <si>
    <t>TXN-09505</t>
  </si>
  <si>
    <t>TXN-09510</t>
  </si>
  <si>
    <t>TXN-09520</t>
  </si>
  <si>
    <t>TXN-09512</t>
  </si>
  <si>
    <t>TXN-09513</t>
  </si>
  <si>
    <t>TXN-09517</t>
  </si>
  <si>
    <t>TXN-09508</t>
  </si>
  <si>
    <t>TXN-09519</t>
  </si>
  <si>
    <t>TXN-09518</t>
  </si>
  <si>
    <t>TXN-09506</t>
  </si>
  <si>
    <t>Month</t>
  </si>
  <si>
    <t>Description_GL</t>
  </si>
  <si>
    <t>Description_Bank</t>
  </si>
  <si>
    <t>Amount_GL</t>
  </si>
  <si>
    <t>Amount_Bank</t>
  </si>
  <si>
    <t>Abs_Amount</t>
  </si>
  <si>
    <t>Amount_Diff</t>
  </si>
  <si>
    <t>Status</t>
  </si>
  <si>
    <t>Is_Exception</t>
  </si>
  <si>
    <t>Has_Duplicate_ID</t>
  </si>
  <si>
    <t>Matched</t>
  </si>
  <si>
    <t>Amount Mismatch</t>
  </si>
  <si>
    <t>Only in GL</t>
  </si>
  <si>
    <t>Unclassified (Bank only)</t>
  </si>
  <si>
    <t>N/A</t>
  </si>
  <si>
    <t>Only in Bank</t>
  </si>
  <si>
    <t>Audit Reconciliation — Summary</t>
  </si>
  <si>
    <t>General Ledger vs Bank Statement · sve KPI vrijednosti su formule vezane na sheet 'Reconciliation' i azuriraju se automatski</t>
  </si>
  <si>
    <t>Total Transactions</t>
  </si>
  <si>
    <t>Exceptions</t>
  </si>
  <si>
    <t>Duplicates</t>
  </si>
  <si>
    <t>Match Rate</t>
  </si>
  <si>
    <t>Breakdown po statusu</t>
  </si>
  <si>
    <t>Transactions</t>
  </si>
  <si>
    <t>% of Total</t>
  </si>
  <si>
    <t>Total Amount</t>
  </si>
  <si>
    <t>TOTAL</t>
  </si>
  <si>
    <t>Napomene / pretpostavke</t>
  </si>
  <si>
    <t>•  Podaci su sinteticki (generisani u Pythonu, seed=42) — nisu stvarne transakcije.</t>
  </si>
  <si>
    <t>•  Merge je radjen po Transaction_ID (outer join). Prije merge-a je svaka tabela de-duplicirana (keep='first') da jedan ID daje jedan red.</t>
  </si>
  <si>
    <t>•  Amount Mismatch = |Amount_GL - Amount_Bank| &gt; 0.01 (tolerancija na zaokruzivanje).</t>
  </si>
  <si>
    <t>•  'Duplicates' broji jedinstvene Transaction_ID-eve koji se pojavljuju vise od jednom u GL ili Bank tabeli.</t>
  </si>
  <si>
    <t>•  Bank Statement nema Category/Account — bank-only redovi su oznaceni kao 'Unclassified (Bank only)'.</t>
  </si>
  <si>
    <t>•  Datumi u banci su 0-3 dana kasniji od GL (clearing delay); to nije tretirano kao izuzetak.</t>
  </si>
  <si>
    <t>Row Labels</t>
  </si>
  <si>
    <t>Grand Total</t>
  </si>
  <si>
    <t>Count of Transaction_ID</t>
  </si>
  <si>
    <t>Count of Transaction_ID2</t>
  </si>
  <si>
    <t>Column Labels</t>
  </si>
  <si>
    <t>Sum of Abs_Amount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</si>
</sst>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yyyy\-mm\-dd"/>
    <numFmt numFmtId="165" formatCode="#,##0.00;[Red]\(#,##0.00\);\-"/>
    <numFmt numFmtId="166" formatCode="yyyy\-mm"/>
    <numFmt numFmtId="167" formatCode="0.0%"/>
    <numFmt numFmtId="168" formatCode="mmm\ yyyy"/>
    <numFmt numFmtId="169" formatCode="#,##0.00"/>
  </numFmts>
  <fonts count="25" x14ac:knownFonts="1">
    <font>
      <sz val="11"/>
      <color theme="1"/>
      <name val="Calibri"/>
      <family val="2"/>
      <charset val="1"/>
    </font>
    <font>
      <b/>
      <sz val="10"/>
      <color rgb="FFFFFFFF"/>
      <name val="Arial"/>
      <charset val="1"/>
    </font>
    <font>
      <sz val="10"/>
      <name val="Arial"/>
      <charset val="1"/>
    </font>
    <font>
      <b/>
      <sz val="16"/>
      <color rgb="FF1F3864"/>
      <name val="Arial"/>
      <charset val="1"/>
    </font>
    <font>
      <i/>
      <sz val="9"/>
      <color rgb="FF595959"/>
      <name val="Arial"/>
      <charset val="1"/>
    </font>
    <font>
      <b/>
      <sz val="9"/>
      <color rgb="FF595959"/>
      <name val="Arial"/>
      <charset val="1"/>
    </font>
    <font>
      <b/>
      <sz val="22"/>
      <color rgb="FF1F3864"/>
      <name val="Arial"/>
      <charset val="1"/>
    </font>
    <font>
      <b/>
      <sz val="22"/>
      <color rgb="FF1E6B34"/>
      <name val="Arial"/>
      <charset val="1"/>
    </font>
    <font>
      <b/>
      <sz val="22"/>
      <color rgb="FF9C1C1C"/>
      <name val="Arial"/>
      <charset val="1"/>
    </font>
    <font>
      <b/>
      <sz val="11"/>
      <color rgb="FF1F3864"/>
      <name val="Arial"/>
      <charset val="1"/>
    </font>
    <font>
      <b/>
      <sz val="10"/>
      <name val="Arial"/>
      <charset val="1"/>
    </font>
    <font>
      <sz val="9"/>
      <color rgb="FF404040"/>
      <name val="Arial"/>
      <charset val="1"/>
    </font>
    <font>
      <b/>
      <sz val="16"/>
      <color rgb="FF1F3864"/>
      <name val="Arial"/>
      <charset val="1"/>
    </font>
    <font>
      <i/>
      <sz val="9"/>
      <color rgb="FF595959"/>
      <name val="Arial"/>
      <charset val="1"/>
    </font>
    <font>
      <b/>
      <sz val="11"/>
      <color rgb="FF1F3864"/>
      <name val="Arial"/>
      <charset val="1"/>
    </font>
    <font>
      <b/>
      <sz val="10"/>
      <color rgb="FFFFFFFF"/>
      <name val="Arial"/>
      <charset val="1"/>
    </font>
    <font>
      <sz val="10"/>
      <name val="Arial"/>
      <charset val="1"/>
    </font>
    <font>
      <b/>
      <sz val="10"/>
      <name val="Arial"/>
      <charset val="1"/>
    </font>
    <font>
      <b/>
      <sz val="9"/>
      <color rgb="FF595959"/>
      <name val="Arial"/>
      <charset val="1"/>
    </font>
    <font>
      <sz val="9"/>
      <color rgb="FF404040"/>
      <name val="Arial"/>
      <charset val="1"/>
    </font>
    <font>
      <b/>
      <sz val="20"/>
      <color rgb="FF1F3864"/>
      <name val="Arial"/>
      <charset val="1"/>
    </font>
    <font>
      <b/>
      <sz val="20"/>
      <color rgb="FF1E6B34"/>
      <name val="Arial"/>
      <charset val="1"/>
    </font>
    <font>
      <b/>
      <sz val="20"/>
      <color rgb="FF9C1C1C"/>
      <name val="Arial"/>
      <charset val="1"/>
    </font>
    <font>
      <b/>
      <sz val="12"/>
      <color rgb="FF0000FF"/>
      <name val="Arial"/>
      <charset val="1"/>
    </font>
    <font>
      <i/>
      <sz val="8"/>
      <color rgb="FF7F7F7F"/>
      <name val="Arial"/>
      <charset val="1"/>
    </font>
  </fonts>
  <fills count="14">
    <fill>
      <patternFill patternType="none"/>
    </fill>
    <fill>
      <patternFill patternType="gray125"/>
    </fill>
    <fill>
      <patternFill patternType="solid">
        <fgColor rgb="FF1F3864"/>
        <bgColor rgb="FF333399"/>
      </patternFill>
    </fill>
    <fill>
      <patternFill patternType="solid">
        <fgColor rgb="FFF2F5FA"/>
        <bgColor rgb="FFFFFFFF"/>
      </patternFill>
    </fill>
    <fill>
      <patternFill patternType="solid">
        <fgColor rgb="FFE2EFDA"/>
        <bgColor rgb="FFDCE3EE"/>
      </patternFill>
    </fill>
    <fill>
      <patternFill patternType="solid">
        <fgColor rgb="FFFCE4E4"/>
        <bgColor rgb="FFF2F5FA"/>
      </patternFill>
    </fill>
    <fill>
      <patternFill patternType="solid">
        <fgColor rgb="FFDCE3EE"/>
        <bgColor rgb="FFE2EFDA"/>
      </patternFill>
    </fill>
    <fill>
      <patternFill patternType="solid">
        <fgColor rgb="FF1F3864"/>
        <bgColor indexed="64"/>
      </patternFill>
    </fill>
    <fill>
      <patternFill patternType="solid">
        <fgColor rgb="FFE2EFDA"/>
        <bgColor indexed="64"/>
      </patternFill>
    </fill>
    <fill>
      <patternFill patternType="solid">
        <fgColor rgb="FFFCE4E4"/>
        <bgColor indexed="64"/>
      </patternFill>
    </fill>
    <fill>
      <patternFill patternType="solid">
        <fgColor rgb="FFF2F5FA"/>
        <bgColor indexed="64"/>
      </patternFill>
    </fill>
    <fill>
      <patternFill patternType="solid">
        <fgColor rgb="FFDCE3EE"/>
        <bgColor indexed="64"/>
      </patternFill>
    </fill>
    <fill>
      <patternFill patternType="solid">
        <fgColor rgb="FFFFF2CC"/>
        <bgColor indexed="64"/>
      </patternFill>
    </fill>
    <fill>
      <patternFill patternType="solid">
        <fgColor rgb="FFFFFFFF"/>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
      <left/>
      <right/>
      <top style="medium">
        <color rgb="FF1F3864"/>
      </top>
      <bottom/>
    </border>
  </borders>
  <cellStyleXfs count="1">
    <xf numFmtId="0" fontId="0" fillId="0" borderId="0"/>
  </cellStyleXfs>
  <cellXfs count="64">
    <xf numFmtId="0" fontId="0" fillId="0" borderId="0" xfId="0"/>
    <xf numFmtId="0" fontId="1" fillId="2" borderId="0" xfId="0" applyFont="1" applyFill="1" applyAlignment="1">
      <alignment horizontal="center" vertical="center" wrapText="1"/>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xf numFmtId="0" fontId="3" fillId="0" borderId="0" xfId="0" applyFont="1"/>
    <xf numFmtId="0" fontId="4" fillId="0" borderId="0" xfId="0" applyFont="1"/>
    <xf numFmtId="0" fontId="5" fillId="3" borderId="1" xfId="0" applyFont="1" applyFill="1" applyBorder="1" applyAlignment="1">
      <alignment horizontal="center"/>
    </xf>
    <xf numFmtId="0" fontId="5" fillId="4" borderId="1" xfId="0" applyFont="1" applyFill="1" applyBorder="1" applyAlignment="1">
      <alignment horizontal="center"/>
    </xf>
    <xf numFmtId="0" fontId="5" fillId="5" borderId="1" xfId="0" applyFont="1" applyFill="1" applyBorder="1" applyAlignment="1">
      <alignment horizontal="center"/>
    </xf>
    <xf numFmtId="3" fontId="6" fillId="3" borderId="1" xfId="0" applyNumberFormat="1" applyFont="1" applyFill="1" applyBorder="1" applyAlignment="1">
      <alignment horizontal="center"/>
    </xf>
    <xf numFmtId="3" fontId="7" fillId="4" borderId="1" xfId="0" applyNumberFormat="1" applyFont="1" applyFill="1" applyBorder="1" applyAlignment="1">
      <alignment horizontal="center"/>
    </xf>
    <xf numFmtId="3" fontId="8" fillId="5" borderId="1" xfId="0" applyNumberFormat="1" applyFont="1" applyFill="1" applyBorder="1" applyAlignment="1">
      <alignment horizontal="center"/>
    </xf>
    <xf numFmtId="167" fontId="7" fillId="4" borderId="1" xfId="0" applyNumberFormat="1" applyFont="1" applyFill="1" applyBorder="1" applyAlignment="1">
      <alignment horizontal="center"/>
    </xf>
    <xf numFmtId="0" fontId="9" fillId="0" borderId="0" xfId="0" applyFont="1"/>
    <xf numFmtId="0" fontId="1" fillId="2" borderId="1" xfId="0" applyFont="1" applyFill="1" applyBorder="1" applyAlignment="1">
      <alignment horizontal="center"/>
    </xf>
    <xf numFmtId="0" fontId="2" fillId="0" borderId="1" xfId="0" applyFont="1" applyBorder="1"/>
    <xf numFmtId="3" fontId="2" fillId="0" borderId="1" xfId="0" applyNumberFormat="1" applyFont="1" applyBorder="1"/>
    <xf numFmtId="167" fontId="2" fillId="0" borderId="1" xfId="0" applyNumberFormat="1" applyFont="1" applyBorder="1"/>
    <xf numFmtId="165" fontId="2" fillId="0" borderId="1" xfId="0" applyNumberFormat="1" applyFont="1" applyBorder="1"/>
    <xf numFmtId="0" fontId="10" fillId="6" borderId="1" xfId="0" applyFont="1" applyFill="1" applyBorder="1"/>
    <xf numFmtId="3" fontId="10" fillId="6" borderId="1" xfId="0" applyNumberFormat="1" applyFont="1" applyFill="1" applyBorder="1"/>
    <xf numFmtId="167" fontId="10" fillId="6" borderId="1" xfId="0" applyNumberFormat="1" applyFont="1" applyFill="1" applyBorder="1"/>
    <xf numFmtId="165" fontId="10" fillId="6" borderId="1" xfId="0" applyNumberFormat="1" applyFont="1" applyFill="1" applyBorder="1"/>
    <xf numFmtId="0" fontId="11" fillId="0" borderId="0" xfId="0" applyFont="1" applyAlignment="1">
      <alignment vertical="top"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6" fontId="0" fillId="0" borderId="0" xfId="0" applyNumberFormat="1" applyAlignment="1">
      <alignment horizontal="left"/>
    </xf>
    <xf numFmtId="0" fontId="12" fillId="0" borderId="0" xfId="0" applyFont="1"/>
    <xf numFmtId="0" fontId="13" fillId="0" borderId="0" xfId="0" applyFont="1"/>
    <xf numFmtId="0" fontId="18" fillId="10" borderId="2" xfId="0" applyFont="1" applyFill="1" applyBorder="1" applyAlignment="1">
      <alignment horizontal="center"/>
    </xf>
    <xf numFmtId="3" fontId="20" fillId="10" borderId="2" xfId="0" applyFont="1" applyFill="1" applyNumberFormat="1" applyBorder="1" applyAlignment="1">
      <alignment horizontal="center"/>
    </xf>
    <xf numFmtId="0" fontId="18" fillId="8" borderId="2" xfId="0" applyFont="1" applyFill="1" applyBorder="1" applyAlignment="1">
      <alignment horizontal="center"/>
    </xf>
    <xf numFmtId="3" fontId="21" fillId="8" borderId="2" xfId="0" applyFont="1" applyFill="1" applyNumberFormat="1" applyBorder="1" applyAlignment="1">
      <alignment horizontal="center"/>
    </xf>
    <xf numFmtId="0" fontId="18" fillId="9" borderId="2" xfId="0" applyFont="1" applyFill="1" applyBorder="1" applyAlignment="1">
      <alignment horizontal="center"/>
    </xf>
    <xf numFmtId="3" fontId="22" fillId="9" borderId="2" xfId="0" applyFont="1" applyFill="1" applyNumberFormat="1" applyBorder="1" applyAlignment="1">
      <alignment horizontal="center"/>
    </xf>
    <xf numFmtId="167" fontId="21" fillId="8" borderId="2" xfId="0" applyFont="1" applyFill="1" applyNumberFormat="1" applyBorder="1" applyAlignment="1">
      <alignment horizontal="center"/>
    </xf>
    <xf numFmtId="169" fontId="22" fillId="9" borderId="2" xfId="0" applyFont="1" applyFill="1" applyNumberFormat="1" applyBorder="1" applyAlignment="1">
      <alignment horizontal="center"/>
    </xf>
    <xf numFmtId="0" fontId="18" fillId="0" borderId="0" xfId="0" applyFont="1"/>
    <xf numFmtId="0" fontId="24" fillId="0" borderId="0" xfId="0" applyFont="1"/>
    <xf numFmtId="169" fontId="23" fillId="12" borderId="2" xfId="0" applyFont="1" applyFill="1" applyNumberFormat="1" applyBorder="1" applyAlignment="1">
      <alignment horizontal="center"/>
    </xf>
    <xf numFmtId="0" fontId="14" fillId="0" borderId="0" xfId="0" applyFont="1"/>
    <xf numFmtId="0" fontId="15" fillId="7" borderId="2" xfId="0" applyFont="1" applyFill="1" applyBorder="1" applyAlignment="1">
      <alignment horizontal="center"/>
    </xf>
    <xf numFmtId="0" fontId="16" fillId="0" borderId="2" xfId="0" applyFont="1" applyBorder="1"/>
    <xf numFmtId="3" fontId="16" fillId="0" borderId="2" xfId="0" applyFont="1" applyNumberFormat="1" applyBorder="1"/>
    <xf numFmtId="167" fontId="16" fillId="0" borderId="2" xfId="0" applyFont="1" applyNumberFormat="1" applyBorder="1"/>
    <xf numFmtId="165" fontId="16" fillId="0" borderId="2" xfId="0" applyFont="1" applyNumberFormat="1" applyBorder="1"/>
    <xf numFmtId="169" fontId="16" fillId="0" borderId="2" xfId="0" applyFont="1" applyNumberFormat="1" applyBorder="1"/>
    <xf numFmtId="0" fontId="17" fillId="11" borderId="2" xfId="0" applyFont="1" applyFill="1" applyBorder="1"/>
    <xf numFmtId="3" fontId="17" fillId="11" borderId="2" xfId="0" applyFont="1" applyFill="1" applyNumberFormat="1" applyBorder="1"/>
    <xf numFmtId="167" fontId="17" fillId="11" borderId="2" xfId="0" applyFont="1" applyFill="1" applyNumberFormat="1" applyBorder="1"/>
    <xf numFmtId="165" fontId="17" fillId="11" borderId="2" xfId="0" applyFont="1" applyFill="1" applyNumberFormat="1" applyBorder="1"/>
    <xf numFmtId="169" fontId="17" fillId="11" borderId="2" xfId="0" applyFont="1" applyFill="1" applyNumberFormat="1" applyBorder="1"/>
    <xf numFmtId="0" fontId="19" fillId="0" borderId="0" xfId="0" applyFont="1"/>
    <xf numFmtId="0" fontId="15" fillId="7" borderId="2" xfId="0" applyFont="1" applyFill="1" applyBorder="1" applyAlignment="1">
      <alignment horizontal="center" vertical="center" wrapText="1"/>
    </xf>
    <xf numFmtId="164" fontId="16" fillId="0" borderId="2" xfId="0" applyFont="1" applyNumberFormat="1" applyBorder="1"/>
    <xf numFmtId="0" fontId="17" fillId="0" borderId="2" xfId="0" applyFont="1" applyBorder="1"/>
    <xf numFmtId="0" fontId="16" fillId="0" borderId="2" xfId="0" applyFont="1" applyBorder="1" applyAlignment="1">
      <alignment horizontal="center"/>
    </xf>
    <xf numFmtId="3" fontId="16" fillId="0" borderId="2" xfId="0" applyFont="1" applyNumberFormat="1" applyBorder="1" applyAlignment="1">
      <alignment horizontal="center"/>
    </xf>
    <xf numFmtId="0" fontId="16" fillId="13" borderId="2" xfId="0" applyFont="1" applyFill="1" applyBorder="1"/>
    <xf numFmtId="0" fontId="16" fillId="13" borderId="2" xfId="0" applyFont="1" applyFill="1" applyBorder="1" applyAlignment="1">
      <alignment horizontal="center"/>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CE4E4"/>
        </patternFill>
      </fill>
    </dxf>
    <dxf>
      <font>
        <color rgb="FF7F6000"/>
      </font>
      <fill>
        <patternFill>
          <bgColor rgb="FFFFF2CC"/>
        </patternFill>
      </fill>
    </dxf>
    <dxf>
      <font>
        <color rgb="FF833C00"/>
      </font>
      <fill>
        <patternFill>
          <bgColor rgb="FFFCE4D6"/>
        </patternFill>
      </fill>
    </dxf>
    <dxf>
      <font>
        <color rgb="FF375623"/>
      </font>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6B34"/>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DCE3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C1C1C"/>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[Audit_Reconciliation.xlsx]Sheet1!PivotTable1</c:name>
    <c:fmtId val="0"/>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0015507436570428"/>
          <c:y val="0.1429724409448819"/>
          <c:w val="0.56373381452318461"/>
          <c:h val="0.64852653834937302"/>
        </c:manualLayout>
      </c:layout>
      <c:barChart>
        <c:barDir val="col"/>
        <c:grouping val="clustered"/>
        <c:varyColors val="0"/>
        <c:ser>
          <c:idx val="0"/>
          <c:order val="0"/>
          <c:tx>
            <c:strRef>
              <c:f>Sheet1!$B$3</c:f>
              <c:strCache>
                <c:ptCount val="1"/>
                <c:pt idx="0">
                  <c:v>Count of Transaction_ID</c:v>
                </c:pt>
              </c:strCache>
            </c:strRef>
          </c:tx>
          <c:invertIfNegative val="0"/>
          <c:cat>
            <c:strRef>
              <c:f>Sheet1!$A$4:$A$8</c:f>
              <c:strCache>
                <c:ptCount val="4"/>
                <c:pt idx="0">
                  <c:v>Matched</c:v>
                </c:pt>
                <c:pt idx="1">
                  <c:v>Only in GL</c:v>
                </c:pt>
                <c:pt idx="2">
                  <c:v>Only in Bank</c:v>
                </c:pt>
                <c:pt idx="3">
                  <c:v>Amount Mismatch</c:v>
                </c:pt>
              </c:strCache>
            </c:strRef>
          </c:cat>
          <c:val>
            <c:numRef>
              <c:f>Sheet1!$B$4:$B$8</c:f>
              <c:numCache>
                <c:formatCode>General</c:formatCode>
                <c:ptCount val="4"/>
                <c:pt idx="0">
                  <c:v>932</c:v>
                </c:pt>
                <c:pt idx="1">
                  <c:v>25</c:v>
                </c:pt>
                <c:pt idx="2">
                  <c:v>20</c:v>
                </c:pt>
                <c:pt idx="3">
                  <c:v>18</c:v>
                </c:pt>
              </c:numCache>
            </c:numRef>
          </c:val>
        </c:ser>
        <c:ser>
          <c:idx val="1"/>
          <c:order val="1"/>
          <c:tx>
            <c:strRef>
              <c:f>Sheet1!$C$3</c:f>
              <c:strCache>
                <c:ptCount val="1"/>
                <c:pt idx="0">
                  <c:v>Count of Transaction_ID2</c:v>
                </c:pt>
              </c:strCache>
            </c:strRef>
          </c:tx>
          <c:invertIfNegative val="0"/>
          <c:cat>
            <c:strRef>
              <c:f>Sheet1!$A$4:$A$8</c:f>
              <c:strCache>
                <c:ptCount val="4"/>
                <c:pt idx="0">
                  <c:v>Matched</c:v>
                </c:pt>
                <c:pt idx="1">
                  <c:v>Only in GL</c:v>
                </c:pt>
                <c:pt idx="2">
                  <c:v>Only in Bank</c:v>
                </c:pt>
                <c:pt idx="3">
                  <c:v>Amount Mismatch</c:v>
                </c:pt>
              </c:strCache>
            </c:strRef>
          </c:cat>
          <c:val>
            <c:numRef>
              <c:f>Sheet1!$C$4:$C$8</c:f>
              <c:numCache>
                <c:formatCode>0.00%</c:formatCode>
                <c:ptCount val="4"/>
                <c:pt idx="0">
                  <c:v>0.93668341708542713</c:v>
                </c:pt>
                <c:pt idx="1">
                  <c:v>2.5125628140703519E-2</c:v>
                </c:pt>
                <c:pt idx="2">
                  <c:v>2.0100502512562814E-2</c:v>
                </c:pt>
                <c:pt idx="3">
                  <c:v>1.8090452261306532E-2</c:v>
                </c:pt>
              </c:numCache>
            </c:numRef>
          </c:val>
        </c:ser>
        <c:dLbls>
          <c:showLegendKey val="0"/>
          <c:showVal val="0"/>
          <c:showCatName val="0"/>
          <c:showSerName val="0"/>
          <c:showPercent val="0"/>
          <c:showBubbleSize val="0"/>
        </c:dLbls>
        <c:gapWidth val="150"/>
        <c:axId val="149099264"/>
        <c:axId val="149100800"/>
      </c:barChart>
      <c:catAx>
        <c:axId val="149099264"/>
        <c:scaling>
          <c:orientation val="minMax"/>
        </c:scaling>
        <c:delete val="0"/>
        <c:axPos val="b"/>
        <c:majorTickMark val="out"/>
        <c:minorTickMark val="none"/>
        <c:tickLblPos val="nextTo"/>
        <c:crossAx val="149100800"/>
        <c:crosses val="autoZero"/>
        <c:auto val="1"/>
        <c:lblAlgn val="ctr"/>
        <c:lblOffset val="100"/>
        <c:noMultiLvlLbl val="0"/>
      </c:catAx>
      <c:valAx>
        <c:axId val="149100800"/>
        <c:scaling>
          <c:orientation val="minMax"/>
        </c:scaling>
        <c:delete val="0"/>
        <c:axPos val="l"/>
        <c:majorGridlines/>
        <c:numFmt formatCode="General" sourceLinked="1"/>
        <c:majorTickMark val="out"/>
        <c:minorTickMark val="none"/>
        <c:tickLblPos val="nextTo"/>
        <c:crossAx val="149099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[Audit_Reconciliation.xlsx]Sheet1!PivotTable2</c:name>
    <c:fmtId val="0"/>
  </c:pivotSource>
  <c:chart>
    <c:autoTitleDeleted val="0"/>
    <c:pivotFmts>
      <c:pivotFmt>
        <c:idx val="0"/>
        <c:marker>
          <c:symbol val="none"/>
        </c:marker>
      </c:pivotFmt>
      <c:pivotFmt>
        <c:idx val="1"/>
        <c:marker>
          <c:symbol val="none"/>
        </c:marker>
      </c:pivotFmt>
    </c:pivotFmts>
    <c:plotArea>
      <c:layout/>
      <c:barChart>
        <c:barDir val="bar"/>
        <c:grouping val="stacked"/>
        <c:varyColors val="0"/>
        <c:ser>
          <c:idx val="0"/>
          <c:order val="0"/>
          <c:tx>
            <c:strRef>
              <c:f>Sheet1!$B$27:$B$28</c:f>
              <c:strCache>
                <c:ptCount val="1"/>
                <c:pt idx="0">
                  <c:v>No</c:v>
                </c:pt>
              </c:strCache>
            </c:strRef>
          </c:tx>
          <c:invertIfNegative val="0"/>
          <c:cat>
            <c:strRef>
              <c:f>Sheet1!$A$29:$A$40</c:f>
              <c:strCache>
                <c:ptCount val="11"/>
                <c:pt idx="0">
                  <c:v>Sales Revenue</c:v>
                </c:pt>
                <c:pt idx="1">
                  <c:v>Vendor Payment</c:v>
                </c:pt>
                <c:pt idx="2">
                  <c:v>Payroll</c:v>
                </c:pt>
                <c:pt idx="3">
                  <c:v>Marketing</c:v>
                </c:pt>
                <c:pt idx="4">
                  <c:v>Rent</c:v>
                </c:pt>
                <c:pt idx="5">
                  <c:v>Travel &amp; Entertainment</c:v>
                </c:pt>
                <c:pt idx="6">
                  <c:v>Office Supplies</c:v>
                </c:pt>
                <c:pt idx="7">
                  <c:v>Utilities</c:v>
                </c:pt>
                <c:pt idx="8">
                  <c:v>Interest Income</c:v>
                </c:pt>
                <c:pt idx="9">
                  <c:v>Bank Fees</c:v>
                </c:pt>
                <c:pt idx="10">
                  <c:v>Unclassified (Bank only)</c:v>
                </c:pt>
              </c:strCache>
            </c:strRef>
          </c:cat>
          <c:val>
            <c:numRef>
              <c:f>Sheet1!$B$29:$B$40</c:f>
              <c:numCache>
                <c:formatCode>General</c:formatCode>
                <c:ptCount val="11"/>
                <c:pt idx="0">
                  <c:v>1078173.6199999999</c:v>
                </c:pt>
                <c:pt idx="1">
                  <c:v>822259.98999999987</c:v>
                </c:pt>
                <c:pt idx="2">
                  <c:v>532843.88999999966</c:v>
                </c:pt>
                <c:pt idx="3">
                  <c:v>424140.8499999998</c:v>
                </c:pt>
                <c:pt idx="4">
                  <c:v>309720.48000000004</c:v>
                </c:pt>
                <c:pt idx="5">
                  <c:v>170228.14000000004</c:v>
                </c:pt>
                <c:pt idx="6">
                  <c:v>52095.909999999982</c:v>
                </c:pt>
                <c:pt idx="7">
                  <c:v>41177.740000000013</c:v>
                </c:pt>
                <c:pt idx="8">
                  <c:v>21137.26</c:v>
                </c:pt>
                <c:pt idx="9">
                  <c:v>6585.07</c:v>
                </c:pt>
              </c:numCache>
            </c:numRef>
          </c:val>
        </c:ser>
        <c:ser>
          <c:idx val="1"/>
          <c:order val="1"/>
          <c:tx>
            <c:strRef>
              <c:f>Sheet1!$C$27:$C$28</c:f>
              <c:strCache>
                <c:ptCount val="1"/>
                <c:pt idx="0">
                  <c:v>Yes</c:v>
                </c:pt>
              </c:strCache>
            </c:strRef>
          </c:tx>
          <c:invertIfNegative val="0"/>
          <c:cat>
            <c:strRef>
              <c:f>Sheet1!$A$29:$A$40</c:f>
              <c:strCache>
                <c:ptCount val="11"/>
                <c:pt idx="0">
                  <c:v>Sales Revenue</c:v>
                </c:pt>
                <c:pt idx="1">
                  <c:v>Vendor Payment</c:v>
                </c:pt>
                <c:pt idx="2">
                  <c:v>Payroll</c:v>
                </c:pt>
                <c:pt idx="3">
                  <c:v>Marketing</c:v>
                </c:pt>
                <c:pt idx="4">
                  <c:v>Rent</c:v>
                </c:pt>
                <c:pt idx="5">
                  <c:v>Travel &amp; Entertainment</c:v>
                </c:pt>
                <c:pt idx="6">
                  <c:v>Office Supplies</c:v>
                </c:pt>
                <c:pt idx="7">
                  <c:v>Utilities</c:v>
                </c:pt>
                <c:pt idx="8">
                  <c:v>Interest Income</c:v>
                </c:pt>
                <c:pt idx="9">
                  <c:v>Bank Fees</c:v>
                </c:pt>
                <c:pt idx="10">
                  <c:v>Unclassified (Bank only)</c:v>
                </c:pt>
              </c:strCache>
            </c:strRef>
          </c:cat>
          <c:val>
            <c:numRef>
              <c:f>Sheet1!$C$29:$C$40</c:f>
              <c:numCache>
                <c:formatCode>General</c:formatCode>
                <c:ptCount val="11"/>
                <c:pt idx="0">
                  <c:v>18808.11</c:v>
                </c:pt>
                <c:pt idx="1">
                  <c:v>153310.68</c:v>
                </c:pt>
                <c:pt idx="2">
                  <c:v>46445.120000000003</c:v>
                </c:pt>
                <c:pt idx="4">
                  <c:v>34196.69</c:v>
                </c:pt>
                <c:pt idx="5">
                  <c:v>3989.45</c:v>
                </c:pt>
                <c:pt idx="6">
                  <c:v>1154.46</c:v>
                </c:pt>
                <c:pt idx="7">
                  <c:v>747.51</c:v>
                </c:pt>
                <c:pt idx="9">
                  <c:v>137.82999999999998</c:v>
                </c:pt>
                <c:pt idx="10">
                  <c:v>2095.14</c:v>
                </c:pt>
              </c:numCache>
            </c:numRef>
          </c:val>
        </c:ser>
        <c:dLbls>
          <c:showLegendKey val="0"/>
          <c:showVal val="0"/>
          <c:showCatName val="0"/>
          <c:showSerName val="0"/>
          <c:showPercent val="0"/>
          <c:showBubbleSize val="0"/>
        </c:dLbls>
        <c:gapWidth val="150"/>
        <c:overlap val="100"/>
        <c:axId val="216673280"/>
        <c:axId val="191001344"/>
      </c:barChart>
      <c:catAx>
        <c:axId val="216673280"/>
        <c:scaling>
          <c:orientation val="minMax"/>
        </c:scaling>
        <c:delete val="0"/>
        <c:axPos val="l"/>
        <c:majorTickMark val="out"/>
        <c:minorTickMark val="none"/>
        <c:tickLblPos val="nextTo"/>
        <c:crossAx val="191001344"/>
        <c:crosses val="autoZero"/>
        <c:auto val="1"/>
        <c:lblAlgn val="ctr"/>
        <c:lblOffset val="100"/>
        <c:noMultiLvlLbl val="0"/>
      </c:catAx>
      <c:valAx>
        <c:axId val="191001344"/>
        <c:scaling>
          <c:orientation val="minMax"/>
        </c:scaling>
        <c:delete val="0"/>
        <c:axPos val="b"/>
        <c:majorGridlines/>
        <c:numFmt formatCode="General" sourceLinked="1"/>
        <c:majorTickMark val="out"/>
        <c:minorTickMark val="none"/>
        <c:tickLblPos val="nextTo"/>
        <c:crossAx val="2166732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[Audit_Reconciliation.xlsx]Sheet1!PivotTable3</c:name>
    <c:fmtId val="0"/>
  </c:pivotSource>
  <c:chart>
    <c:title>
      <c:layout/>
      <c:overlay val="0"/>
    </c:title>
    <c:autoTitleDeleted val="0"/>
    <c:pivotFmts>
      <c:pivotFmt>
        <c:idx val="0"/>
      </c:pivotFmt>
    </c:pivotFmts>
    <c:plotArea>
      <c:layout/>
      <c:lineChart>
        <c:grouping val="standard"/>
        <c:varyColors val="0"/>
        <c:ser>
          <c:idx val="0"/>
          <c:order val="0"/>
          <c:tx>
            <c:strRef>
              <c:f>Sheet1!$B$49</c:f>
              <c:strCache>
                <c:ptCount val="1"/>
                <c:pt idx="0">
                  <c:v>Total</c:v>
                </c:pt>
              </c:strCache>
            </c:strRef>
          </c:tx>
          <c:cat>
            <c:strRef>
              <c:f>Sheet1!$A$50:$A$62</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Sheet1!$B$50:$B$62</c:f>
              <c:numCache>
                <c:formatCode>General</c:formatCode>
                <c:ptCount val="12"/>
                <c:pt idx="0">
                  <c:v>7</c:v>
                </c:pt>
                <c:pt idx="1">
                  <c:v>2</c:v>
                </c:pt>
                <c:pt idx="2">
                  <c:v>4</c:v>
                </c:pt>
                <c:pt idx="3">
                  <c:v>5</c:v>
                </c:pt>
                <c:pt idx="4">
                  <c:v>7</c:v>
                </c:pt>
                <c:pt idx="5">
                  <c:v>2</c:v>
                </c:pt>
                <c:pt idx="6">
                  <c:v>7</c:v>
                </c:pt>
                <c:pt idx="7">
                  <c:v>10</c:v>
                </c:pt>
                <c:pt idx="8">
                  <c:v>4</c:v>
                </c:pt>
                <c:pt idx="9">
                  <c:v>6</c:v>
                </c:pt>
                <c:pt idx="10">
                  <c:v>4</c:v>
                </c:pt>
                <c:pt idx="11">
                  <c:v>5</c:v>
                </c:pt>
              </c:numCache>
            </c:numRef>
          </c:val>
          <c:smooth val="0"/>
        </c:ser>
        <c:dLbls>
          <c:showLegendKey val="0"/>
          <c:showVal val="0"/>
          <c:showCatName val="0"/>
          <c:showSerName val="0"/>
          <c:showPercent val="0"/>
          <c:showBubbleSize val="0"/>
        </c:dLbls>
        <c:marker val="1"/>
        <c:smooth val="0"/>
        <c:axId val="216716416"/>
        <c:axId val="216717952"/>
      </c:lineChart>
      <c:catAx>
        <c:axId val="216716416"/>
        <c:scaling>
          <c:orientation val="minMax"/>
        </c:scaling>
        <c:delete val="0"/>
        <c:axPos val="b"/>
        <c:majorTickMark val="out"/>
        <c:minorTickMark val="none"/>
        <c:tickLblPos val="nextTo"/>
        <c:crossAx val="216717952"/>
        <c:crosses val="autoZero"/>
        <c:auto val="1"/>
        <c:lblAlgn val="ctr"/>
        <c:lblOffset val="100"/>
        <c:noMultiLvlLbl val="0"/>
      </c:catAx>
      <c:valAx>
        <c:axId val="216717952"/>
        <c:scaling>
          <c:orientation val="minMax"/>
        </c:scaling>
        <c:delete val="0"/>
        <c:axPos val="l"/>
        <c:majorGridlines/>
        <c:numFmt formatCode="General" sourceLinked="1"/>
        <c:majorTickMark val="out"/>
        <c:minorTickMark val="none"/>
        <c:tickLblPos val="nextTo"/>
        <c:crossAx val="216716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295275</xdr:colOff>
      <xdr:row>4</xdr:row>
      <xdr:rowOff>52387</xdr:rowOff>
    </xdr:from>
    <xdr:to>
      <xdr:col>10</xdr:col>
      <xdr:colOff>466725</xdr:colOff>
      <xdr:row>18</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381000</xdr:colOff>
      <xdr:row>25</xdr:row>
      <xdr:rowOff>142875</xdr:rowOff>
    </xdr:from>
    <xdr:to>
      <xdr:col>14</xdr:col>
      <xdr:colOff>76200</xdr:colOff>
      <xdr:row>40</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46</xdr:row>
      <xdr:rowOff>90487</xdr:rowOff>
    </xdr:from>
    <xdr:to>
      <xdr:col>10</xdr:col>
      <xdr:colOff>76200</xdr:colOff>
      <xdr:row>60</xdr:row>
      <xdr:rowOff>166687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161925</xdr:colOff>
      <xdr:row>45</xdr:row>
      <xdr:rowOff>76200</xdr:rowOff>
    </xdr:from>
    <xdr:to>
      <xdr:col>23</xdr:col>
      <xdr:colOff>161925</xdr:colOff>
      <xdr:row>58</xdr:row>
      <xdr:rowOff>123825</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601825" y="864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466725</xdr:colOff>
      <xdr:row>45</xdr:row>
      <xdr:rowOff>180975</xdr:rowOff>
    </xdr:from>
    <xdr:to>
      <xdr:col>19</xdr:col>
      <xdr:colOff>466725</xdr:colOff>
      <xdr:row>59</xdr:row>
      <xdr:rowOff>38100</xdr:rowOff>
    </xdr:to>
    <mc:AlternateContent xmlns:mc="http://schemas.openxmlformats.org/markup-compatibility/2006">
      <mc:Choice xmlns:a14="http://schemas.microsoft.com/office/drawing/2010/main" Requires="a14">
        <xdr:graphicFrame macro="">
          <xdr:nvGraphicFramePr>
            <xdr:cNvPr id="6"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468225" y="8753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504825</xdr:colOff>
      <xdr:row>44</xdr:row>
      <xdr:rowOff>19050</xdr:rowOff>
    </xdr:from>
    <xdr:to>
      <xdr:col>15</xdr:col>
      <xdr:colOff>504825</xdr:colOff>
      <xdr:row>57</xdr:row>
      <xdr:rowOff>66675</xdr:rowOff>
    </xdr:to>
    <mc:AlternateContent xmlns:mc="http://schemas.openxmlformats.org/markup-compatibility/2006">
      <mc:Choice xmlns:a14="http://schemas.microsoft.com/office/drawing/2010/main" Requires="a14">
        <xdr:graphicFrame macro="">
          <xdr:nvGraphicFramePr>
            <xdr:cNvPr id="7" name="Has_Duplicate_ID"/>
            <xdr:cNvGraphicFramePr/>
          </xdr:nvGraphicFramePr>
          <xdr:xfrm>
            <a:off x="0" y="0"/>
            <a:ext cx="0" cy="0"/>
          </xdr:xfrm>
          <a:graphic>
            <a:graphicData uri="http://schemas.microsoft.com/office/drawing/2010/slicer">
              <sle:slicer xmlns:sle="http://schemas.microsoft.com/office/drawing/2010/slicer" name="Has_Duplicate_ID"/>
            </a:graphicData>
          </a:graphic>
        </xdr:graphicFrame>
      </mc:Choice>
      <mc:Fallback>
        <xdr:sp macro="" textlink="">
          <xdr:nvSpPr>
            <xdr:cNvPr id="0" name=""/>
            <xdr:cNvSpPr>
              <a:spLocks noTextEdit="1"/>
            </xdr:cNvSpPr>
          </xdr:nvSpPr>
          <xdr:spPr>
            <a:xfrm>
              <a:off x="10067925" y="840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orisnik" refreshedDate="46268.790724999999" createdVersion="4" refreshedVersion="4" minRefreshableVersion="3" recordCount="995">
  <cacheSource type="worksheet">
    <worksheetSource name="tblRecon"/>
  </cacheSource>
  <cacheFields count="15">
    <cacheField name="Transaction_ID" numFmtId="0">
      <sharedItems/>
    </cacheField>
    <cacheField name="Date" numFmtId="164">
      <sharedItems containsSemiMixedTypes="0" containsNonDate="0" containsDate="1" containsString="0" minDate="2024-01-01T00:00:00" maxDate="2024-12-31T00:00:00"/>
    </cacheField>
    <cacheField name="Month" numFmtId="166">
      <sharedItems containsSemiMixedTypes="0" containsNonDate="0" containsDate="1" containsString="0" minDate="2024-01-01T00:00:00" maxDate="2024-12-02T00:00:00" count="12">
        <d v="2024-02-01T00:00:00"/>
        <d v="2024-04-01T00:00:00"/>
        <d v="2024-08-01T00:00:00"/>
        <d v="2024-06-01T00:00:00"/>
        <d v="2024-10-01T00:00:00"/>
        <d v="2024-05-01T00:00:00"/>
        <d v="2024-12-01T00:00:00"/>
        <d v="2024-11-01T00:00:00"/>
        <d v="2024-03-01T00:00:00"/>
        <d v="2024-01-01T00:00:00"/>
        <d v="2024-07-01T00:00:00"/>
        <d v="2024-09-01T00:00:00"/>
      </sharedItems>
    </cacheField>
    <cacheField name="Category" numFmtId="0">
      <sharedItems count="11">
        <s v="Sales Revenue"/>
        <s v="Marketing"/>
        <s v="Rent"/>
        <s v="Office Supplies"/>
        <s v="Bank Fees"/>
        <s v="Payroll"/>
        <s v="Travel &amp; Entertainment"/>
        <s v="Interest Income"/>
        <s v="Vendor Payment"/>
        <s v="Utilities"/>
        <s v="Unclassified (Bank only)"/>
      </sharedItems>
    </cacheField>
    <cacheField name="Account" numFmtId="0">
      <sharedItems containsMixedTypes="1" containsNumber="1" containsInteger="1" minValue="4000" maxValue="6900"/>
    </cacheField>
    <cacheField name="Description_GL" numFmtId="0">
      <sharedItems containsBlank="1"/>
    </cacheField>
    <cacheField name="Description_Bank" numFmtId="0">
      <sharedItems containsBlank="1"/>
    </cacheField>
    <cacheField name="Amount_GL" numFmtId="165">
      <sharedItems containsString="0" containsBlank="1" containsNumber="1" minValue="-14982.66" maxValue="24872.959999999999"/>
    </cacheField>
    <cacheField name="Amount_Bank" numFmtId="165">
      <sharedItems containsString="0" containsBlank="1" containsNumber="1" minValue="-148822.20000000001" maxValue="188081.1"/>
    </cacheField>
    <cacheField name="Amount" numFmtId="165">
      <sharedItems containsSemiMixedTypes="0" containsString="0" containsNumber="1" minValue="-14982.66" maxValue="24872.959999999999"/>
    </cacheField>
    <cacheField name="Abs_Amount" numFmtId="165">
      <sharedItems containsSemiMixedTypes="0" containsString="0" containsNumber="1" minValue="5.08" maxValue="24872.959999999999"/>
    </cacheField>
    <cacheField name="Amount_Diff" numFmtId="165">
      <sharedItems containsString="0" containsBlank="1" containsNumber="1" minValue="-169272.99" maxValue="133939.98000000001"/>
    </cacheField>
    <cacheField name="Status" numFmtId="0">
      <sharedItems count="4">
        <s v="Matched"/>
        <s v="Amount Mismatch"/>
        <s v="Only in GL"/>
        <s v="Only in Bank"/>
      </sharedItems>
    </cacheField>
    <cacheField name="Is_Exception" numFmtId="0">
      <sharedItems count="2">
        <s v="No"/>
        <s v="Yes"/>
      </sharedItems>
    </cacheField>
    <cacheField name="Has_Duplicate_ID"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5">
  <r>
    <s v="TXN-00001"/>
    <d v="2024-02-04T00:00:00"/>
    <x v="0"/>
    <x v="0"/>
    <n v="4000"/>
    <s v="Customer deposit"/>
    <s v="CUSTOMER DEPOSIT"/>
    <n v="6585.96"/>
    <n v="6585.96"/>
    <n v="6585.96"/>
    <n v="6585.96"/>
    <m/>
    <x v="0"/>
    <x v="0"/>
    <x v="0"/>
  </r>
  <r>
    <s v="TXN-00002"/>
    <d v="2024-04-21T00:00:00"/>
    <x v="1"/>
    <x v="1"/>
    <n v="6500"/>
    <s v="Trade fair booth"/>
    <s v="TRADE FAIR BOOTH"/>
    <n v="-2071.65"/>
    <n v="-2071.65"/>
    <n v="-2071.65"/>
    <n v="2071.65"/>
    <m/>
    <x v="0"/>
    <x v="0"/>
    <x v="0"/>
  </r>
  <r>
    <s v="TXN-00003"/>
    <d v="2024-08-12T00:00:00"/>
    <x v="2"/>
    <x v="2"/>
    <n v="6100"/>
    <s v="Monthly office rent"/>
    <s v="MONTHLY OFFICE RENT"/>
    <n v="-5688.1"/>
    <n v="-5688.1"/>
    <n v="-5688.1"/>
    <n v="5688.1"/>
    <m/>
    <x v="0"/>
    <x v="0"/>
    <x v="0"/>
  </r>
  <r>
    <s v="TXN-00004"/>
    <d v="2024-06-05T00:00:00"/>
    <x v="3"/>
    <x v="3"/>
    <n v="6300"/>
    <s v="Stationery purchase"/>
    <s v="STATIONERY PURCHASE"/>
    <n v="-801.43"/>
    <n v="-801.43"/>
    <n v="-801.43"/>
    <n v="801.43"/>
    <m/>
    <x v="0"/>
    <x v="0"/>
    <x v="0"/>
  </r>
  <r>
    <s v="TXN-00005"/>
    <d v="2024-10-13T00:00:00"/>
    <x v="4"/>
    <x v="3"/>
    <n v="6300"/>
    <s v="Stationery purchase"/>
    <s v="STATIONERY PURCHASE"/>
    <n v="-475.54"/>
    <n v="-475.54"/>
    <n v="-475.54"/>
    <n v="475.54"/>
    <m/>
    <x v="0"/>
    <x v="0"/>
    <x v="0"/>
  </r>
  <r>
    <s v="TXN-00006"/>
    <d v="2024-08-11T00:00:00"/>
    <x v="2"/>
    <x v="4"/>
    <n v="6900"/>
    <s v="Card processing fee"/>
    <s v="CARD PROCESSING FEE"/>
    <n v="-76.14"/>
    <n v="-76.14"/>
    <n v="-76.14"/>
    <n v="76.14"/>
    <m/>
    <x v="0"/>
    <x v="0"/>
    <x v="0"/>
  </r>
  <r>
    <s v="TXN-00007"/>
    <d v="2024-05-26T00:00:00"/>
    <x v="5"/>
    <x v="0"/>
    <n v="4000"/>
    <s v="Customer deposit"/>
    <s v="CUSTOMER DEPOSIT"/>
    <n v="13645.92"/>
    <n v="13645.92"/>
    <n v="13645.92"/>
    <n v="13645.92"/>
    <m/>
    <x v="0"/>
    <x v="0"/>
    <x v="0"/>
  </r>
  <r>
    <s v="TXN-00008"/>
    <d v="2024-08-19T00:00:00"/>
    <x v="2"/>
    <x v="2"/>
    <n v="6100"/>
    <s v="Warehouse lease"/>
    <s v="WAREHOUSE LEASE"/>
    <n v="-3059.73"/>
    <n v="-3059.73"/>
    <n v="-3059.73"/>
    <n v="3059.73"/>
    <m/>
    <x v="0"/>
    <x v="0"/>
    <x v="0"/>
  </r>
  <r>
    <s v="TXN-00009"/>
    <d v="2024-12-20T00:00:00"/>
    <x v="6"/>
    <x v="5"/>
    <n v="6000"/>
    <s v="Payroll transfer"/>
    <s v="PAYROLL TRANSFER"/>
    <n v="-2819.47"/>
    <n v="-2819.47"/>
    <n v="-2819.47"/>
    <n v="2819.47"/>
    <m/>
    <x v="0"/>
    <x v="0"/>
    <x v="0"/>
  </r>
  <r>
    <s v="TXN-00010"/>
    <d v="2024-05-30T00:00:00"/>
    <x v="5"/>
    <x v="0"/>
    <n v="4000"/>
    <s v="Invoice payment received"/>
    <s v="INVOICE PAYMENT RECEIV"/>
    <n v="23830.12"/>
    <n v="23830.12"/>
    <n v="23830.12"/>
    <n v="23830.12"/>
    <m/>
    <x v="0"/>
    <x v="0"/>
    <x v="0"/>
  </r>
  <r>
    <s v="TXN-00011"/>
    <d v="2024-02-26T00:00:00"/>
    <x v="0"/>
    <x v="6"/>
    <n v="6400"/>
    <s v="Business trip - airfare"/>
    <s v="BUSINESS TRIP - AIRFAR"/>
    <n v="-3339.96"/>
    <n v="-3339.96"/>
    <n v="-3339.96"/>
    <n v="3339.96"/>
    <m/>
    <x v="0"/>
    <x v="0"/>
    <x v="0"/>
  </r>
  <r>
    <s v="TXN-00012"/>
    <d v="2024-05-29T00:00:00"/>
    <x v="5"/>
    <x v="7"/>
    <n v="4900"/>
    <s v="Savings interest"/>
    <s v="SAVINGS INTEREST"/>
    <n v="69.61"/>
    <n v="69.61"/>
    <n v="69.61"/>
    <n v="69.61"/>
    <m/>
    <x v="0"/>
    <x v="0"/>
    <x v="0"/>
  </r>
  <r>
    <s v="TXN-00013"/>
    <d v="2024-11-02T00:00:00"/>
    <x v="7"/>
    <x v="1"/>
    <n v="6500"/>
    <s v="Trade fair booth"/>
    <s v="TRADE FAIR BOOTH"/>
    <n v="-1780.58"/>
    <n v="-1780.58"/>
    <n v="-1780.58"/>
    <n v="1780.58"/>
    <m/>
    <x v="0"/>
    <x v="0"/>
    <x v="0"/>
  </r>
  <r>
    <s v="TXN-00014"/>
    <d v="2024-03-20T00:00:00"/>
    <x v="8"/>
    <x v="1"/>
    <n v="6500"/>
    <s v="Trade fair booth"/>
    <s v="TRADE FAIR BOOTH"/>
    <n v="-2137.5"/>
    <n v="-2137.5"/>
    <n v="-2137.5"/>
    <n v="2137.5"/>
    <m/>
    <x v="0"/>
    <x v="0"/>
    <x v="0"/>
  </r>
  <r>
    <s v="TXN-00015"/>
    <d v="2024-12-12T00:00:00"/>
    <x v="6"/>
    <x v="1"/>
    <n v="6500"/>
    <s v="Print advertising"/>
    <s v="PRINT ADVERTISING"/>
    <n v="-1083.78"/>
    <n v="-1083.78"/>
    <n v="-1083.78"/>
    <n v="1083.78"/>
    <m/>
    <x v="0"/>
    <x v="0"/>
    <x v="0"/>
  </r>
  <r>
    <s v="TXN-00016"/>
    <d v="2024-08-02T00:00:00"/>
    <x v="2"/>
    <x v="1"/>
    <n v="6500"/>
    <s v="Online ad campaign"/>
    <s v="ONLINE AD CAMPAIGN"/>
    <n v="-7347.26"/>
    <n v="-7347.26"/>
    <n v="-7347.26"/>
    <n v="7347.26"/>
    <m/>
    <x v="0"/>
    <x v="0"/>
    <x v="0"/>
  </r>
  <r>
    <s v="TXN-00017"/>
    <d v="2024-08-07T00:00:00"/>
    <x v="2"/>
    <x v="6"/>
    <n v="6400"/>
    <s v="Business trip - airfare"/>
    <s v="BUSINESS TRIP - AIRFAR"/>
    <n v="-2159.8000000000002"/>
    <n v="-2159.8000000000002"/>
    <n v="-2159.8000000000002"/>
    <n v="2159.8000000000002"/>
    <m/>
    <x v="0"/>
    <x v="0"/>
    <x v="0"/>
  </r>
  <r>
    <s v="TXN-00018"/>
    <d v="2024-04-25T00:00:00"/>
    <x v="1"/>
    <x v="8"/>
    <n v="5100"/>
    <s v="Supplier invoice"/>
    <s v="SUPPLIER INVOICE"/>
    <n v="-7082.21"/>
    <n v="-7082.21"/>
    <n v="-7082.21"/>
    <n v="7082.21"/>
    <m/>
    <x v="0"/>
    <x v="0"/>
    <x v="0"/>
  </r>
  <r>
    <s v="TXN-00019"/>
    <d v="2024-12-01T00:00:00"/>
    <x v="6"/>
    <x v="4"/>
    <n v="6900"/>
    <s v="Card processing fee"/>
    <s v="CARD PROCESSING FEE"/>
    <n v="-82.12"/>
    <n v="-82.12"/>
    <n v="-82.12"/>
    <n v="82.12"/>
    <m/>
    <x v="0"/>
    <x v="0"/>
    <x v="0"/>
  </r>
  <r>
    <s v="TXN-00020"/>
    <d v="2024-01-14T00:00:00"/>
    <x v="9"/>
    <x v="3"/>
    <n v="6300"/>
    <s v="Printer consumables"/>
    <s v="PRINTER CONSUMABLES"/>
    <n v="-184.77"/>
    <n v="-184.77"/>
    <n v="-184.77"/>
    <n v="184.77"/>
    <m/>
    <x v="0"/>
    <x v="0"/>
    <x v="0"/>
  </r>
  <r>
    <s v="TXN-00021"/>
    <d v="2024-04-19T00:00:00"/>
    <x v="1"/>
    <x v="6"/>
    <n v="6400"/>
    <s v="Hotel accommodation"/>
    <s v="HOTEL ACCOMMODATION"/>
    <n v="-2878.61"/>
    <n v="-2878.61"/>
    <n v="-2878.61"/>
    <n v="2878.61"/>
    <m/>
    <x v="0"/>
    <x v="0"/>
    <x v="0"/>
  </r>
  <r>
    <s v="TXN-00022"/>
    <d v="2024-06-01T00:00:00"/>
    <x v="3"/>
    <x v="9"/>
    <n v="6200"/>
    <s v="Internet &amp; telecom"/>
    <s v="INTERNET &amp; TELECOM"/>
    <n v="-902.86"/>
    <n v="-902.86"/>
    <n v="-902.86"/>
    <n v="902.86"/>
    <m/>
    <x v="0"/>
    <x v="0"/>
    <x v="0"/>
  </r>
  <r>
    <s v="TXN-00023"/>
    <d v="2024-06-23T00:00:00"/>
    <x v="3"/>
    <x v="8"/>
    <n v="5100"/>
    <s v="Vendor payment - materials"/>
    <s v="VENDOR PAYMENT - MATER"/>
    <n v="-2462.58"/>
    <n v="-2462.58"/>
    <n v="-2462.58"/>
    <n v="2462.58"/>
    <m/>
    <x v="0"/>
    <x v="0"/>
    <x v="0"/>
  </r>
  <r>
    <s v="TXN-00024"/>
    <d v="2024-06-22T00:00:00"/>
    <x v="3"/>
    <x v="7"/>
    <n v="4900"/>
    <s v="Savings interest"/>
    <s v="SAVINGS INTEREST"/>
    <n v="368.66"/>
    <n v="368.66"/>
    <n v="368.66"/>
    <n v="368.66"/>
    <m/>
    <x v="0"/>
    <x v="0"/>
    <x v="0"/>
  </r>
  <r>
    <s v="TXN-00025"/>
    <d v="2024-02-23T00:00:00"/>
    <x v="0"/>
    <x v="1"/>
    <n v="6500"/>
    <s v="Print advertising"/>
    <s v="PRINT ADVERTISING"/>
    <n v="-543.34"/>
    <n v="-543.34"/>
    <n v="-543.34"/>
    <n v="543.34"/>
    <m/>
    <x v="0"/>
    <x v="0"/>
    <x v="0"/>
  </r>
  <r>
    <s v="TXN-00026"/>
    <d v="2024-03-23T00:00:00"/>
    <x v="8"/>
    <x v="2"/>
    <n v="6100"/>
    <s v="Warehouse lease"/>
    <s v="WAREHOUSE LEASE"/>
    <n v="-2580.5"/>
    <n v="-2580.5"/>
    <n v="-2580.5"/>
    <n v="2580.5"/>
    <m/>
    <x v="0"/>
    <x v="0"/>
    <x v="0"/>
  </r>
  <r>
    <s v="TXN-00027"/>
    <d v="2024-02-04T00:00:00"/>
    <x v="0"/>
    <x v="3"/>
    <n v="6300"/>
    <s v="Stationery purchase"/>
    <s v="STATIONERY PURCHASE"/>
    <n v="-567.98"/>
    <n v="-567.98"/>
    <n v="-567.98"/>
    <n v="567.98"/>
    <m/>
    <x v="0"/>
    <x v="0"/>
    <x v="0"/>
  </r>
  <r>
    <s v="TXN-00028"/>
    <d v="2024-07-27T00:00:00"/>
    <x v="10"/>
    <x v="4"/>
    <n v="6900"/>
    <s v="Card processing fee"/>
    <s v="CARD PROCESSING FEE"/>
    <n v="-113.87"/>
    <n v="-113.87"/>
    <n v="-113.87"/>
    <n v="113.87"/>
    <m/>
    <x v="0"/>
    <x v="0"/>
    <x v="0"/>
  </r>
  <r>
    <s v="TXN-00029"/>
    <d v="2024-05-08T00:00:00"/>
    <x v="5"/>
    <x v="6"/>
    <n v="6400"/>
    <s v="Client dinner"/>
    <s v="CLIENT DINNER"/>
    <n v="-804.88"/>
    <n v="-804.88"/>
    <n v="-804.88"/>
    <n v="804.88"/>
    <m/>
    <x v="0"/>
    <x v="0"/>
    <x v="0"/>
  </r>
  <r>
    <s v="TXN-00030"/>
    <d v="2024-07-25T00:00:00"/>
    <x v="10"/>
    <x v="3"/>
    <n v="6300"/>
    <s v="Office equipment"/>
    <s v="OFFICE EQUIPMENT"/>
    <n v="-832.93"/>
    <n v="-832.93"/>
    <n v="-832.93"/>
    <n v="832.93"/>
    <m/>
    <x v="0"/>
    <x v="0"/>
    <x v="0"/>
  </r>
  <r>
    <s v="TXN-00031"/>
    <d v="2024-08-03T00:00:00"/>
    <x v="2"/>
    <x v="3"/>
    <n v="6300"/>
    <s v="Printer consumables"/>
    <s v="PRINTER CONSUMABLES"/>
    <n v="-582.33000000000004"/>
    <n v="-582.33000000000004"/>
    <n v="-582.33000000000004"/>
    <n v="582.33000000000004"/>
    <m/>
    <x v="0"/>
    <x v="0"/>
    <x v="0"/>
  </r>
  <r>
    <s v="TXN-00032"/>
    <d v="2024-09-13T00:00:00"/>
    <x v="11"/>
    <x v="5"/>
    <n v="6000"/>
    <s v="Payroll transfer"/>
    <s v="PAYROLL TRANSFER"/>
    <n v="-1524.24"/>
    <n v="-1524.24"/>
    <n v="-1524.24"/>
    <n v="1524.24"/>
    <m/>
    <x v="0"/>
    <x v="0"/>
    <x v="0"/>
  </r>
  <r>
    <s v="TXN-00033"/>
    <d v="2024-07-18T00:00:00"/>
    <x v="10"/>
    <x v="0"/>
    <n v="4000"/>
    <s v="Customer deposit"/>
    <s v="CUSTOMER DEPOSIT"/>
    <n v="7381.96"/>
    <n v="7381.96"/>
    <n v="7381.96"/>
    <n v="7381.96"/>
    <m/>
    <x v="0"/>
    <x v="0"/>
    <x v="0"/>
  </r>
  <r>
    <s v="TXN-00034"/>
    <d v="2024-08-24T00:00:00"/>
    <x v="2"/>
    <x v="6"/>
    <n v="6400"/>
    <s v="Hotel accommodation"/>
    <s v="HOTEL ACCOMMODATION"/>
    <n v="-292.26"/>
    <n v="-292.26"/>
    <n v="-292.26"/>
    <n v="292.26"/>
    <m/>
    <x v="0"/>
    <x v="0"/>
    <x v="0"/>
  </r>
  <r>
    <s v="TXN-00035"/>
    <d v="2024-08-02T00:00:00"/>
    <x v="2"/>
    <x v="4"/>
    <n v="6900"/>
    <s v="Wire transfer fee"/>
    <s v="WIRE TRANSFER FEE"/>
    <n v="-23.71"/>
    <n v="-23.71"/>
    <n v="-23.71"/>
    <n v="23.71"/>
    <m/>
    <x v="0"/>
    <x v="0"/>
    <x v="0"/>
  </r>
  <r>
    <s v="TXN-00036"/>
    <d v="2024-08-26T00:00:00"/>
    <x v="2"/>
    <x v="0"/>
    <n v="4000"/>
    <s v="Customer deposit"/>
    <s v="CUSTOMER DEPOSIT"/>
    <n v="4232"/>
    <n v="4232"/>
    <n v="4232"/>
    <n v="4232"/>
    <m/>
    <x v="0"/>
    <x v="0"/>
    <x v="0"/>
  </r>
  <r>
    <s v="TXN-00037"/>
    <d v="2024-08-13T00:00:00"/>
    <x v="2"/>
    <x v="4"/>
    <n v="6900"/>
    <s v="Card processing fee"/>
    <s v="CARD PROCESSING FEE"/>
    <n v="-61.97"/>
    <n v="-61.97"/>
    <n v="-61.97"/>
    <n v="61.97"/>
    <m/>
    <x v="0"/>
    <x v="0"/>
    <x v="0"/>
  </r>
  <r>
    <s v="TXN-00038"/>
    <d v="2024-04-25T00:00:00"/>
    <x v="1"/>
    <x v="4"/>
    <n v="6900"/>
    <s v="Wire transfer fee"/>
    <s v="WIRE TRANSFER FEE"/>
    <n v="-138.66999999999999"/>
    <n v="-138.66999999999999"/>
    <n v="-138.66999999999999"/>
    <n v="138.66999999999999"/>
    <m/>
    <x v="0"/>
    <x v="0"/>
    <x v="0"/>
  </r>
  <r>
    <s v="TXN-00039"/>
    <d v="2024-03-30T00:00:00"/>
    <x v="8"/>
    <x v="5"/>
    <n v="6000"/>
    <s v="Payroll transfer"/>
    <s v="PAYROLL TRANSFER"/>
    <n v="-9124.89"/>
    <n v="-9124.89"/>
    <n v="-9124.89"/>
    <n v="9124.89"/>
    <m/>
    <x v="0"/>
    <x v="0"/>
    <x v="0"/>
  </r>
  <r>
    <s v="TXN-00040"/>
    <d v="2024-10-14T00:00:00"/>
    <x v="4"/>
    <x v="2"/>
    <n v="6100"/>
    <s v="Monthly office rent"/>
    <s v="MONTHLY OFFICE RENT"/>
    <n v="-3197.72"/>
    <n v="-3197.72"/>
    <n v="-3197.72"/>
    <n v="3197.72"/>
    <m/>
    <x v="0"/>
    <x v="0"/>
    <x v="0"/>
  </r>
  <r>
    <s v="TXN-00041"/>
    <d v="2024-05-05T00:00:00"/>
    <x v="5"/>
    <x v="8"/>
    <n v="5100"/>
    <s v="Supplier invoice"/>
    <s v="SUPPLIER INVOICE"/>
    <n v="-9075.49"/>
    <n v="-9075.49"/>
    <n v="-9075.49"/>
    <n v="9075.49"/>
    <m/>
    <x v="0"/>
    <x v="0"/>
    <x v="0"/>
  </r>
  <r>
    <s v="TXN-00042"/>
    <d v="2024-07-19T00:00:00"/>
    <x v="10"/>
    <x v="1"/>
    <n v="6500"/>
    <s v="Trade fair booth"/>
    <s v="TRADE FAIR BOOTH"/>
    <n v="-3861.35"/>
    <n v="-3861.35"/>
    <n v="-3861.35"/>
    <n v="3861.35"/>
    <m/>
    <x v="0"/>
    <x v="0"/>
    <x v="0"/>
  </r>
  <r>
    <s v="TXN-00043"/>
    <d v="2024-03-12T00:00:00"/>
    <x v="8"/>
    <x v="1"/>
    <n v="6500"/>
    <s v="Trade fair booth"/>
    <s v="TRADE FAIR BOOTH"/>
    <n v="-2840.3"/>
    <n v="-2840.3"/>
    <n v="-2840.3"/>
    <n v="2840.3"/>
    <m/>
    <x v="0"/>
    <x v="0"/>
    <x v="0"/>
  </r>
  <r>
    <s v="TXN-00044"/>
    <d v="2024-06-06T00:00:00"/>
    <x v="3"/>
    <x v="9"/>
    <n v="6200"/>
    <s v="Internet &amp; telecom"/>
    <s v="INTERNET &amp; TELECOM"/>
    <n v="-253.82"/>
    <n v="-253.82"/>
    <n v="-253.82"/>
    <n v="253.82"/>
    <m/>
    <x v="0"/>
    <x v="0"/>
    <x v="0"/>
  </r>
  <r>
    <s v="TXN-00045"/>
    <d v="2024-07-12T00:00:00"/>
    <x v="10"/>
    <x v="0"/>
    <n v="4000"/>
    <s v="Invoice payment received"/>
    <s v="INVOICE PAYMENT RECEIV"/>
    <n v="21227.19"/>
    <n v="21227.19"/>
    <n v="21227.19"/>
    <n v="21227.19"/>
    <m/>
    <x v="0"/>
    <x v="0"/>
    <x v="0"/>
  </r>
  <r>
    <s v="TXN-00046"/>
    <d v="2024-08-16T00:00:00"/>
    <x v="2"/>
    <x v="7"/>
    <n v="4900"/>
    <s v="Interest accrual"/>
    <s v="INTEREST ACCRUAL"/>
    <n v="20.9"/>
    <n v="20.9"/>
    <n v="20.9"/>
    <n v="20.9"/>
    <m/>
    <x v="0"/>
    <x v="0"/>
    <x v="0"/>
  </r>
  <r>
    <s v="TXN-00047"/>
    <d v="2024-07-11T00:00:00"/>
    <x v="10"/>
    <x v="3"/>
    <n v="6300"/>
    <s v="Office equipment"/>
    <s v="OFFICE EQUIPMENT"/>
    <n v="-805.39"/>
    <n v="-805.39"/>
    <n v="-805.39"/>
    <n v="805.39"/>
    <m/>
    <x v="0"/>
    <x v="0"/>
    <x v="0"/>
  </r>
  <r>
    <s v="TXN-00048"/>
    <d v="2024-05-11T00:00:00"/>
    <x v="5"/>
    <x v="4"/>
    <n v="6900"/>
    <s v="Wire transfer fee"/>
    <s v="WIRE TRANSFER FEE"/>
    <n v="-113.69"/>
    <n v="-113.69"/>
    <n v="-113.69"/>
    <n v="113.69"/>
    <m/>
    <x v="0"/>
    <x v="0"/>
    <x v="0"/>
  </r>
  <r>
    <s v="TXN-00049"/>
    <d v="2024-12-17T00:00:00"/>
    <x v="6"/>
    <x v="2"/>
    <n v="6100"/>
    <s v="Monthly office rent"/>
    <s v="MONTHLY OFFICE RENT"/>
    <n v="-3563.35"/>
    <n v="-3563.35"/>
    <n v="-3563.35"/>
    <n v="3563.35"/>
    <m/>
    <x v="0"/>
    <x v="0"/>
    <x v="0"/>
  </r>
  <r>
    <s v="TXN-00050"/>
    <d v="2024-07-06T00:00:00"/>
    <x v="10"/>
    <x v="1"/>
    <n v="6500"/>
    <s v="Print advertising"/>
    <s v="PRINT ADVERTISING"/>
    <n v="-5330.97"/>
    <n v="-5330.97"/>
    <n v="-5330.97"/>
    <n v="5330.97"/>
    <m/>
    <x v="0"/>
    <x v="0"/>
    <x v="0"/>
  </r>
  <r>
    <s v="TXN-00051"/>
    <d v="2024-10-22T00:00:00"/>
    <x v="4"/>
    <x v="1"/>
    <n v="6500"/>
    <s v="Online ad campaign"/>
    <s v="ONLINE AD CAMPAIGN"/>
    <n v="-7588.15"/>
    <n v="-7588.15"/>
    <n v="-7588.15"/>
    <n v="7588.15"/>
    <m/>
    <x v="0"/>
    <x v="0"/>
    <x v="0"/>
  </r>
  <r>
    <s v="TXN-00052"/>
    <d v="2024-09-25T00:00:00"/>
    <x v="11"/>
    <x v="8"/>
    <n v="5100"/>
    <s v="Supplier invoice"/>
    <s v="SUPPLIER INVOICE"/>
    <n v="-5621.77"/>
    <n v="-5621.77"/>
    <n v="-5621.77"/>
    <n v="5621.77"/>
    <m/>
    <x v="0"/>
    <x v="0"/>
    <x v="0"/>
  </r>
  <r>
    <s v="TXN-00053"/>
    <d v="2024-07-22T00:00:00"/>
    <x v="10"/>
    <x v="9"/>
    <n v="6200"/>
    <s v="Internet &amp; telecom"/>
    <s v="INTERNET &amp; TELECOM"/>
    <n v="-513.61"/>
    <n v="-513.61"/>
    <n v="-513.61"/>
    <n v="513.61"/>
    <m/>
    <x v="0"/>
    <x v="0"/>
    <x v="0"/>
  </r>
  <r>
    <s v="TXN-00054"/>
    <d v="2024-11-19T00:00:00"/>
    <x v="7"/>
    <x v="3"/>
    <n v="6300"/>
    <s v="Office equipment"/>
    <s v="OFFICE EQUIPMENT"/>
    <n v="-514.4"/>
    <n v="-514.4"/>
    <n v="-514.4"/>
    <n v="514.4"/>
    <m/>
    <x v="0"/>
    <x v="0"/>
    <x v="0"/>
  </r>
  <r>
    <s v="TXN-00055"/>
    <d v="2024-02-16T00:00:00"/>
    <x v="0"/>
    <x v="3"/>
    <n v="6300"/>
    <s v="Stationery purchase"/>
    <s v="STATIONERY PURCHASE"/>
    <n v="-467.86"/>
    <n v="-467.86"/>
    <n v="-467.86"/>
    <n v="467.86"/>
    <m/>
    <x v="0"/>
    <x v="0"/>
    <x v="0"/>
  </r>
  <r>
    <s v="TXN-00056"/>
    <d v="2024-12-02T00:00:00"/>
    <x v="6"/>
    <x v="0"/>
    <n v="4000"/>
    <s v="Product sale"/>
    <s v="PRODUCT SALE"/>
    <n v="22723.62"/>
    <n v="22723.62"/>
    <n v="22723.62"/>
    <n v="22723.62"/>
    <m/>
    <x v="0"/>
    <x v="0"/>
    <x v="0"/>
  </r>
  <r>
    <s v="TXN-00057"/>
    <d v="2024-11-06T00:00:00"/>
    <x v="7"/>
    <x v="6"/>
    <n v="6400"/>
    <s v="Business trip - airfare"/>
    <s v="BUSINESS TRIP - AIRFAR"/>
    <n v="-2292.9899999999998"/>
    <n v="-2292.9899999999998"/>
    <n v="-2292.9899999999998"/>
    <n v="2292.9899999999998"/>
    <m/>
    <x v="0"/>
    <x v="0"/>
    <x v="0"/>
  </r>
  <r>
    <s v="TXN-00058"/>
    <d v="2024-07-02T00:00:00"/>
    <x v="10"/>
    <x v="8"/>
    <n v="5100"/>
    <s v="Vendor payment - materials"/>
    <s v="VENDOR PAYMENT - MATER"/>
    <n v="-5266.96"/>
    <n v="-5266.96"/>
    <n v="-5266.96"/>
    <n v="5266.96"/>
    <m/>
    <x v="0"/>
    <x v="0"/>
    <x v="0"/>
  </r>
  <r>
    <s v="TXN-00059"/>
    <d v="2024-09-24T00:00:00"/>
    <x v="11"/>
    <x v="1"/>
    <n v="6500"/>
    <s v="Print advertising"/>
    <s v="PRINT ADVERTISING"/>
    <n v="-3604.39"/>
    <n v="-3604.39"/>
    <n v="-3604.39"/>
    <n v="3604.39"/>
    <m/>
    <x v="0"/>
    <x v="0"/>
    <x v="0"/>
  </r>
  <r>
    <s v="TXN-00060"/>
    <d v="2024-07-08T00:00:00"/>
    <x v="10"/>
    <x v="2"/>
    <n v="6100"/>
    <s v="Warehouse lease"/>
    <s v="WAREHOUSE LEASE"/>
    <n v="-1454.2"/>
    <n v="-1454.2"/>
    <n v="-1454.2"/>
    <n v="1454.2"/>
    <m/>
    <x v="0"/>
    <x v="0"/>
    <x v="0"/>
  </r>
  <r>
    <s v="TXN-00061"/>
    <d v="2024-04-08T00:00:00"/>
    <x v="1"/>
    <x v="7"/>
    <n v="4900"/>
    <s v="Interest accrual"/>
    <s v="INTEREST ACCRUAL"/>
    <n v="268.66000000000003"/>
    <n v="268.66000000000003"/>
    <n v="268.66000000000003"/>
    <n v="268.66000000000003"/>
    <m/>
    <x v="0"/>
    <x v="0"/>
    <x v="0"/>
  </r>
  <r>
    <s v="TXN-00062"/>
    <d v="2024-10-18T00:00:00"/>
    <x v="4"/>
    <x v="1"/>
    <n v="6500"/>
    <s v="Online ad campaign"/>
    <s v="ONLINE AD CAMPAIGN"/>
    <n v="-5295.81"/>
    <n v="-5295.81"/>
    <n v="-5295.81"/>
    <n v="5295.81"/>
    <m/>
    <x v="0"/>
    <x v="0"/>
    <x v="0"/>
  </r>
  <r>
    <s v="TXN-00063"/>
    <d v="2024-03-30T00:00:00"/>
    <x v="8"/>
    <x v="9"/>
    <n v="6200"/>
    <s v="Internet &amp; telecom"/>
    <s v="INTERNET &amp; TELECOM"/>
    <n v="-72.73"/>
    <n v="-72.73"/>
    <n v="-72.73"/>
    <n v="72.73"/>
    <m/>
    <x v="0"/>
    <x v="0"/>
    <x v="0"/>
  </r>
  <r>
    <s v="TXN-00064"/>
    <d v="2024-04-24T00:00:00"/>
    <x v="1"/>
    <x v="7"/>
    <n v="4900"/>
    <s v="Savings interest"/>
    <s v="SAVINGS INTEREST"/>
    <n v="133.99"/>
    <n v="133.99"/>
    <n v="133.99"/>
    <n v="133.99"/>
    <m/>
    <x v="0"/>
    <x v="0"/>
    <x v="0"/>
  </r>
  <r>
    <s v="TXN-00065"/>
    <d v="2024-07-08T00:00:00"/>
    <x v="10"/>
    <x v="3"/>
    <n v="6300"/>
    <s v="Office equipment"/>
    <s v="OFFICE EQUIPMENT"/>
    <n v="-704.77"/>
    <n v="-704.77"/>
    <n v="-704.77"/>
    <n v="704.77"/>
    <m/>
    <x v="0"/>
    <x v="0"/>
    <x v="0"/>
  </r>
  <r>
    <s v="TXN-00066"/>
    <d v="2024-11-01T00:00:00"/>
    <x v="7"/>
    <x v="9"/>
    <n v="6200"/>
    <s v="Electricity bill"/>
    <s v="ELECTRICITY BILL"/>
    <n v="-1039.72"/>
    <n v="-1039.72"/>
    <n v="-1039.72"/>
    <n v="1039.72"/>
    <m/>
    <x v="0"/>
    <x v="0"/>
    <x v="0"/>
  </r>
  <r>
    <s v="TXN-00067"/>
    <d v="2024-05-20T00:00:00"/>
    <x v="5"/>
    <x v="7"/>
    <n v="4900"/>
    <s v="Interest accrual"/>
    <s v="INTEREST ACCRUAL"/>
    <n v="268.8"/>
    <n v="268.8"/>
    <n v="268.8"/>
    <n v="268.8"/>
    <m/>
    <x v="0"/>
    <x v="0"/>
    <x v="0"/>
  </r>
  <r>
    <s v="TXN-00068"/>
    <d v="2024-06-29T00:00:00"/>
    <x v="3"/>
    <x v="9"/>
    <n v="6200"/>
    <s v="Electricity bill"/>
    <s v="ELECTRICITY BILL"/>
    <n v="-198.77"/>
    <n v="-198.77"/>
    <n v="-198.77"/>
    <n v="198.77"/>
    <m/>
    <x v="0"/>
    <x v="0"/>
    <x v="0"/>
  </r>
  <r>
    <s v="TXN-00069"/>
    <d v="2024-01-16T00:00:00"/>
    <x v="9"/>
    <x v="0"/>
    <n v="4000"/>
    <s v="Product sale"/>
    <s v="PRODUCT SALE"/>
    <n v="3897.04"/>
    <n v="3897.04"/>
    <n v="3897.04"/>
    <n v="3897.04"/>
    <m/>
    <x v="0"/>
    <x v="0"/>
    <x v="0"/>
  </r>
  <r>
    <s v="TXN-00070"/>
    <d v="2024-02-12T00:00:00"/>
    <x v="0"/>
    <x v="3"/>
    <n v="6300"/>
    <s v="Stationery purchase"/>
    <s v="STATIONERY PURCHASE"/>
    <n v="-269.5"/>
    <n v="-269.5"/>
    <n v="-269.5"/>
    <n v="269.5"/>
    <m/>
    <x v="0"/>
    <x v="0"/>
    <x v="0"/>
  </r>
  <r>
    <s v="TXN-00071"/>
    <d v="2024-01-21T00:00:00"/>
    <x v="9"/>
    <x v="1"/>
    <n v="6500"/>
    <s v="Online ad campaign"/>
    <s v="ONLINE AD CAMPAIGN"/>
    <n v="-7296.07"/>
    <n v="-7296.07"/>
    <n v="-7296.07"/>
    <n v="7296.07"/>
    <m/>
    <x v="0"/>
    <x v="0"/>
    <x v="0"/>
  </r>
  <r>
    <s v="TXN-00072"/>
    <d v="2024-01-27T00:00:00"/>
    <x v="9"/>
    <x v="8"/>
    <n v="5100"/>
    <s v="Contractor fee"/>
    <s v="CONTRACTOR FEE"/>
    <n v="-3197.33"/>
    <n v="-3197.33"/>
    <n v="-3197.33"/>
    <n v="3197.33"/>
    <m/>
    <x v="0"/>
    <x v="0"/>
    <x v="0"/>
  </r>
  <r>
    <s v="TXN-00073"/>
    <d v="2024-11-13T00:00:00"/>
    <x v="7"/>
    <x v="3"/>
    <n v="6300"/>
    <s v="Office equipment"/>
    <s v="OFFICE EQUIPMENT"/>
    <n v="-637.22"/>
    <n v="-637.22"/>
    <n v="-637.22"/>
    <n v="637.22"/>
    <m/>
    <x v="0"/>
    <x v="0"/>
    <x v="0"/>
  </r>
  <r>
    <s v="TXN-00074"/>
    <d v="2024-11-03T00:00:00"/>
    <x v="7"/>
    <x v="8"/>
    <n v="5100"/>
    <s v="Vendor payment - materials"/>
    <s v="VENDOR PAYMENT - MATER"/>
    <n v="-14303.25"/>
    <n v="-14303.25"/>
    <n v="-14303.25"/>
    <n v="14303.25"/>
    <m/>
    <x v="0"/>
    <x v="0"/>
    <x v="0"/>
  </r>
  <r>
    <s v="TXN-00075"/>
    <d v="2024-10-26T00:00:00"/>
    <x v="4"/>
    <x v="2"/>
    <n v="6100"/>
    <s v="Warehouse lease"/>
    <s v="WAREHOUSE LEASE"/>
    <n v="-2126.56"/>
    <n v="-2126.56"/>
    <n v="-2126.56"/>
    <n v="2126.56"/>
    <m/>
    <x v="0"/>
    <x v="0"/>
    <x v="0"/>
  </r>
  <r>
    <s v="TXN-00076"/>
    <d v="2024-01-21T00:00:00"/>
    <x v="9"/>
    <x v="3"/>
    <n v="6300"/>
    <s v="Printer consumables"/>
    <s v="PRINTER CONSUMABLES"/>
    <n v="-570.41999999999996"/>
    <n v="-570.41999999999996"/>
    <n v="-570.41999999999996"/>
    <n v="570.41999999999996"/>
    <m/>
    <x v="0"/>
    <x v="0"/>
    <x v="0"/>
  </r>
  <r>
    <s v="TXN-00077"/>
    <d v="2024-01-29T00:00:00"/>
    <x v="9"/>
    <x v="9"/>
    <n v="6200"/>
    <s v="Electricity bill"/>
    <s v="ELECTRICITY BILL"/>
    <n v="-1172.55"/>
    <n v="-1172.55"/>
    <n v="-1172.55"/>
    <n v="1172.55"/>
    <m/>
    <x v="0"/>
    <x v="0"/>
    <x v="0"/>
  </r>
  <r>
    <s v="TXN-00078"/>
    <d v="2024-04-12T00:00:00"/>
    <x v="1"/>
    <x v="5"/>
    <n v="6000"/>
    <s v="Monthly salary run"/>
    <s v="MONTHLY SALARY RUN"/>
    <n v="-5696.6"/>
    <n v="-5696.6"/>
    <n v="-5696.6"/>
    <n v="5696.6"/>
    <m/>
    <x v="0"/>
    <x v="0"/>
    <x v="0"/>
  </r>
  <r>
    <s v="TXN-00079"/>
    <d v="2024-07-25T00:00:00"/>
    <x v="10"/>
    <x v="6"/>
    <n v="6400"/>
    <s v="Client dinner"/>
    <s v="CLIENT DINNER"/>
    <n v="-159.44"/>
    <n v="-159.44"/>
    <n v="-159.44"/>
    <n v="159.44"/>
    <m/>
    <x v="0"/>
    <x v="0"/>
    <x v="0"/>
  </r>
  <r>
    <s v="TXN-00080"/>
    <d v="2024-05-01T00:00:00"/>
    <x v="5"/>
    <x v="2"/>
    <n v="6100"/>
    <s v="Rent payment"/>
    <s v="RENT PAYMENT"/>
    <n v="-2880.32"/>
    <n v="-2880.32"/>
    <n v="-2880.32"/>
    <n v="2880.32"/>
    <m/>
    <x v="0"/>
    <x v="0"/>
    <x v="0"/>
  </r>
  <r>
    <s v="TXN-00081"/>
    <d v="2024-06-26T00:00:00"/>
    <x v="3"/>
    <x v="7"/>
    <n v="4900"/>
    <s v="Interest accrual"/>
    <s v="INTEREST ACCRUAL"/>
    <n v="246.04"/>
    <n v="246.04"/>
    <n v="246.04"/>
    <n v="246.04"/>
    <m/>
    <x v="0"/>
    <x v="0"/>
    <x v="0"/>
  </r>
  <r>
    <s v="TXN-00082"/>
    <d v="2024-03-04T00:00:00"/>
    <x v="8"/>
    <x v="3"/>
    <n v="6300"/>
    <s v="Office equipment"/>
    <s v="OFFICE EQUIPMENT"/>
    <n v="-410.67"/>
    <n v="-410.67"/>
    <n v="-410.67"/>
    <n v="410.67"/>
    <m/>
    <x v="0"/>
    <x v="0"/>
    <x v="0"/>
  </r>
  <r>
    <s v="TXN-00083"/>
    <d v="2024-09-23T00:00:00"/>
    <x v="11"/>
    <x v="8"/>
    <n v="5100"/>
    <s v="Supplier invoice"/>
    <s v="SUPPLIER INVOICE"/>
    <n v="-12838.97"/>
    <n v="-12838.97"/>
    <n v="-12838.97"/>
    <n v="12838.97"/>
    <m/>
    <x v="0"/>
    <x v="0"/>
    <x v="0"/>
  </r>
  <r>
    <s v="TXN-00084"/>
    <d v="2024-04-24T00:00:00"/>
    <x v="1"/>
    <x v="4"/>
    <n v="6900"/>
    <s v="Card processing fee"/>
    <s v="CARD PROCESSING FEE"/>
    <n v="-51.72"/>
    <n v="-51.72"/>
    <n v="-51.72"/>
    <n v="51.72"/>
    <m/>
    <x v="0"/>
    <x v="0"/>
    <x v="0"/>
  </r>
  <r>
    <s v="TXN-00085"/>
    <d v="2024-01-25T00:00:00"/>
    <x v="9"/>
    <x v="2"/>
    <n v="6100"/>
    <s v="Rent payment"/>
    <s v="RENT PAYMENT"/>
    <n v="-3347.09"/>
    <n v="-3347.09"/>
    <n v="-3347.09"/>
    <n v="3347.09"/>
    <m/>
    <x v="0"/>
    <x v="0"/>
    <x v="0"/>
  </r>
  <r>
    <s v="TXN-00086"/>
    <d v="2024-09-28T00:00:00"/>
    <x v="11"/>
    <x v="1"/>
    <n v="6500"/>
    <s v="Trade fair booth"/>
    <s v="TRADE FAIR BOOTH"/>
    <n v="-5112.79"/>
    <n v="-5112.79"/>
    <n v="-5112.79"/>
    <n v="5112.79"/>
    <m/>
    <x v="0"/>
    <x v="0"/>
    <x v="0"/>
  </r>
  <r>
    <s v="TXN-00087"/>
    <d v="2024-11-25T00:00:00"/>
    <x v="7"/>
    <x v="0"/>
    <n v="4000"/>
    <s v="Product sale"/>
    <s v="PRODUCT SALE"/>
    <n v="6483.02"/>
    <n v="6483.02"/>
    <n v="6483.02"/>
    <n v="6483.02"/>
    <m/>
    <x v="0"/>
    <x v="0"/>
    <x v="1"/>
  </r>
  <r>
    <s v="TXN-00088"/>
    <d v="2024-01-06T00:00:00"/>
    <x v="9"/>
    <x v="9"/>
    <n v="6200"/>
    <s v="Water utility"/>
    <s v="WATER UTILITY"/>
    <n v="-1099.57"/>
    <n v="-1099.57"/>
    <n v="-1099.57"/>
    <n v="1099.57"/>
    <m/>
    <x v="0"/>
    <x v="0"/>
    <x v="0"/>
  </r>
  <r>
    <s v="TXN-00089"/>
    <d v="2024-06-08T00:00:00"/>
    <x v="3"/>
    <x v="1"/>
    <n v="6500"/>
    <s v="Print advertising"/>
    <s v="PRINT ADVERTISING"/>
    <n v="-6770.08"/>
    <n v="-6770.08"/>
    <n v="-6770.08"/>
    <n v="6770.08"/>
    <m/>
    <x v="0"/>
    <x v="0"/>
    <x v="0"/>
  </r>
  <r>
    <s v="TXN-00090"/>
    <d v="2024-10-28T00:00:00"/>
    <x v="4"/>
    <x v="4"/>
    <n v="6900"/>
    <s v="Card processing fee"/>
    <s v="CARD PROCESSING FEE"/>
    <n v="-146.84"/>
    <n v="-146.84"/>
    <n v="-146.84"/>
    <n v="146.84"/>
    <m/>
    <x v="0"/>
    <x v="0"/>
    <x v="0"/>
  </r>
  <r>
    <s v="TXN-00091"/>
    <d v="2024-09-14T00:00:00"/>
    <x v="11"/>
    <x v="3"/>
    <n v="6300"/>
    <s v="Stationery purchase"/>
    <s v="STATIONERY PURCHASE"/>
    <n v="-692.91"/>
    <n v="-692.91"/>
    <n v="-692.91"/>
    <n v="692.91"/>
    <m/>
    <x v="0"/>
    <x v="0"/>
    <x v="0"/>
  </r>
  <r>
    <s v="TXN-00092"/>
    <d v="2024-11-08T00:00:00"/>
    <x v="7"/>
    <x v="4"/>
    <n v="6900"/>
    <s v="Card processing fee"/>
    <s v="CARD PROCESSING FEE"/>
    <n v="-115.58"/>
    <n v="-115.58"/>
    <n v="-115.58"/>
    <n v="115.58"/>
    <m/>
    <x v="0"/>
    <x v="0"/>
    <x v="0"/>
  </r>
  <r>
    <s v="TXN-00093"/>
    <d v="2024-05-31T00:00:00"/>
    <x v="5"/>
    <x v="4"/>
    <n v="6900"/>
    <s v="Account maintenance fee"/>
    <s v="ACCOUNT MAINTENANCE FE"/>
    <n v="-71.19"/>
    <n v="-71.19"/>
    <n v="-71.19"/>
    <n v="71.19"/>
    <m/>
    <x v="0"/>
    <x v="0"/>
    <x v="0"/>
  </r>
  <r>
    <s v="TXN-00094"/>
    <d v="2024-05-15T00:00:00"/>
    <x v="5"/>
    <x v="9"/>
    <n v="6200"/>
    <s v="Water utility"/>
    <s v="WATER UTILITY"/>
    <n v="-326.26"/>
    <n v="-326.26"/>
    <n v="-326.26"/>
    <n v="326.26"/>
    <m/>
    <x v="0"/>
    <x v="0"/>
    <x v="0"/>
  </r>
  <r>
    <s v="TXN-00095"/>
    <d v="2024-09-15T00:00:00"/>
    <x v="11"/>
    <x v="4"/>
    <n v="6900"/>
    <s v="Wire transfer fee"/>
    <s v="WIRE TRANSFER FEE"/>
    <n v="-46.95"/>
    <n v="-46.95"/>
    <n v="-46.95"/>
    <n v="46.95"/>
    <m/>
    <x v="0"/>
    <x v="0"/>
    <x v="0"/>
  </r>
  <r>
    <s v="TXN-00096"/>
    <d v="2024-02-26T00:00:00"/>
    <x v="0"/>
    <x v="5"/>
    <n v="6000"/>
    <s v="Payroll transfer"/>
    <s v="PAYROLL TRANSFER"/>
    <n v="-4206.99"/>
    <n v="-4206.99"/>
    <n v="-4206.99"/>
    <n v="4206.99"/>
    <m/>
    <x v="0"/>
    <x v="0"/>
    <x v="0"/>
  </r>
  <r>
    <s v="TXN-00097"/>
    <d v="2024-03-28T00:00:00"/>
    <x v="8"/>
    <x v="5"/>
    <n v="6000"/>
    <s v="Payroll transfer"/>
    <s v="PAYROLL TRANSFER"/>
    <n v="-5804.82"/>
    <n v="-5804.82"/>
    <n v="-5804.82"/>
    <n v="5804.82"/>
    <m/>
    <x v="0"/>
    <x v="0"/>
    <x v="0"/>
  </r>
  <r>
    <s v="TXN-00098"/>
    <d v="2024-08-07T00:00:00"/>
    <x v="2"/>
    <x v="2"/>
    <n v="6100"/>
    <s v="Warehouse lease"/>
    <s v="WAREHOUSE LEASE"/>
    <n v="-1938.05"/>
    <n v="-1938.05"/>
    <n v="-1938.05"/>
    <n v="1938.05"/>
    <m/>
    <x v="0"/>
    <x v="0"/>
    <x v="0"/>
  </r>
  <r>
    <s v="TXN-00099"/>
    <d v="2024-08-31T00:00:00"/>
    <x v="2"/>
    <x v="2"/>
    <n v="6100"/>
    <s v="Warehouse lease"/>
    <s v="WAREHOUSE LEASE"/>
    <n v="-5274.96"/>
    <n v="-5274.96"/>
    <n v="-5274.96"/>
    <n v="5274.96"/>
    <m/>
    <x v="0"/>
    <x v="0"/>
    <x v="0"/>
  </r>
  <r>
    <s v="TXN-00100"/>
    <d v="2024-02-13T00:00:00"/>
    <x v="0"/>
    <x v="8"/>
    <n v="5100"/>
    <s v="Contractor fee"/>
    <s v="CONTRACTOR FEE"/>
    <n v="-2681.95"/>
    <n v="-2681.95"/>
    <n v="-2681.95"/>
    <n v="2681.95"/>
    <m/>
    <x v="0"/>
    <x v="0"/>
    <x v="0"/>
  </r>
  <r>
    <s v="TXN-00101"/>
    <d v="2024-07-04T00:00:00"/>
    <x v="10"/>
    <x v="4"/>
    <n v="6900"/>
    <s v="Wire transfer fee"/>
    <s v="WIRE TRANSFER FEE"/>
    <n v="-53.74"/>
    <n v="-53.74"/>
    <n v="-53.74"/>
    <n v="53.74"/>
    <m/>
    <x v="0"/>
    <x v="0"/>
    <x v="0"/>
  </r>
  <r>
    <s v="TXN-00102"/>
    <d v="2024-05-13T00:00:00"/>
    <x v="5"/>
    <x v="8"/>
    <n v="5100"/>
    <s v="Supplier invoice"/>
    <s v="SUPPLIER INVOICE"/>
    <n v="-12003.16"/>
    <n v="-12003.16"/>
    <n v="-12003.16"/>
    <n v="12003.16"/>
    <m/>
    <x v="0"/>
    <x v="0"/>
    <x v="0"/>
  </r>
  <r>
    <s v="TXN-00103"/>
    <d v="2024-07-02T00:00:00"/>
    <x v="10"/>
    <x v="4"/>
    <n v="6900"/>
    <s v="Account maintenance fee"/>
    <s v="ACCOUNT MAINTENANCE FE"/>
    <n v="-25.06"/>
    <n v="-25.06"/>
    <n v="-25.06"/>
    <n v="25.06"/>
    <m/>
    <x v="0"/>
    <x v="0"/>
    <x v="0"/>
  </r>
  <r>
    <s v="TXN-00104"/>
    <d v="2024-12-15T00:00:00"/>
    <x v="6"/>
    <x v="0"/>
    <n v="4000"/>
    <s v="Product sale"/>
    <s v="PRODUCT SALE"/>
    <n v="19471.23"/>
    <n v="19471.23"/>
    <n v="19471.23"/>
    <n v="19471.23"/>
    <m/>
    <x v="0"/>
    <x v="0"/>
    <x v="0"/>
  </r>
  <r>
    <s v="TXN-00105"/>
    <d v="2024-01-28T00:00:00"/>
    <x v="9"/>
    <x v="1"/>
    <n v="6500"/>
    <s v="Trade fair booth"/>
    <s v="TRADE FAIR BOOTH"/>
    <n v="-3211.99"/>
    <n v="-3211.99"/>
    <n v="-3211.99"/>
    <n v="3211.99"/>
    <m/>
    <x v="0"/>
    <x v="0"/>
    <x v="0"/>
  </r>
  <r>
    <s v="TXN-00106"/>
    <d v="2024-12-29T00:00:00"/>
    <x v="6"/>
    <x v="1"/>
    <n v="6500"/>
    <s v="Online ad campaign"/>
    <s v="ONLINE AD CAMPAIGN"/>
    <n v="-7989.08"/>
    <n v="-7989.08"/>
    <n v="-7989.08"/>
    <n v="7989.08"/>
    <m/>
    <x v="0"/>
    <x v="0"/>
    <x v="0"/>
  </r>
  <r>
    <s v="TXN-00107"/>
    <d v="2024-06-13T00:00:00"/>
    <x v="3"/>
    <x v="1"/>
    <n v="6500"/>
    <s v="Online ad campaign"/>
    <s v="ONLINE AD CAMPAIGN"/>
    <n v="-1358.61"/>
    <n v="-1358.61"/>
    <n v="-1358.61"/>
    <n v="1358.61"/>
    <m/>
    <x v="0"/>
    <x v="0"/>
    <x v="0"/>
  </r>
  <r>
    <s v="TXN-00108"/>
    <d v="2024-10-08T00:00:00"/>
    <x v="4"/>
    <x v="2"/>
    <n v="6100"/>
    <s v="Monthly office rent"/>
    <s v="MONTHLY OFFICE RENT"/>
    <n v="-2998.56"/>
    <n v="-2998.56"/>
    <n v="-2998.56"/>
    <n v="2998.56"/>
    <m/>
    <x v="0"/>
    <x v="0"/>
    <x v="0"/>
  </r>
  <r>
    <s v="TXN-00109"/>
    <d v="2024-06-03T00:00:00"/>
    <x v="3"/>
    <x v="3"/>
    <n v="6300"/>
    <s v="Printer consumables"/>
    <s v="PRINTER CONSUMABLES"/>
    <n v="-840.95"/>
    <n v="-840.95"/>
    <n v="-840.95"/>
    <n v="840.95"/>
    <m/>
    <x v="0"/>
    <x v="0"/>
    <x v="0"/>
  </r>
  <r>
    <s v="TXN-00110"/>
    <d v="2024-04-23T00:00:00"/>
    <x v="1"/>
    <x v="1"/>
    <n v="6500"/>
    <s v="Trade fair booth"/>
    <s v="TRADE FAIR BOOTH"/>
    <n v="-7849.45"/>
    <n v="-7849.45"/>
    <n v="-7849.45"/>
    <n v="7849.45"/>
    <m/>
    <x v="0"/>
    <x v="0"/>
    <x v="0"/>
  </r>
  <r>
    <s v="TXN-00111"/>
    <d v="2024-10-08T00:00:00"/>
    <x v="4"/>
    <x v="5"/>
    <n v="6000"/>
    <s v="Payroll transfer"/>
    <s v="PAYROLL TRANSFER"/>
    <n v="-2948.97"/>
    <n v="-2948.97"/>
    <n v="-2948.97"/>
    <n v="2948.97"/>
    <m/>
    <x v="0"/>
    <x v="0"/>
    <x v="0"/>
  </r>
  <r>
    <s v="TXN-00112"/>
    <d v="2024-09-07T00:00:00"/>
    <x v="11"/>
    <x v="1"/>
    <n v="6500"/>
    <s v="Online ad campaign"/>
    <s v="ONLINE AD CAMPAIGN"/>
    <n v="-6357.29"/>
    <n v="-6357.29"/>
    <n v="-6357.29"/>
    <n v="6357.29"/>
    <m/>
    <x v="0"/>
    <x v="0"/>
    <x v="0"/>
  </r>
  <r>
    <s v="TXN-00113"/>
    <d v="2024-02-22T00:00:00"/>
    <x v="0"/>
    <x v="6"/>
    <n v="6400"/>
    <s v="Business trip - airfare"/>
    <s v="BUSINESS TRIP - AIRFAR"/>
    <n v="-3106.18"/>
    <n v="-3106.18"/>
    <n v="-3106.18"/>
    <n v="3106.18"/>
    <m/>
    <x v="0"/>
    <x v="0"/>
    <x v="0"/>
  </r>
  <r>
    <s v="TXN-00114"/>
    <d v="2024-09-14T00:00:00"/>
    <x v="11"/>
    <x v="3"/>
    <n v="6300"/>
    <s v="Stationery purchase"/>
    <s v="STATIONERY PURCHASE"/>
    <n v="-603.84"/>
    <n v="-603.84"/>
    <n v="-603.84"/>
    <n v="603.84"/>
    <m/>
    <x v="0"/>
    <x v="0"/>
    <x v="0"/>
  </r>
  <r>
    <s v="TXN-00115"/>
    <d v="2024-10-01T00:00:00"/>
    <x v="4"/>
    <x v="6"/>
    <n v="6400"/>
    <s v="Client dinner"/>
    <s v="CLIENT DINNER"/>
    <n v="-2927.25"/>
    <n v="-2927.25"/>
    <n v="-2927.25"/>
    <n v="2927.25"/>
    <m/>
    <x v="0"/>
    <x v="0"/>
    <x v="0"/>
  </r>
  <r>
    <s v="TXN-00116"/>
    <d v="2024-05-21T00:00:00"/>
    <x v="5"/>
    <x v="6"/>
    <n v="6400"/>
    <s v="Business trip - airfare"/>
    <s v="BUSINESS TRIP - AIRFAR"/>
    <n v="-683.14"/>
    <n v="-683.14"/>
    <n v="-683.14"/>
    <n v="683.14"/>
    <m/>
    <x v="0"/>
    <x v="0"/>
    <x v="0"/>
  </r>
  <r>
    <s v="TXN-00117"/>
    <d v="2024-12-03T00:00:00"/>
    <x v="6"/>
    <x v="0"/>
    <n v="4000"/>
    <s v="Invoice payment received"/>
    <s v="INVOICE PAYMENT RECEIV"/>
    <n v="14028.53"/>
    <n v="14028.53"/>
    <n v="14028.53"/>
    <n v="14028.53"/>
    <m/>
    <x v="0"/>
    <x v="0"/>
    <x v="0"/>
  </r>
  <r>
    <s v="TXN-00118"/>
    <d v="2024-08-21T00:00:00"/>
    <x v="2"/>
    <x v="8"/>
    <n v="5100"/>
    <s v="Vendor payment - materials"/>
    <s v="VENDOR PAYMENT - MATER"/>
    <n v="-7611.34"/>
    <n v="-7611.34"/>
    <n v="-7611.34"/>
    <n v="7611.34"/>
    <m/>
    <x v="0"/>
    <x v="0"/>
    <x v="0"/>
  </r>
  <r>
    <s v="TXN-00119"/>
    <d v="2024-05-01T00:00:00"/>
    <x v="5"/>
    <x v="5"/>
    <n v="6000"/>
    <s v="Monthly salary run"/>
    <s v="MONTHLY SALARY RUN"/>
    <n v="-8353.2099999999991"/>
    <n v="-8353.2099999999991"/>
    <n v="-8353.2099999999991"/>
    <n v="8353.2099999999991"/>
    <m/>
    <x v="0"/>
    <x v="0"/>
    <x v="0"/>
  </r>
  <r>
    <s v="TXN-00120"/>
    <d v="2024-01-04T00:00:00"/>
    <x v="9"/>
    <x v="8"/>
    <n v="5100"/>
    <s v="Contractor fee"/>
    <s v="CONTRACTOR FEE"/>
    <n v="-14882.22"/>
    <n v="-148822.20000000001"/>
    <n v="-14882.22"/>
    <n v="14882.22"/>
    <n v="133939.98000000001"/>
    <x v="1"/>
    <x v="1"/>
    <x v="0"/>
  </r>
  <r>
    <s v="TXN-00121"/>
    <d v="2024-09-03T00:00:00"/>
    <x v="11"/>
    <x v="3"/>
    <n v="6300"/>
    <s v="Stationery purchase"/>
    <s v="STATIONERY PURCHASE"/>
    <n v="-474.48"/>
    <n v="-474.48"/>
    <n v="-474.48"/>
    <n v="474.48"/>
    <m/>
    <x v="0"/>
    <x v="0"/>
    <x v="0"/>
  </r>
  <r>
    <s v="TXN-00122"/>
    <d v="2024-03-17T00:00:00"/>
    <x v="8"/>
    <x v="2"/>
    <n v="6100"/>
    <s v="Rent payment"/>
    <s v="RENT PAYMENT"/>
    <n v="-1295.04"/>
    <n v="-1295.04"/>
    <n v="-1295.04"/>
    <n v="1295.04"/>
    <m/>
    <x v="0"/>
    <x v="0"/>
    <x v="0"/>
  </r>
  <r>
    <s v="TXN-00123"/>
    <d v="2024-10-03T00:00:00"/>
    <x v="4"/>
    <x v="2"/>
    <n v="6100"/>
    <s v="Rent payment"/>
    <s v="RENT PAYMENT"/>
    <n v="-5878.65"/>
    <n v="-5878.65"/>
    <n v="-5878.65"/>
    <n v="5878.65"/>
    <m/>
    <x v="0"/>
    <x v="0"/>
    <x v="0"/>
  </r>
  <r>
    <s v="TXN-00124"/>
    <d v="2024-07-10T00:00:00"/>
    <x v="10"/>
    <x v="3"/>
    <n v="6300"/>
    <s v="Office equipment"/>
    <s v="OFFICE EQUIPMENT"/>
    <n v="-300.13"/>
    <n v="-300.13"/>
    <n v="-300.13"/>
    <n v="300.13"/>
    <m/>
    <x v="0"/>
    <x v="0"/>
    <x v="0"/>
  </r>
  <r>
    <s v="TXN-00125"/>
    <d v="2024-06-19T00:00:00"/>
    <x v="3"/>
    <x v="4"/>
    <n v="6900"/>
    <s v="Account maintenance fee"/>
    <s v="ACCOUNT MAINTENANCE FE"/>
    <n v="-66.59"/>
    <n v="-66.59"/>
    <n v="-66.59"/>
    <n v="66.59"/>
    <m/>
    <x v="0"/>
    <x v="0"/>
    <x v="0"/>
  </r>
  <r>
    <s v="TXN-00126"/>
    <d v="2024-02-29T00:00:00"/>
    <x v="0"/>
    <x v="6"/>
    <n v="6400"/>
    <s v="Client dinner"/>
    <s v="CLIENT DINNER"/>
    <n v="-255.85"/>
    <n v="-255.85"/>
    <n v="-255.85"/>
    <n v="255.85"/>
    <m/>
    <x v="0"/>
    <x v="0"/>
    <x v="0"/>
  </r>
  <r>
    <s v="TXN-00127"/>
    <d v="2024-09-16T00:00:00"/>
    <x v="11"/>
    <x v="0"/>
    <n v="4000"/>
    <s v="Customer deposit"/>
    <s v="CUSTOMER DEPOSIT"/>
    <n v="9156.77"/>
    <n v="9156.77"/>
    <n v="9156.77"/>
    <n v="9156.77"/>
    <m/>
    <x v="0"/>
    <x v="0"/>
    <x v="0"/>
  </r>
  <r>
    <s v="TXN-00128"/>
    <d v="2024-03-01T00:00:00"/>
    <x v="8"/>
    <x v="1"/>
    <n v="6500"/>
    <s v="Print advertising"/>
    <s v="PRINT ADVERTISING"/>
    <n v="-6331.59"/>
    <n v="-6331.59"/>
    <n v="-6331.59"/>
    <n v="6331.59"/>
    <m/>
    <x v="0"/>
    <x v="0"/>
    <x v="0"/>
  </r>
  <r>
    <s v="TXN-00129"/>
    <d v="2024-06-01T00:00:00"/>
    <x v="3"/>
    <x v="6"/>
    <n v="6400"/>
    <s v="Hotel accommodation"/>
    <s v="HOTEL ACCOMMODATION"/>
    <n v="-2888.61"/>
    <n v="-2888.61"/>
    <n v="-2888.61"/>
    <n v="2888.61"/>
    <m/>
    <x v="0"/>
    <x v="0"/>
    <x v="0"/>
  </r>
  <r>
    <s v="TXN-00130"/>
    <d v="2024-11-01T00:00:00"/>
    <x v="7"/>
    <x v="2"/>
    <n v="6100"/>
    <s v="Rent payment"/>
    <s v="RENT PAYMENT"/>
    <n v="-2966.66"/>
    <n v="-2966.66"/>
    <n v="-2966.66"/>
    <n v="2966.66"/>
    <m/>
    <x v="0"/>
    <x v="0"/>
    <x v="0"/>
  </r>
  <r>
    <s v="TXN-00131"/>
    <d v="2024-12-01T00:00:00"/>
    <x v="6"/>
    <x v="6"/>
    <n v="6400"/>
    <s v="Client dinner"/>
    <s v="CLIENT DINNER"/>
    <n v="-2640.97"/>
    <n v="-2640.97"/>
    <n v="-2640.97"/>
    <n v="2640.97"/>
    <m/>
    <x v="0"/>
    <x v="0"/>
    <x v="0"/>
  </r>
  <r>
    <s v="TXN-00132"/>
    <d v="2024-12-27T00:00:00"/>
    <x v="6"/>
    <x v="6"/>
    <n v="6400"/>
    <s v="Business trip - airfare"/>
    <s v="BUSINESS TRIP - AIRFAR"/>
    <n v="-2820.75"/>
    <n v="-2820.75"/>
    <n v="-2820.75"/>
    <n v="2820.75"/>
    <m/>
    <x v="0"/>
    <x v="0"/>
    <x v="0"/>
  </r>
  <r>
    <s v="TXN-00133"/>
    <d v="2024-12-15T00:00:00"/>
    <x v="6"/>
    <x v="0"/>
    <n v="4000"/>
    <s v="Invoice payment received"/>
    <s v="INVOICE PAYMENT RECEIV"/>
    <n v="22379.26"/>
    <n v="22379.26"/>
    <n v="22379.26"/>
    <n v="22379.26"/>
    <m/>
    <x v="0"/>
    <x v="0"/>
    <x v="0"/>
  </r>
  <r>
    <s v="TXN-00134"/>
    <d v="2024-07-21T00:00:00"/>
    <x v="10"/>
    <x v="6"/>
    <n v="6400"/>
    <s v="Client dinner"/>
    <s v="CLIENT DINNER"/>
    <n v="-572.16999999999996"/>
    <n v="-572.16999999999996"/>
    <n v="-572.16999999999996"/>
    <n v="572.16999999999996"/>
    <m/>
    <x v="0"/>
    <x v="0"/>
    <x v="0"/>
  </r>
  <r>
    <s v="TXN-00135"/>
    <d v="2024-03-14T00:00:00"/>
    <x v="8"/>
    <x v="1"/>
    <n v="6500"/>
    <s v="Trade fair booth"/>
    <s v="TRADE FAIR BOOTH"/>
    <n v="-904.35"/>
    <n v="-904.35"/>
    <n v="-904.35"/>
    <n v="904.35"/>
    <m/>
    <x v="0"/>
    <x v="0"/>
    <x v="0"/>
  </r>
  <r>
    <s v="TXN-00136"/>
    <d v="2024-11-02T00:00:00"/>
    <x v="7"/>
    <x v="9"/>
    <n v="6200"/>
    <s v="Internet &amp; telecom"/>
    <s v="INTERNET &amp; TELECOM"/>
    <n v="-226.55"/>
    <n v="-226.55"/>
    <n v="-226.55"/>
    <n v="226.55"/>
    <m/>
    <x v="0"/>
    <x v="0"/>
    <x v="0"/>
  </r>
  <r>
    <s v="TXN-00137"/>
    <d v="2024-10-19T00:00:00"/>
    <x v="4"/>
    <x v="2"/>
    <n v="6100"/>
    <s v="Monthly office rent"/>
    <s v="MONTHLY OFFICE RENT"/>
    <n v="-1151.0999999999999"/>
    <n v="-1151.0999999999999"/>
    <n v="-1151.0999999999999"/>
    <n v="1151.0999999999999"/>
    <m/>
    <x v="0"/>
    <x v="0"/>
    <x v="0"/>
  </r>
  <r>
    <s v="TXN-00138"/>
    <d v="2024-12-27T00:00:00"/>
    <x v="6"/>
    <x v="0"/>
    <n v="4000"/>
    <s v="Customer deposit"/>
    <s v="CUSTOMER DEPOSIT"/>
    <n v="1793.77"/>
    <n v="1793.77"/>
    <n v="1793.77"/>
    <n v="1793.77"/>
    <m/>
    <x v="0"/>
    <x v="0"/>
    <x v="0"/>
  </r>
  <r>
    <s v="TXN-00139"/>
    <d v="2024-08-25T00:00:00"/>
    <x v="2"/>
    <x v="9"/>
    <n v="6200"/>
    <s v="Electricity bill"/>
    <s v="ELECTRICITY BILL"/>
    <n v="-551.76"/>
    <n v="-551.76"/>
    <n v="-551.76"/>
    <n v="551.76"/>
    <m/>
    <x v="0"/>
    <x v="0"/>
    <x v="0"/>
  </r>
  <r>
    <s v="TXN-00140"/>
    <d v="2024-02-21T00:00:00"/>
    <x v="0"/>
    <x v="3"/>
    <n v="6300"/>
    <s v="Stationery purchase"/>
    <s v="STATIONERY PURCHASE"/>
    <n v="-701.67"/>
    <n v="-701.67"/>
    <n v="-701.67"/>
    <n v="701.67"/>
    <m/>
    <x v="0"/>
    <x v="0"/>
    <x v="0"/>
  </r>
  <r>
    <s v="TXN-00141"/>
    <d v="2024-07-02T00:00:00"/>
    <x v="10"/>
    <x v="7"/>
    <n v="4900"/>
    <s v="Deposit interest credit"/>
    <s v="DEPOSIT INTEREST CREDI"/>
    <n v="262.64"/>
    <n v="262.64"/>
    <n v="262.64"/>
    <n v="262.64"/>
    <m/>
    <x v="0"/>
    <x v="0"/>
    <x v="0"/>
  </r>
  <r>
    <s v="TXN-00142"/>
    <d v="2024-06-12T00:00:00"/>
    <x v="3"/>
    <x v="5"/>
    <n v="6000"/>
    <s v="Monthly salary run"/>
    <s v="MONTHLY SALARY RUN"/>
    <n v="-10142.84"/>
    <n v="-10142.84"/>
    <n v="-10142.84"/>
    <n v="10142.84"/>
    <m/>
    <x v="0"/>
    <x v="0"/>
    <x v="0"/>
  </r>
  <r>
    <s v="TXN-00143"/>
    <d v="2024-11-03T00:00:00"/>
    <x v="7"/>
    <x v="5"/>
    <n v="6000"/>
    <s v="Payroll transfer"/>
    <s v="PAYROLL TRANSFER"/>
    <n v="-3042.07"/>
    <n v="-3042.07"/>
    <n v="-3042.07"/>
    <n v="3042.07"/>
    <m/>
    <x v="0"/>
    <x v="0"/>
    <x v="0"/>
  </r>
  <r>
    <s v="TXN-00144"/>
    <d v="2024-05-23T00:00:00"/>
    <x v="5"/>
    <x v="3"/>
    <n v="6300"/>
    <s v="Stationery purchase"/>
    <s v="STATIONERY PURCHASE"/>
    <n v="-777.5"/>
    <n v="-777.5"/>
    <n v="-777.5"/>
    <n v="777.5"/>
    <m/>
    <x v="0"/>
    <x v="0"/>
    <x v="0"/>
  </r>
  <r>
    <s v="TXN-00145"/>
    <d v="2024-04-29T00:00:00"/>
    <x v="1"/>
    <x v="7"/>
    <n v="4900"/>
    <s v="Deposit interest credit"/>
    <s v="DEPOSIT INTEREST CREDI"/>
    <n v="217.88"/>
    <n v="217.88"/>
    <n v="217.88"/>
    <n v="217.88"/>
    <m/>
    <x v="0"/>
    <x v="0"/>
    <x v="0"/>
  </r>
  <r>
    <s v="TXN-00146"/>
    <d v="2024-01-30T00:00:00"/>
    <x v="9"/>
    <x v="4"/>
    <n v="6900"/>
    <s v="Card processing fee"/>
    <s v="CARD PROCESSING FEE"/>
    <n v="-123.78"/>
    <n v="-123.78"/>
    <n v="-123.78"/>
    <n v="123.78"/>
    <m/>
    <x v="0"/>
    <x v="0"/>
    <x v="0"/>
  </r>
  <r>
    <s v="TXN-00147"/>
    <d v="2024-10-31T00:00:00"/>
    <x v="4"/>
    <x v="0"/>
    <n v="4000"/>
    <s v="Invoice payment received"/>
    <s v="INVOICE PAYMENT RECEIV"/>
    <n v="10164.799999999999"/>
    <n v="10164.799999999999"/>
    <n v="10164.799999999999"/>
    <n v="10164.799999999999"/>
    <m/>
    <x v="0"/>
    <x v="0"/>
    <x v="0"/>
  </r>
  <r>
    <s v="TXN-00148"/>
    <d v="2024-10-02T00:00:00"/>
    <x v="4"/>
    <x v="5"/>
    <n v="6000"/>
    <s v="Monthly salary run"/>
    <s v="MONTHLY SALARY RUN"/>
    <n v="-9246.8700000000008"/>
    <n v="-9246.8700000000008"/>
    <n v="-9246.8700000000008"/>
    <n v="9246.8700000000008"/>
    <m/>
    <x v="0"/>
    <x v="0"/>
    <x v="0"/>
  </r>
  <r>
    <s v="TXN-00149"/>
    <d v="2024-01-16T00:00:00"/>
    <x v="9"/>
    <x v="4"/>
    <n v="6900"/>
    <s v="Wire transfer fee"/>
    <s v="WIRE TRANSFER FEE"/>
    <n v="-114.09"/>
    <n v="-114.09"/>
    <n v="-114.09"/>
    <n v="114.09"/>
    <m/>
    <x v="0"/>
    <x v="0"/>
    <x v="0"/>
  </r>
  <r>
    <s v="TXN-00150"/>
    <d v="2024-06-07T00:00:00"/>
    <x v="3"/>
    <x v="0"/>
    <n v="4000"/>
    <s v="Invoice payment received"/>
    <s v="INVOICE PAYMENT RECEIV"/>
    <n v="12852.38"/>
    <n v="12852.38"/>
    <n v="12852.38"/>
    <n v="12852.38"/>
    <m/>
    <x v="0"/>
    <x v="0"/>
    <x v="0"/>
  </r>
  <r>
    <s v="TXN-00151"/>
    <d v="2024-06-24T00:00:00"/>
    <x v="3"/>
    <x v="4"/>
    <n v="6900"/>
    <s v="Wire transfer fee"/>
    <s v="WIRE TRANSFER FEE"/>
    <n v="-72.38"/>
    <n v="-72.38"/>
    <n v="-72.38"/>
    <n v="72.38"/>
    <m/>
    <x v="0"/>
    <x v="0"/>
    <x v="0"/>
  </r>
  <r>
    <s v="TXN-00152"/>
    <d v="2024-06-20T00:00:00"/>
    <x v="3"/>
    <x v="5"/>
    <n v="6000"/>
    <s v="Employee wages"/>
    <s v="EMPLOYEE WAGES"/>
    <n v="-5363"/>
    <n v="-5363"/>
    <n v="-5363"/>
    <n v="5363"/>
    <m/>
    <x v="0"/>
    <x v="0"/>
    <x v="0"/>
  </r>
  <r>
    <s v="TXN-00153"/>
    <d v="2024-12-01T00:00:00"/>
    <x v="6"/>
    <x v="7"/>
    <n v="4900"/>
    <s v="Savings interest"/>
    <s v="SAVINGS INTEREST"/>
    <n v="87.31"/>
    <n v="87.31"/>
    <n v="87.31"/>
    <n v="87.31"/>
    <m/>
    <x v="0"/>
    <x v="0"/>
    <x v="0"/>
  </r>
  <r>
    <s v="TXN-00154"/>
    <d v="2024-02-24T00:00:00"/>
    <x v="0"/>
    <x v="5"/>
    <n v="6000"/>
    <s v="Monthly salary run"/>
    <s v="MONTHLY SALARY RUN"/>
    <n v="-9390.65"/>
    <n v="-9390.65"/>
    <n v="-9390.65"/>
    <n v="9390.65"/>
    <m/>
    <x v="0"/>
    <x v="0"/>
    <x v="0"/>
  </r>
  <r>
    <s v="TXN-00155"/>
    <d v="2024-04-21T00:00:00"/>
    <x v="1"/>
    <x v="3"/>
    <n v="6300"/>
    <s v="Office equipment"/>
    <s v="OFFICE EQUIPMENT"/>
    <n v="-95.66"/>
    <n v="-95.66"/>
    <n v="-95.66"/>
    <n v="95.66"/>
    <m/>
    <x v="0"/>
    <x v="0"/>
    <x v="0"/>
  </r>
  <r>
    <s v="TXN-00156"/>
    <d v="2024-03-07T00:00:00"/>
    <x v="8"/>
    <x v="2"/>
    <n v="6100"/>
    <s v="Monthly office rent"/>
    <s v="MONTHLY OFFICE RENT"/>
    <n v="-1716.72"/>
    <n v="-1716.72"/>
    <n v="-1716.72"/>
    <n v="1716.72"/>
    <m/>
    <x v="0"/>
    <x v="0"/>
    <x v="0"/>
  </r>
  <r>
    <s v="TXN-00157"/>
    <d v="2024-03-30T00:00:00"/>
    <x v="8"/>
    <x v="8"/>
    <n v="5100"/>
    <s v="Supplier invoice"/>
    <s v="SUPPLIER INVOICE"/>
    <n v="-12381.99"/>
    <n v="-12381.99"/>
    <n v="-12381.99"/>
    <n v="12381.99"/>
    <m/>
    <x v="0"/>
    <x v="0"/>
    <x v="0"/>
  </r>
  <r>
    <s v="TXN-00158"/>
    <d v="2024-11-27T00:00:00"/>
    <x v="7"/>
    <x v="6"/>
    <n v="6400"/>
    <s v="Business trip - airfare"/>
    <s v="BUSINESS TRIP - AIRFAR"/>
    <n v="-1442.89"/>
    <n v="-1442.89"/>
    <n v="-1442.89"/>
    <n v="1442.89"/>
    <m/>
    <x v="0"/>
    <x v="0"/>
    <x v="0"/>
  </r>
  <r>
    <s v="TXN-00159"/>
    <d v="2024-12-09T00:00:00"/>
    <x v="6"/>
    <x v="6"/>
    <n v="6400"/>
    <s v="Hotel accommodation"/>
    <s v="HOTEL ACCOMMODATION"/>
    <n v="-549.26"/>
    <n v="-549.26"/>
    <n v="-549.26"/>
    <n v="549.26"/>
    <m/>
    <x v="0"/>
    <x v="0"/>
    <x v="0"/>
  </r>
  <r>
    <s v="TXN-00160"/>
    <d v="2024-01-17T00:00:00"/>
    <x v="9"/>
    <x v="1"/>
    <n v="6500"/>
    <s v="Print advertising"/>
    <s v="PRINT ADVERTISING"/>
    <n v="-5280.29"/>
    <n v="-5280.29"/>
    <n v="-5280.29"/>
    <n v="5280.29"/>
    <m/>
    <x v="0"/>
    <x v="0"/>
    <x v="0"/>
  </r>
  <r>
    <s v="TXN-00161"/>
    <d v="2024-08-18T00:00:00"/>
    <x v="2"/>
    <x v="7"/>
    <n v="4900"/>
    <s v="Deposit interest credit"/>
    <s v="DEPOSIT INTEREST CREDI"/>
    <n v="160.19999999999999"/>
    <n v="160.19999999999999"/>
    <n v="160.19999999999999"/>
    <n v="160.19999999999999"/>
    <m/>
    <x v="0"/>
    <x v="0"/>
    <x v="0"/>
  </r>
  <r>
    <s v="TXN-00162"/>
    <d v="2024-03-25T00:00:00"/>
    <x v="8"/>
    <x v="2"/>
    <n v="6100"/>
    <s v="Warehouse lease"/>
    <s v="WAREHOUSE LEASE"/>
    <n v="-5350.44"/>
    <n v="-5350.44"/>
    <n v="-5350.44"/>
    <n v="5350.44"/>
    <m/>
    <x v="0"/>
    <x v="0"/>
    <x v="0"/>
  </r>
  <r>
    <s v="TXN-00163"/>
    <d v="2024-03-11T00:00:00"/>
    <x v="8"/>
    <x v="3"/>
    <n v="6300"/>
    <s v="Office equipment"/>
    <s v="OFFICE EQUIPMENT"/>
    <n v="-788.12"/>
    <n v="-788.12"/>
    <n v="-788.12"/>
    <n v="788.12"/>
    <m/>
    <x v="0"/>
    <x v="0"/>
    <x v="0"/>
  </r>
  <r>
    <s v="TXN-00164"/>
    <d v="2024-04-16T00:00:00"/>
    <x v="1"/>
    <x v="3"/>
    <n v="6300"/>
    <s v="Office equipment"/>
    <s v="OFFICE EQUIPMENT"/>
    <n v="-189.22"/>
    <n v="-189.22"/>
    <n v="-189.22"/>
    <n v="189.22"/>
    <m/>
    <x v="0"/>
    <x v="0"/>
    <x v="0"/>
  </r>
  <r>
    <s v="TXN-00165"/>
    <d v="2024-03-11T00:00:00"/>
    <x v="8"/>
    <x v="3"/>
    <n v="6300"/>
    <s v="Printer consumables"/>
    <s v="PRINTER CONSUMABLES"/>
    <n v="-597.35"/>
    <n v="-597.35"/>
    <n v="-597.35"/>
    <n v="597.35"/>
    <m/>
    <x v="0"/>
    <x v="0"/>
    <x v="0"/>
  </r>
  <r>
    <s v="TXN-00166"/>
    <d v="2024-06-27T00:00:00"/>
    <x v="3"/>
    <x v="4"/>
    <n v="6900"/>
    <s v="Account maintenance fee"/>
    <s v="ACCOUNT MAINTENANCE FE"/>
    <n v="-46.92"/>
    <n v="-469.2"/>
    <n v="-46.92"/>
    <n v="46.92"/>
    <n v="422.28"/>
    <x v="1"/>
    <x v="1"/>
    <x v="0"/>
  </r>
  <r>
    <s v="TXN-00167"/>
    <d v="2024-12-29T00:00:00"/>
    <x v="6"/>
    <x v="9"/>
    <n v="6200"/>
    <s v="Electricity bill"/>
    <s v="ELECTRICITY BILL"/>
    <n v="-701.38"/>
    <n v="-701.38"/>
    <n v="-701.38"/>
    <n v="701.38"/>
    <m/>
    <x v="0"/>
    <x v="0"/>
    <x v="0"/>
  </r>
  <r>
    <s v="TXN-00168"/>
    <d v="2024-08-02T00:00:00"/>
    <x v="2"/>
    <x v="8"/>
    <n v="5100"/>
    <s v="Contractor fee"/>
    <s v="CONTRACTOR FEE"/>
    <n v="-8353.4500000000007"/>
    <n v="-8353.4500000000007"/>
    <n v="-8353.4500000000007"/>
    <n v="8353.4500000000007"/>
    <m/>
    <x v="0"/>
    <x v="0"/>
    <x v="0"/>
  </r>
  <r>
    <s v="TXN-00169"/>
    <d v="2024-09-20T00:00:00"/>
    <x v="11"/>
    <x v="9"/>
    <n v="6200"/>
    <s v="Water utility"/>
    <s v="WATER UTILITY"/>
    <n v="-867.11"/>
    <n v="-867.11"/>
    <n v="-867.11"/>
    <n v="867.11"/>
    <m/>
    <x v="0"/>
    <x v="0"/>
    <x v="0"/>
  </r>
  <r>
    <s v="TXN-00170"/>
    <d v="2024-06-29T00:00:00"/>
    <x v="3"/>
    <x v="0"/>
    <n v="4000"/>
    <s v="Product sale"/>
    <s v="PRODUCT SALE"/>
    <n v="1151.1600000000001"/>
    <n v="1151.1600000000001"/>
    <n v="1151.1600000000001"/>
    <n v="1151.1600000000001"/>
    <m/>
    <x v="0"/>
    <x v="0"/>
    <x v="0"/>
  </r>
  <r>
    <s v="TXN-00171"/>
    <d v="2024-01-06T00:00:00"/>
    <x v="9"/>
    <x v="8"/>
    <n v="5100"/>
    <s v="Vendor payment - materials"/>
    <s v="VENDOR PAYMENT - MATER"/>
    <n v="-9103.07"/>
    <n v="-9103.07"/>
    <n v="-9103.07"/>
    <n v="9103.07"/>
    <m/>
    <x v="0"/>
    <x v="0"/>
    <x v="0"/>
  </r>
  <r>
    <s v="TXN-00172"/>
    <d v="2024-01-31T00:00:00"/>
    <x v="9"/>
    <x v="0"/>
    <n v="4000"/>
    <s v="Invoice payment received"/>
    <s v="INVOICE PAYMENT RECEIV"/>
    <n v="12411.71"/>
    <n v="12411.71"/>
    <n v="12411.71"/>
    <n v="12411.71"/>
    <m/>
    <x v="0"/>
    <x v="0"/>
    <x v="0"/>
  </r>
  <r>
    <s v="TXN-00173"/>
    <d v="2024-04-08T00:00:00"/>
    <x v="1"/>
    <x v="1"/>
    <n v="6500"/>
    <s v="Trade fair booth"/>
    <s v="TRADE FAIR BOOTH"/>
    <n v="-3436.45"/>
    <n v="-3436.45"/>
    <n v="-3436.45"/>
    <n v="3436.45"/>
    <m/>
    <x v="0"/>
    <x v="0"/>
    <x v="0"/>
  </r>
  <r>
    <s v="TXN-00174"/>
    <d v="2024-03-29T00:00:00"/>
    <x v="8"/>
    <x v="1"/>
    <n v="6500"/>
    <s v="Online ad campaign"/>
    <s v="ONLINE AD CAMPAIGN"/>
    <n v="-6099.6"/>
    <n v="-6099.6"/>
    <n v="-6099.6"/>
    <n v="6099.6"/>
    <m/>
    <x v="0"/>
    <x v="0"/>
    <x v="0"/>
  </r>
  <r>
    <s v="TXN-00175"/>
    <d v="2024-11-02T00:00:00"/>
    <x v="7"/>
    <x v="2"/>
    <n v="6100"/>
    <s v="Monthly office rent"/>
    <s v="MONTHLY OFFICE RENT"/>
    <n v="-3718.36"/>
    <n v="-3718.36"/>
    <n v="-3718.36"/>
    <n v="3718.36"/>
    <m/>
    <x v="0"/>
    <x v="0"/>
    <x v="0"/>
  </r>
  <r>
    <s v="TXN-00176"/>
    <d v="2024-11-03T00:00:00"/>
    <x v="7"/>
    <x v="3"/>
    <n v="6300"/>
    <s v="Office equipment"/>
    <s v="OFFICE EQUIPMENT"/>
    <n v="-359.13"/>
    <n v="-359.13"/>
    <n v="-359.13"/>
    <n v="359.13"/>
    <m/>
    <x v="0"/>
    <x v="0"/>
    <x v="0"/>
  </r>
  <r>
    <s v="TXN-00177"/>
    <d v="2024-11-07T00:00:00"/>
    <x v="7"/>
    <x v="1"/>
    <n v="6500"/>
    <s v="Print advertising"/>
    <s v="PRINT ADVERTISING"/>
    <n v="-4247.0600000000004"/>
    <n v="-4247.0600000000004"/>
    <n v="-4247.0600000000004"/>
    <n v="4247.0600000000004"/>
    <m/>
    <x v="0"/>
    <x v="0"/>
    <x v="0"/>
  </r>
  <r>
    <s v="TXN-00178"/>
    <d v="2024-08-20T00:00:00"/>
    <x v="2"/>
    <x v="8"/>
    <n v="5100"/>
    <s v="Supplier invoice"/>
    <s v="SUPPLIER INVOICE"/>
    <n v="-4858.29"/>
    <n v="-4858.29"/>
    <n v="-4858.29"/>
    <n v="4858.29"/>
    <m/>
    <x v="0"/>
    <x v="0"/>
    <x v="0"/>
  </r>
  <r>
    <s v="TXN-00179"/>
    <d v="2024-07-22T00:00:00"/>
    <x v="10"/>
    <x v="7"/>
    <n v="4900"/>
    <s v="Savings interest"/>
    <s v="SAVINGS INTEREST"/>
    <n v="272.27999999999997"/>
    <n v="272.27999999999997"/>
    <n v="272.27999999999997"/>
    <n v="272.27999999999997"/>
    <m/>
    <x v="0"/>
    <x v="0"/>
    <x v="0"/>
  </r>
  <r>
    <s v="TXN-00180"/>
    <d v="2024-08-24T00:00:00"/>
    <x v="2"/>
    <x v="6"/>
    <n v="6400"/>
    <s v="Client dinner"/>
    <s v="CLIENT DINNER"/>
    <n v="-305.99"/>
    <n v="-305.99"/>
    <n v="-305.99"/>
    <n v="305.99"/>
    <m/>
    <x v="0"/>
    <x v="0"/>
    <x v="0"/>
  </r>
  <r>
    <s v="TXN-00181"/>
    <d v="2024-05-28T00:00:00"/>
    <x v="5"/>
    <x v="7"/>
    <n v="4900"/>
    <s v="Savings interest"/>
    <s v="SAVINGS INTEREST"/>
    <n v="88.85"/>
    <n v="88.85"/>
    <n v="88.85"/>
    <n v="88.85"/>
    <m/>
    <x v="0"/>
    <x v="0"/>
    <x v="0"/>
  </r>
  <r>
    <s v="TXN-00182"/>
    <d v="2024-09-01T00:00:00"/>
    <x v="11"/>
    <x v="8"/>
    <n v="5100"/>
    <s v="Supplier invoice"/>
    <s v="SUPPLIER INVOICE"/>
    <n v="-13438.77"/>
    <n v="-13438.77"/>
    <n v="-13438.77"/>
    <n v="13438.77"/>
    <m/>
    <x v="0"/>
    <x v="0"/>
    <x v="0"/>
  </r>
  <r>
    <s v="TXN-00183"/>
    <d v="2024-10-16T00:00:00"/>
    <x v="4"/>
    <x v="3"/>
    <n v="6300"/>
    <s v="Office equipment"/>
    <s v="OFFICE EQUIPMENT"/>
    <n v="-171.33"/>
    <n v="-17.13"/>
    <n v="-171.33"/>
    <n v="171.33"/>
    <n v="-154.19999999999999"/>
    <x v="1"/>
    <x v="1"/>
    <x v="0"/>
  </r>
  <r>
    <s v="TXN-00184"/>
    <d v="2024-10-05T00:00:00"/>
    <x v="4"/>
    <x v="2"/>
    <n v="6100"/>
    <s v="Warehouse lease"/>
    <s v="WAREHOUSE LEASE"/>
    <n v="-5429.37"/>
    <n v="-5429.37"/>
    <n v="-5429.37"/>
    <n v="5429.37"/>
    <m/>
    <x v="0"/>
    <x v="0"/>
    <x v="0"/>
  </r>
  <r>
    <s v="TXN-00185"/>
    <d v="2024-08-12T00:00:00"/>
    <x v="2"/>
    <x v="3"/>
    <n v="6300"/>
    <s v="Stationery purchase"/>
    <s v="STATIONERY PURCHASE"/>
    <n v="-438.96"/>
    <n v="-438.96"/>
    <n v="-438.96"/>
    <n v="438.96"/>
    <m/>
    <x v="0"/>
    <x v="0"/>
    <x v="0"/>
  </r>
  <r>
    <s v="TXN-00186"/>
    <d v="2024-01-22T00:00:00"/>
    <x v="9"/>
    <x v="3"/>
    <n v="6300"/>
    <s v="Printer consumables"/>
    <s v="PRINTER CONSUMABLES"/>
    <n v="-843.28"/>
    <n v="-843.28"/>
    <n v="-843.28"/>
    <n v="843.28"/>
    <m/>
    <x v="0"/>
    <x v="0"/>
    <x v="0"/>
  </r>
  <r>
    <s v="TXN-00187"/>
    <d v="2024-09-21T00:00:00"/>
    <x v="11"/>
    <x v="8"/>
    <n v="5100"/>
    <s v="Vendor payment - materials"/>
    <s v="VENDOR PAYMENT - MATER"/>
    <n v="-3384.64"/>
    <n v="-3384.64"/>
    <n v="-3384.64"/>
    <n v="3384.64"/>
    <m/>
    <x v="0"/>
    <x v="0"/>
    <x v="0"/>
  </r>
  <r>
    <s v="TXN-00188"/>
    <d v="2024-05-13T00:00:00"/>
    <x v="5"/>
    <x v="9"/>
    <n v="6200"/>
    <s v="Electricity bill"/>
    <s v="ELECTRICITY BILL"/>
    <n v="-723.64"/>
    <n v="-723.64"/>
    <n v="-723.64"/>
    <n v="723.64"/>
    <m/>
    <x v="0"/>
    <x v="0"/>
    <x v="0"/>
  </r>
  <r>
    <s v="TXN-00189"/>
    <d v="2024-09-28T00:00:00"/>
    <x v="11"/>
    <x v="5"/>
    <n v="6000"/>
    <s v="Payroll transfer"/>
    <s v="PAYROLL TRANSFER"/>
    <n v="-8635.0300000000007"/>
    <n v="-8635.0300000000007"/>
    <n v="-8635.0300000000007"/>
    <n v="8635.0300000000007"/>
    <m/>
    <x v="0"/>
    <x v="0"/>
    <x v="0"/>
  </r>
  <r>
    <s v="TXN-00190"/>
    <d v="2024-07-15T00:00:00"/>
    <x v="10"/>
    <x v="9"/>
    <n v="6200"/>
    <s v="Electricity bill"/>
    <s v="ELECTRICITY BILL"/>
    <n v="-296.20999999999998"/>
    <n v="-296.20999999999998"/>
    <n v="-296.20999999999998"/>
    <n v="296.20999999999998"/>
    <m/>
    <x v="0"/>
    <x v="0"/>
    <x v="0"/>
  </r>
  <r>
    <s v="TXN-00191"/>
    <d v="2024-11-17T00:00:00"/>
    <x v="7"/>
    <x v="2"/>
    <n v="6100"/>
    <s v="Rent payment"/>
    <s v="RENT PAYMENT"/>
    <n v="-1876.32"/>
    <n v="-1876.32"/>
    <n v="-1876.32"/>
    <n v="1876.32"/>
    <m/>
    <x v="0"/>
    <x v="0"/>
    <x v="0"/>
  </r>
  <r>
    <s v="TXN-00192"/>
    <d v="2024-05-03T00:00:00"/>
    <x v="5"/>
    <x v="2"/>
    <n v="6100"/>
    <s v="Monthly office rent"/>
    <s v="MONTHLY OFFICE RENT"/>
    <n v="-2998.22"/>
    <n v="-2998.22"/>
    <n v="-2998.22"/>
    <n v="2998.22"/>
    <m/>
    <x v="0"/>
    <x v="0"/>
    <x v="0"/>
  </r>
  <r>
    <s v="TXN-00193"/>
    <d v="2024-12-05T00:00:00"/>
    <x v="6"/>
    <x v="2"/>
    <n v="6100"/>
    <s v="Warehouse lease"/>
    <s v="WAREHOUSE LEASE"/>
    <n v="-1500.4"/>
    <n v="-1500.4"/>
    <n v="-1500.4"/>
    <n v="1500.4"/>
    <m/>
    <x v="0"/>
    <x v="0"/>
    <x v="0"/>
  </r>
  <r>
    <s v="TXN-00194"/>
    <d v="2024-11-04T00:00:00"/>
    <x v="7"/>
    <x v="9"/>
    <n v="6200"/>
    <s v="Electricity bill"/>
    <s v="ELECTRICITY BILL"/>
    <n v="-1039.32"/>
    <n v="-1039.32"/>
    <n v="-1039.32"/>
    <n v="1039.32"/>
    <m/>
    <x v="0"/>
    <x v="0"/>
    <x v="0"/>
  </r>
  <r>
    <s v="TXN-00195"/>
    <d v="2024-04-30T00:00:00"/>
    <x v="1"/>
    <x v="7"/>
    <n v="4900"/>
    <s v="Deposit interest credit"/>
    <s v="DEPOSIT INTEREST CREDI"/>
    <n v="147.5"/>
    <n v="147.5"/>
    <n v="147.5"/>
    <n v="147.5"/>
    <m/>
    <x v="0"/>
    <x v="0"/>
    <x v="0"/>
  </r>
  <r>
    <s v="TXN-00196"/>
    <d v="2024-06-25T00:00:00"/>
    <x v="3"/>
    <x v="0"/>
    <n v="4000"/>
    <s v="Invoice payment received"/>
    <s v="INVOICE PAYMENT RECEIV"/>
    <n v="1854.13"/>
    <n v="1854.13"/>
    <n v="1854.13"/>
    <n v="1854.13"/>
    <m/>
    <x v="0"/>
    <x v="0"/>
    <x v="0"/>
  </r>
  <r>
    <s v="TXN-00197"/>
    <d v="2024-07-12T00:00:00"/>
    <x v="10"/>
    <x v="9"/>
    <n v="6200"/>
    <s v="Water utility"/>
    <s v="WATER UTILITY"/>
    <n v="-354.53"/>
    <n v="-354.53"/>
    <n v="-354.53"/>
    <n v="354.53"/>
    <m/>
    <x v="0"/>
    <x v="0"/>
    <x v="0"/>
  </r>
  <r>
    <s v="TXN-00198"/>
    <d v="2024-10-07T00:00:00"/>
    <x v="4"/>
    <x v="8"/>
    <n v="5100"/>
    <s v="Vendor payment - materials"/>
    <s v="VENDOR PAYMENT - MATER"/>
    <n v="-9235.18"/>
    <n v="-9235.18"/>
    <n v="-9235.18"/>
    <n v="9235.18"/>
    <m/>
    <x v="0"/>
    <x v="0"/>
    <x v="0"/>
  </r>
  <r>
    <s v="TXN-00199"/>
    <d v="2024-09-08T00:00:00"/>
    <x v="11"/>
    <x v="9"/>
    <n v="6200"/>
    <s v="Water utility"/>
    <s v="WATER UTILITY"/>
    <n v="-1071.6199999999999"/>
    <n v="-1071.6199999999999"/>
    <n v="-1071.6199999999999"/>
    <n v="1071.6199999999999"/>
    <m/>
    <x v="0"/>
    <x v="0"/>
    <x v="0"/>
  </r>
  <r>
    <s v="TXN-00200"/>
    <d v="2024-11-06T00:00:00"/>
    <x v="7"/>
    <x v="7"/>
    <n v="4900"/>
    <s v="Deposit interest credit"/>
    <s v="DEPOSIT INTEREST CREDI"/>
    <n v="372.22"/>
    <n v="372.22"/>
    <n v="372.22"/>
    <n v="372.22"/>
    <m/>
    <x v="0"/>
    <x v="0"/>
    <x v="0"/>
  </r>
  <r>
    <s v="TXN-00201"/>
    <d v="2024-05-15T00:00:00"/>
    <x v="5"/>
    <x v="9"/>
    <n v="6200"/>
    <s v="Internet &amp; telecom"/>
    <s v="INTERNET &amp; TELECOM"/>
    <n v="-173.51"/>
    <n v="-173.51"/>
    <n v="-173.51"/>
    <n v="173.51"/>
    <m/>
    <x v="0"/>
    <x v="0"/>
    <x v="0"/>
  </r>
  <r>
    <s v="TXN-00202"/>
    <d v="2024-07-03T00:00:00"/>
    <x v="10"/>
    <x v="7"/>
    <n v="4900"/>
    <s v="Deposit interest credit"/>
    <s v="DEPOSIT INTEREST CREDI"/>
    <n v="50.55"/>
    <n v="50.55"/>
    <n v="50.55"/>
    <n v="50.55"/>
    <m/>
    <x v="0"/>
    <x v="0"/>
    <x v="0"/>
  </r>
  <r>
    <s v="TXN-00203"/>
    <d v="2024-06-06T00:00:00"/>
    <x v="3"/>
    <x v="3"/>
    <n v="6300"/>
    <s v="Printer consumables"/>
    <s v="PRINTER CONSUMABLES"/>
    <n v="-127.33"/>
    <n v="-127.33"/>
    <n v="-127.33"/>
    <n v="127.33"/>
    <m/>
    <x v="0"/>
    <x v="0"/>
    <x v="0"/>
  </r>
  <r>
    <s v="TXN-00204"/>
    <d v="2024-11-27T00:00:00"/>
    <x v="7"/>
    <x v="2"/>
    <n v="6100"/>
    <s v="Warehouse lease"/>
    <s v="WAREHOUSE LEASE"/>
    <n v="-5232.3900000000003"/>
    <n v="-5232.3900000000003"/>
    <n v="-5232.3900000000003"/>
    <n v="5232.3900000000003"/>
    <m/>
    <x v="0"/>
    <x v="0"/>
    <x v="0"/>
  </r>
  <r>
    <s v="TXN-00205"/>
    <d v="2024-04-21T00:00:00"/>
    <x v="1"/>
    <x v="3"/>
    <n v="6300"/>
    <s v="Office equipment"/>
    <s v="OFFICE EQUIPMENT"/>
    <n v="-741.43"/>
    <n v="-741.43"/>
    <n v="-741.43"/>
    <n v="741.43"/>
    <m/>
    <x v="0"/>
    <x v="0"/>
    <x v="0"/>
  </r>
  <r>
    <s v="TXN-00206"/>
    <d v="2024-08-02T00:00:00"/>
    <x v="2"/>
    <x v="5"/>
    <n v="6000"/>
    <s v="Employee wages"/>
    <s v="EMPLOYEE WAGES"/>
    <n v="-7023.64"/>
    <n v="-70.23"/>
    <n v="-7023.64"/>
    <n v="7023.64"/>
    <n v="-6953.41"/>
    <x v="1"/>
    <x v="1"/>
    <x v="0"/>
  </r>
  <r>
    <s v="TXN-00207"/>
    <d v="2024-02-13T00:00:00"/>
    <x v="0"/>
    <x v="1"/>
    <n v="6500"/>
    <s v="Online ad campaign"/>
    <s v="ONLINE AD CAMPAIGN"/>
    <n v="-496.77"/>
    <n v="-496.77"/>
    <n v="-496.77"/>
    <n v="496.77"/>
    <m/>
    <x v="0"/>
    <x v="0"/>
    <x v="0"/>
  </r>
  <r>
    <s v="TXN-00208"/>
    <d v="2024-11-06T00:00:00"/>
    <x v="7"/>
    <x v="7"/>
    <n v="4900"/>
    <s v="Interest accrual"/>
    <s v="INTEREST ACCRUAL"/>
    <n v="163.5"/>
    <n v="163.5"/>
    <n v="163.5"/>
    <n v="163.5"/>
    <m/>
    <x v="0"/>
    <x v="0"/>
    <x v="0"/>
  </r>
  <r>
    <s v="TXN-00209"/>
    <d v="2024-05-20T00:00:00"/>
    <x v="5"/>
    <x v="5"/>
    <n v="6000"/>
    <s v="Monthly salary run"/>
    <s v="MONTHLY SALARY RUN"/>
    <n v="-11460.78"/>
    <n v="-11460.78"/>
    <n v="-11460.78"/>
    <n v="11460.78"/>
    <m/>
    <x v="0"/>
    <x v="0"/>
    <x v="0"/>
  </r>
  <r>
    <s v="TXN-00210"/>
    <d v="2024-05-04T00:00:00"/>
    <x v="5"/>
    <x v="1"/>
    <n v="6500"/>
    <s v="Online ad campaign"/>
    <s v="ONLINE AD CAMPAIGN"/>
    <n v="-4678.3599999999997"/>
    <n v="-4678.3599999999997"/>
    <n v="-4678.3599999999997"/>
    <n v="4678.3599999999997"/>
    <m/>
    <x v="0"/>
    <x v="0"/>
    <x v="0"/>
  </r>
  <r>
    <s v="TXN-00211"/>
    <d v="2024-07-31T00:00:00"/>
    <x v="10"/>
    <x v="5"/>
    <n v="6000"/>
    <s v="Employee wages"/>
    <s v="EMPLOYEE WAGES"/>
    <n v="-3288.58"/>
    <n v="-3288.58"/>
    <n v="-3288.58"/>
    <n v="3288.58"/>
    <m/>
    <x v="0"/>
    <x v="0"/>
    <x v="0"/>
  </r>
  <r>
    <s v="TXN-00212"/>
    <d v="2024-07-01T00:00:00"/>
    <x v="10"/>
    <x v="1"/>
    <n v="6500"/>
    <s v="Print advertising"/>
    <s v="PRINT ADVERTISING"/>
    <n v="-7832.28"/>
    <n v="-7832.28"/>
    <n v="-7832.28"/>
    <n v="7832.28"/>
    <m/>
    <x v="0"/>
    <x v="0"/>
    <x v="0"/>
  </r>
  <r>
    <s v="TXN-00213"/>
    <d v="2024-11-05T00:00:00"/>
    <x v="7"/>
    <x v="1"/>
    <n v="6500"/>
    <s v="Online ad campaign"/>
    <s v="ONLINE AD CAMPAIGN"/>
    <n v="-4025.33"/>
    <n v="-4025.33"/>
    <n v="-4025.33"/>
    <n v="4025.33"/>
    <m/>
    <x v="0"/>
    <x v="0"/>
    <x v="0"/>
  </r>
  <r>
    <s v="TXN-00214"/>
    <d v="2024-07-12T00:00:00"/>
    <x v="10"/>
    <x v="3"/>
    <n v="6300"/>
    <s v="Printer consumables"/>
    <s v="PRINTER CONSUMABLES"/>
    <n v="-874.38"/>
    <n v="-874.38"/>
    <n v="-874.38"/>
    <n v="874.38"/>
    <m/>
    <x v="0"/>
    <x v="0"/>
    <x v="0"/>
  </r>
  <r>
    <s v="TXN-00215"/>
    <d v="2024-07-07T00:00:00"/>
    <x v="10"/>
    <x v="1"/>
    <n v="6500"/>
    <s v="Print advertising"/>
    <s v="PRINT ADVERTISING"/>
    <n v="-3270.57"/>
    <n v="-3270.57"/>
    <n v="-3270.57"/>
    <n v="3270.57"/>
    <m/>
    <x v="0"/>
    <x v="0"/>
    <x v="0"/>
  </r>
  <r>
    <s v="TXN-00216"/>
    <d v="2024-02-08T00:00:00"/>
    <x v="0"/>
    <x v="5"/>
    <n v="6000"/>
    <s v="Payroll transfer"/>
    <s v="PAYROLL TRANSFER"/>
    <n v="-7639.9"/>
    <n v="-7639.9"/>
    <n v="-7639.9"/>
    <n v="7639.9"/>
    <m/>
    <x v="0"/>
    <x v="0"/>
    <x v="0"/>
  </r>
  <r>
    <s v="TXN-00217"/>
    <d v="2024-01-09T00:00:00"/>
    <x v="9"/>
    <x v="0"/>
    <n v="4000"/>
    <s v="Customer deposit"/>
    <s v="CUSTOMER DEPOSIT"/>
    <n v="8366.6"/>
    <n v="8366.6"/>
    <n v="8366.6"/>
    <n v="8366.6"/>
    <m/>
    <x v="0"/>
    <x v="0"/>
    <x v="0"/>
  </r>
  <r>
    <s v="TXN-00218"/>
    <d v="2024-05-25T00:00:00"/>
    <x v="5"/>
    <x v="0"/>
    <n v="4000"/>
    <s v="Invoice payment received"/>
    <s v="INVOICE PAYMENT RECEIV"/>
    <n v="5233.6000000000004"/>
    <n v="5233.6000000000004"/>
    <n v="5233.6000000000004"/>
    <n v="5233.6000000000004"/>
    <m/>
    <x v="0"/>
    <x v="0"/>
    <x v="0"/>
  </r>
  <r>
    <s v="TXN-00219"/>
    <d v="2024-12-30T00:00:00"/>
    <x v="6"/>
    <x v="3"/>
    <n v="6300"/>
    <s v="Office equipment"/>
    <s v="OFFICE EQUIPMENT"/>
    <n v="-782.21"/>
    <n v="-782.21"/>
    <n v="-782.21"/>
    <n v="782.21"/>
    <m/>
    <x v="0"/>
    <x v="0"/>
    <x v="0"/>
  </r>
  <r>
    <s v="TXN-00220"/>
    <d v="2024-11-30T00:00:00"/>
    <x v="7"/>
    <x v="7"/>
    <n v="4900"/>
    <s v="Deposit interest credit"/>
    <s v="DEPOSIT INTEREST CREDI"/>
    <n v="237.79"/>
    <n v="237.79"/>
    <n v="237.79"/>
    <n v="237.79"/>
    <m/>
    <x v="0"/>
    <x v="0"/>
    <x v="0"/>
  </r>
  <r>
    <s v="TXN-00221"/>
    <d v="2024-08-17T00:00:00"/>
    <x v="2"/>
    <x v="8"/>
    <n v="5100"/>
    <s v="Vendor payment - materials"/>
    <s v="VENDOR PAYMENT - MATER"/>
    <n v="-6248.31"/>
    <n v="-6248.31"/>
    <n v="-6248.31"/>
    <n v="6248.31"/>
    <m/>
    <x v="0"/>
    <x v="0"/>
    <x v="0"/>
  </r>
  <r>
    <s v="TXN-00222"/>
    <d v="2024-08-18T00:00:00"/>
    <x v="2"/>
    <x v="3"/>
    <n v="6300"/>
    <s v="Printer consumables"/>
    <s v="PRINTER CONSUMABLES"/>
    <n v="-399.74"/>
    <n v="-399.74"/>
    <n v="-399.74"/>
    <n v="399.74"/>
    <m/>
    <x v="0"/>
    <x v="0"/>
    <x v="0"/>
  </r>
  <r>
    <s v="TXN-00223"/>
    <d v="2024-05-22T00:00:00"/>
    <x v="5"/>
    <x v="1"/>
    <n v="6500"/>
    <s v="Print advertising"/>
    <s v="PRINT ADVERTISING"/>
    <n v="-7425.14"/>
    <n v="-7425.14"/>
    <n v="-7425.14"/>
    <n v="7425.14"/>
    <m/>
    <x v="0"/>
    <x v="0"/>
    <x v="0"/>
  </r>
  <r>
    <s v="TXN-00224"/>
    <d v="2024-03-05T00:00:00"/>
    <x v="8"/>
    <x v="5"/>
    <n v="6000"/>
    <s v="Payroll transfer"/>
    <s v="PAYROLL TRANSFER"/>
    <n v="-11294.19"/>
    <n v="-11294.19"/>
    <n v="-11294.19"/>
    <n v="11294.19"/>
    <m/>
    <x v="0"/>
    <x v="0"/>
    <x v="0"/>
  </r>
  <r>
    <s v="TXN-00225"/>
    <d v="2024-01-04T00:00:00"/>
    <x v="9"/>
    <x v="1"/>
    <n v="6500"/>
    <s v="Print advertising"/>
    <s v="PRINT ADVERTISING"/>
    <n v="-2734.71"/>
    <n v="-2734.71"/>
    <n v="-2734.71"/>
    <n v="2734.71"/>
    <m/>
    <x v="0"/>
    <x v="0"/>
    <x v="0"/>
  </r>
  <r>
    <s v="TXN-00226"/>
    <d v="2024-05-03T00:00:00"/>
    <x v="5"/>
    <x v="9"/>
    <n v="6200"/>
    <s v="Water utility"/>
    <s v="WATER UTILITY"/>
    <n v="-568.70000000000005"/>
    <n v="-568.70000000000005"/>
    <n v="-568.70000000000005"/>
    <n v="568.70000000000005"/>
    <m/>
    <x v="0"/>
    <x v="0"/>
    <x v="0"/>
  </r>
  <r>
    <s v="TXN-00227"/>
    <d v="2024-04-25T00:00:00"/>
    <x v="1"/>
    <x v="4"/>
    <n v="6900"/>
    <s v="Card processing fee"/>
    <s v="CARD PROCESSING FEE"/>
    <n v="-71.959999999999994"/>
    <n v="-71.959999999999994"/>
    <n v="-71.959999999999994"/>
    <n v="71.959999999999994"/>
    <m/>
    <x v="0"/>
    <x v="0"/>
    <x v="0"/>
  </r>
  <r>
    <s v="TXN-00228"/>
    <d v="2024-03-10T00:00:00"/>
    <x v="8"/>
    <x v="6"/>
    <n v="6400"/>
    <s v="Client dinner"/>
    <s v="CLIENT DINNER"/>
    <n v="-2332.94"/>
    <n v="-2332.94"/>
    <n v="-2332.94"/>
    <n v="2332.94"/>
    <m/>
    <x v="0"/>
    <x v="0"/>
    <x v="0"/>
  </r>
  <r>
    <s v="TXN-00229"/>
    <d v="2024-04-04T00:00:00"/>
    <x v="1"/>
    <x v="6"/>
    <n v="6400"/>
    <s v="Client dinner"/>
    <s v="CLIENT DINNER"/>
    <n v="-1176.8499999999999"/>
    <n v="-1176.8499999999999"/>
    <n v="-1176.8499999999999"/>
    <n v="1176.8499999999999"/>
    <m/>
    <x v="0"/>
    <x v="0"/>
    <x v="0"/>
  </r>
  <r>
    <s v="TXN-00230"/>
    <d v="2024-01-10T00:00:00"/>
    <x v="9"/>
    <x v="8"/>
    <n v="5100"/>
    <s v="Vendor payment - materials"/>
    <s v="VENDOR PAYMENT - MATER"/>
    <n v="-5316.82"/>
    <n v="-5316.82"/>
    <n v="-5316.82"/>
    <n v="5316.82"/>
    <m/>
    <x v="0"/>
    <x v="0"/>
    <x v="0"/>
  </r>
  <r>
    <s v="TXN-00231"/>
    <d v="2024-08-09T00:00:00"/>
    <x v="2"/>
    <x v="3"/>
    <n v="6300"/>
    <s v="Stationery purchase"/>
    <s v="STATIONERY PURCHASE"/>
    <n v="-103.28"/>
    <n v="-103.28"/>
    <n v="-103.28"/>
    <n v="103.28"/>
    <m/>
    <x v="0"/>
    <x v="0"/>
    <x v="0"/>
  </r>
  <r>
    <s v="TXN-00232"/>
    <d v="2024-12-04T00:00:00"/>
    <x v="6"/>
    <x v="4"/>
    <n v="6900"/>
    <s v="Wire transfer fee"/>
    <s v="WIRE TRANSFER FEE"/>
    <n v="-29.08"/>
    <n v="-29.08"/>
    <n v="-29.08"/>
    <n v="29.08"/>
    <m/>
    <x v="0"/>
    <x v="0"/>
    <x v="0"/>
  </r>
  <r>
    <s v="TXN-00233"/>
    <d v="2024-09-09T00:00:00"/>
    <x v="11"/>
    <x v="0"/>
    <n v="4000"/>
    <s v="Customer deposit"/>
    <s v="CUSTOMER DEPOSIT"/>
    <n v="10032.870000000001"/>
    <n v="10032.870000000001"/>
    <n v="10032.870000000001"/>
    <n v="10032.870000000001"/>
    <m/>
    <x v="0"/>
    <x v="0"/>
    <x v="0"/>
  </r>
  <r>
    <s v="TXN-00234"/>
    <d v="2024-06-12T00:00:00"/>
    <x v="3"/>
    <x v="1"/>
    <n v="6500"/>
    <s v="Print advertising"/>
    <s v="PRINT ADVERTISING"/>
    <n v="-1834.13"/>
    <n v="-1834.13"/>
    <n v="-1834.13"/>
    <n v="1834.13"/>
    <m/>
    <x v="0"/>
    <x v="0"/>
    <x v="0"/>
  </r>
  <r>
    <s v="TXN-00235"/>
    <d v="2024-06-02T00:00:00"/>
    <x v="3"/>
    <x v="3"/>
    <n v="6300"/>
    <s v="Office equipment"/>
    <s v="OFFICE EQUIPMENT"/>
    <n v="-684.87"/>
    <n v="-684.87"/>
    <n v="-684.87"/>
    <n v="684.87"/>
    <m/>
    <x v="0"/>
    <x v="0"/>
    <x v="0"/>
  </r>
  <r>
    <s v="TXN-00236"/>
    <d v="2024-04-22T00:00:00"/>
    <x v="1"/>
    <x v="1"/>
    <n v="6500"/>
    <s v="Trade fair booth"/>
    <s v="TRADE FAIR BOOTH"/>
    <n v="-2170.77"/>
    <n v="-2170.77"/>
    <n v="-2170.77"/>
    <n v="2170.77"/>
    <m/>
    <x v="0"/>
    <x v="0"/>
    <x v="1"/>
  </r>
  <r>
    <s v="TXN-00237"/>
    <d v="2024-02-21T00:00:00"/>
    <x v="0"/>
    <x v="2"/>
    <n v="6100"/>
    <s v="Warehouse lease"/>
    <s v="WAREHOUSE LEASE"/>
    <n v="-5623.03"/>
    <n v="-5623.03"/>
    <n v="-5623.03"/>
    <n v="5623.03"/>
    <m/>
    <x v="0"/>
    <x v="0"/>
    <x v="0"/>
  </r>
  <r>
    <s v="TXN-00238"/>
    <d v="2024-08-06T00:00:00"/>
    <x v="2"/>
    <x v="3"/>
    <n v="6300"/>
    <s v="Office equipment"/>
    <s v="OFFICE EQUIPMENT"/>
    <n v="-545.71"/>
    <n v="-545.71"/>
    <n v="-545.71"/>
    <n v="545.71"/>
    <m/>
    <x v="0"/>
    <x v="0"/>
    <x v="0"/>
  </r>
  <r>
    <s v="TXN-00239"/>
    <d v="2024-07-25T00:00:00"/>
    <x v="10"/>
    <x v="9"/>
    <n v="6200"/>
    <s v="Electricity bill"/>
    <s v="ELECTRICITY BILL"/>
    <n v="-110.46"/>
    <n v="-110.46"/>
    <n v="-110.46"/>
    <n v="110.46"/>
    <m/>
    <x v="0"/>
    <x v="0"/>
    <x v="0"/>
  </r>
  <r>
    <s v="TXN-00240"/>
    <d v="2024-01-03T00:00:00"/>
    <x v="9"/>
    <x v="2"/>
    <n v="6100"/>
    <s v="Rent payment"/>
    <s v="RENT PAYMENT"/>
    <n v="-5716.7"/>
    <n v="-5716.7"/>
    <n v="-5716.7"/>
    <n v="5716.7"/>
    <m/>
    <x v="0"/>
    <x v="0"/>
    <x v="0"/>
  </r>
  <r>
    <s v="TXN-00241"/>
    <d v="2024-05-31T00:00:00"/>
    <x v="5"/>
    <x v="8"/>
    <n v="5100"/>
    <s v="Contractor fee"/>
    <s v="CONTRACTOR FEE"/>
    <n v="-13873.73"/>
    <n v="-13873.73"/>
    <n v="-13873.73"/>
    <n v="13873.73"/>
    <m/>
    <x v="0"/>
    <x v="0"/>
    <x v="0"/>
  </r>
  <r>
    <s v="TXN-00242"/>
    <d v="2024-04-11T00:00:00"/>
    <x v="1"/>
    <x v="6"/>
    <n v="6400"/>
    <s v="Client dinner"/>
    <s v="CLIENT DINNER"/>
    <n v="-2060.1"/>
    <n v="-2060.1"/>
    <n v="-2060.1"/>
    <n v="2060.1"/>
    <m/>
    <x v="0"/>
    <x v="0"/>
    <x v="0"/>
  </r>
  <r>
    <s v="TXN-00243"/>
    <d v="2024-03-03T00:00:00"/>
    <x v="8"/>
    <x v="0"/>
    <n v="4000"/>
    <s v="Product sale"/>
    <s v="PRODUCT SALE"/>
    <n v="1444.28"/>
    <n v="1444.28"/>
    <n v="1444.28"/>
    <n v="1444.28"/>
    <m/>
    <x v="0"/>
    <x v="0"/>
    <x v="0"/>
  </r>
  <r>
    <s v="TXN-00244"/>
    <d v="2024-09-13T00:00:00"/>
    <x v="11"/>
    <x v="2"/>
    <n v="6100"/>
    <s v="Monthly office rent"/>
    <s v="MONTHLY OFFICE RENT"/>
    <n v="-4338.18"/>
    <n v="-4338.18"/>
    <n v="-4338.18"/>
    <n v="4338.18"/>
    <m/>
    <x v="0"/>
    <x v="0"/>
    <x v="0"/>
  </r>
  <r>
    <s v="TXN-00245"/>
    <d v="2024-07-10T00:00:00"/>
    <x v="10"/>
    <x v="2"/>
    <n v="6100"/>
    <s v="Rent payment"/>
    <s v="RENT PAYMENT"/>
    <n v="-937.97"/>
    <n v="-93.79"/>
    <n v="-937.97"/>
    <n v="937.97"/>
    <n v="-844.18"/>
    <x v="1"/>
    <x v="1"/>
    <x v="0"/>
  </r>
  <r>
    <s v="TXN-00246"/>
    <d v="2024-08-19T00:00:00"/>
    <x v="2"/>
    <x v="0"/>
    <n v="4000"/>
    <s v="Customer deposit"/>
    <s v="CUSTOMER DEPOSIT"/>
    <n v="18714.77"/>
    <n v="18714.77"/>
    <n v="18714.77"/>
    <n v="18714.77"/>
    <m/>
    <x v="0"/>
    <x v="0"/>
    <x v="0"/>
  </r>
  <r>
    <s v="TXN-00247"/>
    <d v="2024-09-17T00:00:00"/>
    <x v="11"/>
    <x v="1"/>
    <n v="6500"/>
    <s v="Online ad campaign"/>
    <s v="ONLINE AD CAMPAIGN"/>
    <n v="-4046.88"/>
    <n v="-4046.88"/>
    <n v="-4046.88"/>
    <n v="4046.88"/>
    <m/>
    <x v="0"/>
    <x v="0"/>
    <x v="0"/>
  </r>
  <r>
    <s v="TXN-00248"/>
    <d v="2024-12-24T00:00:00"/>
    <x v="6"/>
    <x v="3"/>
    <n v="6300"/>
    <s v="Office equipment"/>
    <s v="OFFICE EQUIPMENT"/>
    <n v="-429.87"/>
    <n v="-429.87"/>
    <n v="-429.87"/>
    <n v="429.87"/>
    <m/>
    <x v="0"/>
    <x v="0"/>
    <x v="0"/>
  </r>
  <r>
    <s v="TXN-00249"/>
    <d v="2024-10-20T00:00:00"/>
    <x v="4"/>
    <x v="1"/>
    <n v="6500"/>
    <s v="Trade fair booth"/>
    <s v="TRADE FAIR BOOTH"/>
    <n v="-6325.2"/>
    <n v="-6325.2"/>
    <n v="-6325.2"/>
    <n v="6325.2"/>
    <m/>
    <x v="0"/>
    <x v="0"/>
    <x v="0"/>
  </r>
  <r>
    <s v="TXN-00250"/>
    <d v="2024-08-14T00:00:00"/>
    <x v="2"/>
    <x v="0"/>
    <n v="4000"/>
    <s v="Invoice payment received"/>
    <s v="INVOICE PAYMENT RECEIV"/>
    <n v="8602.5400000000009"/>
    <n v="8602.5400000000009"/>
    <n v="8602.5400000000009"/>
    <n v="8602.5400000000009"/>
    <m/>
    <x v="0"/>
    <x v="0"/>
    <x v="0"/>
  </r>
  <r>
    <s v="TXN-00251"/>
    <d v="2024-11-16T00:00:00"/>
    <x v="7"/>
    <x v="8"/>
    <n v="5100"/>
    <s v="Contractor fee"/>
    <s v="CONTRACTOR FEE"/>
    <n v="-5721.3"/>
    <n v="-5721.3"/>
    <n v="-5721.3"/>
    <n v="5721.3"/>
    <m/>
    <x v="0"/>
    <x v="0"/>
    <x v="0"/>
  </r>
  <r>
    <s v="TXN-00252"/>
    <d v="2024-06-23T00:00:00"/>
    <x v="3"/>
    <x v="3"/>
    <n v="6300"/>
    <s v="Office equipment"/>
    <s v="OFFICE EQUIPMENT"/>
    <n v="-517.27"/>
    <n v="-517.27"/>
    <n v="-517.27"/>
    <n v="517.27"/>
    <m/>
    <x v="0"/>
    <x v="0"/>
    <x v="0"/>
  </r>
  <r>
    <s v="TXN-00253"/>
    <d v="2024-12-25T00:00:00"/>
    <x v="6"/>
    <x v="8"/>
    <n v="5100"/>
    <s v="Supplier invoice"/>
    <s v="SUPPLIER INVOICE"/>
    <n v="-2576.71"/>
    <n v="-2576.71"/>
    <n v="-2576.71"/>
    <n v="2576.71"/>
    <m/>
    <x v="0"/>
    <x v="0"/>
    <x v="0"/>
  </r>
  <r>
    <s v="TXN-00254"/>
    <d v="2024-10-04T00:00:00"/>
    <x v="4"/>
    <x v="9"/>
    <n v="6200"/>
    <s v="Electricity bill"/>
    <s v="ELECTRICITY BILL"/>
    <n v="-941.14"/>
    <n v="-941.14"/>
    <n v="-941.14"/>
    <n v="941.14"/>
    <m/>
    <x v="0"/>
    <x v="0"/>
    <x v="0"/>
  </r>
  <r>
    <s v="TXN-00255"/>
    <d v="2024-08-25T00:00:00"/>
    <x v="2"/>
    <x v="2"/>
    <n v="6100"/>
    <s v="Monthly office rent"/>
    <s v="MONTHLY OFFICE RENT"/>
    <n v="-3589.74"/>
    <n v="-3589.74"/>
    <n v="-3589.74"/>
    <n v="3589.74"/>
    <m/>
    <x v="0"/>
    <x v="0"/>
    <x v="0"/>
  </r>
  <r>
    <s v="TXN-00256"/>
    <d v="2024-11-25T00:00:00"/>
    <x v="7"/>
    <x v="8"/>
    <n v="5100"/>
    <s v="Vendor payment - materials"/>
    <s v="VENDOR PAYMENT - MATER"/>
    <n v="-14488.16"/>
    <n v="-14488.16"/>
    <n v="-14488.16"/>
    <n v="14488.16"/>
    <m/>
    <x v="0"/>
    <x v="0"/>
    <x v="0"/>
  </r>
  <r>
    <s v="TXN-00257"/>
    <d v="2024-07-07T00:00:00"/>
    <x v="10"/>
    <x v="2"/>
    <n v="6100"/>
    <s v="Monthly office rent"/>
    <s v="MONTHLY OFFICE RENT"/>
    <n v="-5249.34"/>
    <n v="-5249.34"/>
    <n v="-5249.34"/>
    <n v="5249.34"/>
    <m/>
    <x v="0"/>
    <x v="0"/>
    <x v="0"/>
  </r>
  <r>
    <s v="TXN-00258"/>
    <d v="2024-09-20T00:00:00"/>
    <x v="11"/>
    <x v="8"/>
    <n v="5100"/>
    <s v="Contractor fee"/>
    <s v="CONTRACTOR FEE"/>
    <n v="-2976.62"/>
    <n v="-2976.62"/>
    <n v="-2976.62"/>
    <n v="2976.62"/>
    <m/>
    <x v="0"/>
    <x v="0"/>
    <x v="0"/>
  </r>
  <r>
    <s v="TXN-00259"/>
    <d v="2024-04-13T00:00:00"/>
    <x v="1"/>
    <x v="8"/>
    <n v="5100"/>
    <s v="Contractor fee"/>
    <s v="CONTRACTOR FEE"/>
    <n v="-13196.58"/>
    <n v="-13196.58"/>
    <n v="-13196.58"/>
    <n v="13196.58"/>
    <m/>
    <x v="0"/>
    <x v="0"/>
    <x v="0"/>
  </r>
  <r>
    <s v="TXN-00260"/>
    <d v="2024-12-17T00:00:00"/>
    <x v="6"/>
    <x v="6"/>
    <n v="6400"/>
    <s v="Client dinner"/>
    <s v="CLIENT DINNER"/>
    <n v="-1360.67"/>
    <n v="-1360.67"/>
    <n v="-1360.67"/>
    <n v="1360.67"/>
    <m/>
    <x v="0"/>
    <x v="0"/>
    <x v="0"/>
  </r>
  <r>
    <s v="TXN-00261"/>
    <d v="2024-08-15T00:00:00"/>
    <x v="2"/>
    <x v="1"/>
    <n v="6500"/>
    <s v="Online ad campaign"/>
    <s v="ONLINE AD CAMPAIGN"/>
    <n v="-6516.06"/>
    <n v="-6516.06"/>
    <n v="-6516.06"/>
    <n v="6516.06"/>
    <m/>
    <x v="0"/>
    <x v="0"/>
    <x v="0"/>
  </r>
  <r>
    <s v="TXN-00262"/>
    <d v="2024-10-12T00:00:00"/>
    <x v="4"/>
    <x v="8"/>
    <n v="5100"/>
    <s v="Supplier invoice"/>
    <s v="SUPPLIER INVOICE"/>
    <n v="-7330.1"/>
    <n v="-7330.1"/>
    <n v="-7330.1"/>
    <n v="7330.1"/>
    <m/>
    <x v="0"/>
    <x v="0"/>
    <x v="0"/>
  </r>
  <r>
    <s v="TXN-00263"/>
    <d v="2024-06-17T00:00:00"/>
    <x v="3"/>
    <x v="5"/>
    <n v="6000"/>
    <s v="Monthly salary run"/>
    <s v="MONTHLY SALARY RUN"/>
    <n v="-11812.52"/>
    <n v="-11812.52"/>
    <n v="-11812.52"/>
    <n v="11812.52"/>
    <m/>
    <x v="0"/>
    <x v="0"/>
    <x v="0"/>
  </r>
  <r>
    <s v="TXN-00264"/>
    <d v="2024-11-12T00:00:00"/>
    <x v="7"/>
    <x v="7"/>
    <n v="4900"/>
    <s v="Savings interest"/>
    <s v="SAVINGS INTEREST"/>
    <n v="244.85"/>
    <n v="244.85"/>
    <n v="244.85"/>
    <n v="244.85"/>
    <m/>
    <x v="0"/>
    <x v="0"/>
    <x v="0"/>
  </r>
  <r>
    <s v="TXN-00265"/>
    <d v="2024-01-28T00:00:00"/>
    <x v="9"/>
    <x v="7"/>
    <n v="4900"/>
    <s v="Interest accrual"/>
    <s v="INTEREST ACCRUAL"/>
    <n v="151.13999999999999"/>
    <n v="151.13999999999999"/>
    <n v="151.13999999999999"/>
    <n v="151.13999999999999"/>
    <m/>
    <x v="0"/>
    <x v="0"/>
    <x v="0"/>
  </r>
  <r>
    <s v="TXN-00266"/>
    <d v="2024-02-11T00:00:00"/>
    <x v="0"/>
    <x v="6"/>
    <n v="6400"/>
    <s v="Client dinner"/>
    <s v="CLIENT DINNER"/>
    <n v="-1508.26"/>
    <n v="-1508.26"/>
    <n v="-1508.26"/>
    <n v="1508.26"/>
    <m/>
    <x v="0"/>
    <x v="0"/>
    <x v="0"/>
  </r>
  <r>
    <s v="TXN-00267"/>
    <d v="2024-07-04T00:00:00"/>
    <x v="10"/>
    <x v="3"/>
    <n v="6300"/>
    <s v="Stationery purchase"/>
    <s v="STATIONERY PURCHASE"/>
    <n v="-719.38"/>
    <n v="-719.38"/>
    <n v="-719.38"/>
    <n v="719.38"/>
    <m/>
    <x v="0"/>
    <x v="0"/>
    <x v="0"/>
  </r>
  <r>
    <s v="TXN-00268"/>
    <d v="2024-09-24T00:00:00"/>
    <x v="11"/>
    <x v="9"/>
    <n v="6200"/>
    <s v="Electricity bill"/>
    <s v="ELECTRICITY BILL"/>
    <n v="-1013.37"/>
    <n v="-1013.37"/>
    <n v="-1013.37"/>
    <n v="1013.37"/>
    <m/>
    <x v="0"/>
    <x v="0"/>
    <x v="0"/>
  </r>
  <r>
    <s v="TXN-00269"/>
    <d v="2024-10-22T00:00:00"/>
    <x v="4"/>
    <x v="2"/>
    <n v="6100"/>
    <s v="Monthly office rent"/>
    <s v="MONTHLY OFFICE RENT"/>
    <n v="-2379.7399999999998"/>
    <n v="-2379.7399999999998"/>
    <n v="-2379.7399999999998"/>
    <n v="2379.7399999999998"/>
    <m/>
    <x v="0"/>
    <x v="0"/>
    <x v="0"/>
  </r>
  <r>
    <s v="TXN-00270"/>
    <d v="2024-06-09T00:00:00"/>
    <x v="3"/>
    <x v="6"/>
    <n v="6400"/>
    <s v="Business trip - airfare"/>
    <s v="BUSINESS TRIP - AIRFAR"/>
    <n v="-3070.22"/>
    <n v="-3070.22"/>
    <n v="-3070.22"/>
    <n v="3070.22"/>
    <m/>
    <x v="0"/>
    <x v="0"/>
    <x v="0"/>
  </r>
  <r>
    <s v="TXN-00271"/>
    <d v="2024-08-25T00:00:00"/>
    <x v="2"/>
    <x v="5"/>
    <n v="6000"/>
    <s v="Monthly salary run"/>
    <s v="MONTHLY SALARY RUN"/>
    <n v="-6964.8"/>
    <n v="-6964.8"/>
    <n v="-6964.8"/>
    <n v="6964.8"/>
    <m/>
    <x v="0"/>
    <x v="0"/>
    <x v="0"/>
  </r>
  <r>
    <s v="TXN-00272"/>
    <d v="2024-07-20T00:00:00"/>
    <x v="10"/>
    <x v="0"/>
    <n v="4000"/>
    <s v="Invoice payment received"/>
    <s v="INVOICE PAYMENT RECEIV"/>
    <n v="11860.06"/>
    <n v="11860.06"/>
    <n v="11860.06"/>
    <n v="11860.06"/>
    <m/>
    <x v="0"/>
    <x v="0"/>
    <x v="0"/>
  </r>
  <r>
    <s v="TXN-00273"/>
    <d v="2024-12-16T00:00:00"/>
    <x v="6"/>
    <x v="8"/>
    <n v="5100"/>
    <s v="Vendor payment - materials"/>
    <s v="VENDOR PAYMENT - MATER"/>
    <n v="-2618.1999999999998"/>
    <n v="-2618.1999999999998"/>
    <n v="-2618.1999999999998"/>
    <n v="2618.1999999999998"/>
    <m/>
    <x v="0"/>
    <x v="0"/>
    <x v="0"/>
  </r>
  <r>
    <s v="TXN-00274"/>
    <d v="2024-08-26T00:00:00"/>
    <x v="2"/>
    <x v="7"/>
    <n v="4900"/>
    <s v="Interest accrual"/>
    <s v="INTEREST ACCRUAL"/>
    <n v="268.99"/>
    <n v="268.99"/>
    <n v="268.99"/>
    <n v="268.99"/>
    <m/>
    <x v="0"/>
    <x v="0"/>
    <x v="0"/>
  </r>
  <r>
    <s v="TXN-00275"/>
    <d v="2024-06-01T00:00:00"/>
    <x v="3"/>
    <x v="3"/>
    <n v="6300"/>
    <s v="Stationery purchase"/>
    <s v="STATIONERY PURCHASE"/>
    <n v="-564.47"/>
    <n v="-564.47"/>
    <n v="-564.47"/>
    <n v="564.47"/>
    <m/>
    <x v="0"/>
    <x v="0"/>
    <x v="0"/>
  </r>
  <r>
    <s v="TXN-00276"/>
    <d v="2024-12-19T00:00:00"/>
    <x v="6"/>
    <x v="3"/>
    <n v="6300"/>
    <s v="Printer consumables"/>
    <s v="PRINTER CONSUMABLES"/>
    <n v="-55.28"/>
    <n v="-55.28"/>
    <n v="-55.28"/>
    <n v="55.28"/>
    <m/>
    <x v="0"/>
    <x v="0"/>
    <x v="0"/>
  </r>
  <r>
    <s v="TXN-00277"/>
    <d v="2024-02-09T00:00:00"/>
    <x v="0"/>
    <x v="3"/>
    <n v="6300"/>
    <s v="Printer consumables"/>
    <s v="PRINTER CONSUMABLES"/>
    <n v="-479.58"/>
    <n v="-479.58"/>
    <n v="-479.58"/>
    <n v="479.58"/>
    <m/>
    <x v="0"/>
    <x v="0"/>
    <x v="0"/>
  </r>
  <r>
    <s v="TXN-00278"/>
    <d v="2024-12-25T00:00:00"/>
    <x v="6"/>
    <x v="1"/>
    <n v="6500"/>
    <s v="Trade fair booth"/>
    <s v="TRADE FAIR BOOTH"/>
    <n v="-1832.46"/>
    <n v="-1832.46"/>
    <n v="-1832.46"/>
    <n v="1832.46"/>
    <m/>
    <x v="0"/>
    <x v="0"/>
    <x v="0"/>
  </r>
  <r>
    <s v="TXN-00279"/>
    <d v="2024-02-26T00:00:00"/>
    <x v="0"/>
    <x v="0"/>
    <n v="4000"/>
    <s v="Customer deposit"/>
    <s v="CUSTOMER DEPOSIT"/>
    <n v="5117.62"/>
    <n v="5117.62"/>
    <n v="5117.62"/>
    <n v="5117.62"/>
    <m/>
    <x v="0"/>
    <x v="0"/>
    <x v="0"/>
  </r>
  <r>
    <s v="TXN-00280"/>
    <d v="2024-04-15T00:00:00"/>
    <x v="1"/>
    <x v="0"/>
    <n v="4000"/>
    <s v="Invoice payment received"/>
    <s v="INVOICE PAYMENT RECEIV"/>
    <n v="8931.4599999999991"/>
    <n v="8931.4599999999991"/>
    <n v="8931.4599999999991"/>
    <n v="8931.4599999999991"/>
    <m/>
    <x v="0"/>
    <x v="0"/>
    <x v="0"/>
  </r>
  <r>
    <s v="TXN-00281"/>
    <d v="2024-10-26T00:00:00"/>
    <x v="4"/>
    <x v="5"/>
    <n v="6000"/>
    <s v="Monthly salary run"/>
    <s v="MONTHLY SALARY RUN"/>
    <n v="-11446.86"/>
    <n v="-11446.86"/>
    <n v="-11446.86"/>
    <n v="11446.86"/>
    <m/>
    <x v="0"/>
    <x v="0"/>
    <x v="0"/>
  </r>
  <r>
    <s v="TXN-00282"/>
    <d v="2024-09-24T00:00:00"/>
    <x v="11"/>
    <x v="3"/>
    <n v="6300"/>
    <s v="Stationery purchase"/>
    <s v="STATIONERY PURCHASE"/>
    <n v="-376.39"/>
    <n v="-376.39"/>
    <n v="-376.39"/>
    <n v="376.39"/>
    <m/>
    <x v="0"/>
    <x v="0"/>
    <x v="0"/>
  </r>
  <r>
    <s v="TXN-00283"/>
    <d v="2024-12-20T00:00:00"/>
    <x v="6"/>
    <x v="2"/>
    <n v="6100"/>
    <s v="Monthly office rent"/>
    <s v="MONTHLY OFFICE RENT"/>
    <n v="-5866.97"/>
    <n v="-5866.97"/>
    <n v="-5866.97"/>
    <n v="5866.97"/>
    <m/>
    <x v="0"/>
    <x v="0"/>
    <x v="0"/>
  </r>
  <r>
    <s v="TXN-00284"/>
    <d v="2024-09-30T00:00:00"/>
    <x v="11"/>
    <x v="3"/>
    <n v="6300"/>
    <s v="Office equipment"/>
    <s v="OFFICE EQUIPMENT"/>
    <n v="-91.05"/>
    <n v="-91.05"/>
    <n v="-91.05"/>
    <n v="91.05"/>
    <m/>
    <x v="0"/>
    <x v="0"/>
    <x v="0"/>
  </r>
  <r>
    <s v="TXN-00285"/>
    <d v="2024-08-20T00:00:00"/>
    <x v="2"/>
    <x v="3"/>
    <n v="6300"/>
    <s v="Printer consumables"/>
    <s v="PRINTER CONSUMABLES"/>
    <n v="-786.84"/>
    <n v="-786.84"/>
    <n v="-786.84"/>
    <n v="786.84"/>
    <m/>
    <x v="0"/>
    <x v="0"/>
    <x v="0"/>
  </r>
  <r>
    <s v="TXN-00286"/>
    <d v="2024-05-06T00:00:00"/>
    <x v="5"/>
    <x v="7"/>
    <n v="4900"/>
    <s v="Savings interest"/>
    <s v="SAVINGS INTEREST"/>
    <n v="255.52"/>
    <n v="255.52"/>
    <n v="255.52"/>
    <n v="255.52"/>
    <m/>
    <x v="0"/>
    <x v="0"/>
    <x v="0"/>
  </r>
  <r>
    <s v="TXN-00287"/>
    <d v="2024-01-02T00:00:00"/>
    <x v="9"/>
    <x v="8"/>
    <n v="5100"/>
    <s v="Vendor payment - materials"/>
    <s v="VENDOR PAYMENT - MATER"/>
    <n v="-6579.93"/>
    <n v="-6579.93"/>
    <n v="-6579.93"/>
    <n v="6579.93"/>
    <m/>
    <x v="0"/>
    <x v="0"/>
    <x v="0"/>
  </r>
  <r>
    <s v="TXN-00288"/>
    <d v="2024-02-15T00:00:00"/>
    <x v="0"/>
    <x v="6"/>
    <n v="6400"/>
    <s v="Client dinner"/>
    <s v="CLIENT DINNER"/>
    <n v="-202.77"/>
    <n v="-202.77"/>
    <n v="-202.77"/>
    <n v="202.77"/>
    <m/>
    <x v="0"/>
    <x v="0"/>
    <x v="0"/>
  </r>
  <r>
    <s v="TXN-00289"/>
    <d v="2024-04-18T00:00:00"/>
    <x v="1"/>
    <x v="6"/>
    <n v="6400"/>
    <s v="Business trip - airfare"/>
    <s v="BUSINESS TRIP - AIRFAR"/>
    <n v="-3477.92"/>
    <n v="-3477.92"/>
    <n v="-3477.92"/>
    <n v="3477.92"/>
    <m/>
    <x v="0"/>
    <x v="0"/>
    <x v="0"/>
  </r>
  <r>
    <s v="TXN-00290"/>
    <d v="2024-01-15T00:00:00"/>
    <x v="9"/>
    <x v="3"/>
    <n v="6300"/>
    <s v="Printer consumables"/>
    <s v="PRINTER CONSUMABLES"/>
    <n v="-863.66"/>
    <n v="-863.66"/>
    <n v="-863.66"/>
    <n v="863.66"/>
    <m/>
    <x v="0"/>
    <x v="0"/>
    <x v="0"/>
  </r>
  <r>
    <s v="TXN-00291"/>
    <d v="2024-07-04T00:00:00"/>
    <x v="10"/>
    <x v="4"/>
    <n v="6900"/>
    <s v="Wire transfer fee"/>
    <s v="WIRE TRANSFER FEE"/>
    <n v="-107.34"/>
    <n v="-107.34"/>
    <n v="-107.34"/>
    <n v="107.34"/>
    <m/>
    <x v="0"/>
    <x v="0"/>
    <x v="0"/>
  </r>
  <r>
    <s v="TXN-00292"/>
    <d v="2024-10-10T00:00:00"/>
    <x v="4"/>
    <x v="5"/>
    <n v="6000"/>
    <s v="Monthly salary run"/>
    <s v="MONTHLY SALARY RUN"/>
    <n v="-4668.53"/>
    <n v="-4668.53"/>
    <n v="-4668.53"/>
    <n v="4668.53"/>
    <m/>
    <x v="0"/>
    <x v="0"/>
    <x v="0"/>
  </r>
  <r>
    <s v="TXN-00293"/>
    <d v="2024-12-17T00:00:00"/>
    <x v="6"/>
    <x v="7"/>
    <n v="4900"/>
    <s v="Savings interest"/>
    <s v="SAVINGS INTEREST"/>
    <n v="22.82"/>
    <n v="22.82"/>
    <n v="22.82"/>
    <n v="22.82"/>
    <m/>
    <x v="0"/>
    <x v="0"/>
    <x v="0"/>
  </r>
  <r>
    <s v="TXN-00294"/>
    <d v="2024-06-27T00:00:00"/>
    <x v="3"/>
    <x v="9"/>
    <n v="6200"/>
    <s v="Internet &amp; telecom"/>
    <s v="INTERNET &amp; TELECOM"/>
    <n v="-1126.26"/>
    <n v="-1126.26"/>
    <n v="-1126.26"/>
    <n v="1126.26"/>
    <m/>
    <x v="0"/>
    <x v="0"/>
    <x v="0"/>
  </r>
  <r>
    <s v="TXN-00295"/>
    <d v="2024-11-15T00:00:00"/>
    <x v="7"/>
    <x v="6"/>
    <n v="6400"/>
    <s v="Hotel accommodation"/>
    <s v="HOTEL ACCOMMODATION"/>
    <n v="-481.86"/>
    <n v="-481.86"/>
    <n v="-481.86"/>
    <n v="481.86"/>
    <m/>
    <x v="0"/>
    <x v="0"/>
    <x v="0"/>
  </r>
  <r>
    <s v="TXN-00296"/>
    <d v="2024-12-25T00:00:00"/>
    <x v="6"/>
    <x v="6"/>
    <n v="6400"/>
    <s v="Hotel accommodation"/>
    <s v="HOTEL ACCOMMODATION"/>
    <n v="-284.60000000000002"/>
    <n v="-284.60000000000002"/>
    <n v="-284.60000000000002"/>
    <n v="284.60000000000002"/>
    <m/>
    <x v="0"/>
    <x v="0"/>
    <x v="0"/>
  </r>
  <r>
    <s v="TXN-00297"/>
    <d v="2024-11-09T00:00:00"/>
    <x v="7"/>
    <x v="4"/>
    <n v="6900"/>
    <s v="Account maintenance fee"/>
    <s v="ACCOUNT MAINTENANCE FE"/>
    <n v="-27.58"/>
    <n v="-27.58"/>
    <n v="-27.58"/>
    <n v="27.58"/>
    <m/>
    <x v="0"/>
    <x v="0"/>
    <x v="0"/>
  </r>
  <r>
    <s v="TXN-00298"/>
    <d v="2024-06-18T00:00:00"/>
    <x v="3"/>
    <x v="3"/>
    <n v="6300"/>
    <s v="Office equipment"/>
    <s v="OFFICE EQUIPMENT"/>
    <n v="-490.71"/>
    <n v="-490.71"/>
    <n v="-490.71"/>
    <n v="490.71"/>
    <m/>
    <x v="0"/>
    <x v="0"/>
    <x v="0"/>
  </r>
  <r>
    <s v="TXN-00299"/>
    <d v="2024-04-28T00:00:00"/>
    <x v="1"/>
    <x v="5"/>
    <n v="6000"/>
    <s v="Monthly salary run"/>
    <s v="MONTHLY SALARY RUN"/>
    <n v="-7458.21"/>
    <n v="-7458.21"/>
    <n v="-7458.21"/>
    <n v="7458.21"/>
    <m/>
    <x v="0"/>
    <x v="0"/>
    <x v="0"/>
  </r>
  <r>
    <s v="TXN-00300"/>
    <d v="2024-12-22T00:00:00"/>
    <x v="6"/>
    <x v="0"/>
    <n v="4000"/>
    <s v="Product sale"/>
    <s v="PRODUCT SALE"/>
    <n v="10232.219999999999"/>
    <n v="10232.219999999999"/>
    <n v="10232.219999999999"/>
    <n v="10232.219999999999"/>
    <m/>
    <x v="0"/>
    <x v="0"/>
    <x v="1"/>
  </r>
  <r>
    <s v="TXN-00301"/>
    <d v="2024-03-29T00:00:00"/>
    <x v="8"/>
    <x v="9"/>
    <n v="6200"/>
    <s v="Internet &amp; telecom"/>
    <s v="INTERNET &amp; TELECOM"/>
    <n v="-122.58"/>
    <n v="-122.58"/>
    <n v="-122.58"/>
    <n v="122.58"/>
    <m/>
    <x v="0"/>
    <x v="0"/>
    <x v="0"/>
  </r>
  <r>
    <s v="TXN-00302"/>
    <d v="2024-05-30T00:00:00"/>
    <x v="5"/>
    <x v="4"/>
    <n v="6900"/>
    <s v="Wire transfer fee"/>
    <s v="WIRE TRANSFER FEE"/>
    <n v="-145.47"/>
    <n v="-145.47"/>
    <n v="-145.47"/>
    <n v="145.47"/>
    <m/>
    <x v="0"/>
    <x v="0"/>
    <x v="0"/>
  </r>
  <r>
    <s v="TXN-00303"/>
    <d v="2024-01-28T00:00:00"/>
    <x v="9"/>
    <x v="0"/>
    <n v="4000"/>
    <s v="Invoice payment received"/>
    <s v="INVOICE PAYMENT RECEIV"/>
    <n v="5139.41"/>
    <n v="5139.41"/>
    <n v="5139.41"/>
    <n v="5139.41"/>
    <m/>
    <x v="0"/>
    <x v="0"/>
    <x v="0"/>
  </r>
  <r>
    <s v="TXN-00304"/>
    <d v="2024-10-16T00:00:00"/>
    <x v="4"/>
    <x v="4"/>
    <n v="6900"/>
    <s v="Account maintenance fee"/>
    <s v="ACCOUNT MAINTENANCE FE"/>
    <n v="-46.48"/>
    <n v="-46.48"/>
    <n v="-46.48"/>
    <n v="46.48"/>
    <m/>
    <x v="0"/>
    <x v="0"/>
    <x v="0"/>
  </r>
  <r>
    <s v="TXN-00305"/>
    <d v="2024-08-25T00:00:00"/>
    <x v="2"/>
    <x v="6"/>
    <n v="6400"/>
    <s v="Business trip - airfare"/>
    <s v="BUSINESS TRIP - AIRFAR"/>
    <n v="-402.46"/>
    <n v="-402.46"/>
    <n v="-402.46"/>
    <n v="402.46"/>
    <m/>
    <x v="0"/>
    <x v="0"/>
    <x v="0"/>
  </r>
  <r>
    <s v="TXN-00306"/>
    <d v="2024-01-31T00:00:00"/>
    <x v="9"/>
    <x v="8"/>
    <n v="5100"/>
    <s v="Contractor fee"/>
    <s v="CONTRACTOR FEE"/>
    <n v="-13036.08"/>
    <n v="-13036.08"/>
    <n v="-13036.08"/>
    <n v="13036.08"/>
    <m/>
    <x v="0"/>
    <x v="0"/>
    <x v="0"/>
  </r>
  <r>
    <s v="TXN-00307"/>
    <d v="2024-03-22T00:00:00"/>
    <x v="8"/>
    <x v="9"/>
    <n v="6200"/>
    <s v="Electricity bill"/>
    <s v="ELECTRICITY BILL"/>
    <n v="-1004.52"/>
    <n v="-1004.52"/>
    <n v="-1004.52"/>
    <n v="1004.52"/>
    <m/>
    <x v="0"/>
    <x v="0"/>
    <x v="0"/>
  </r>
  <r>
    <s v="TXN-00308"/>
    <d v="2024-07-21T00:00:00"/>
    <x v="10"/>
    <x v="6"/>
    <n v="6400"/>
    <s v="Hotel accommodation"/>
    <s v="HOTEL ACCOMMODATION"/>
    <n v="-3417.57"/>
    <n v="-3417.57"/>
    <n v="-3417.57"/>
    <n v="3417.57"/>
    <m/>
    <x v="0"/>
    <x v="0"/>
    <x v="0"/>
  </r>
  <r>
    <s v="TXN-00309"/>
    <d v="2024-07-16T00:00:00"/>
    <x v="10"/>
    <x v="9"/>
    <n v="6200"/>
    <s v="Water utility"/>
    <s v="WATER UTILITY"/>
    <n v="-1134.8900000000001"/>
    <n v="-1134.8900000000001"/>
    <n v="-1134.8900000000001"/>
    <n v="1134.8900000000001"/>
    <m/>
    <x v="0"/>
    <x v="0"/>
    <x v="0"/>
  </r>
  <r>
    <s v="TXN-00310"/>
    <d v="2024-10-19T00:00:00"/>
    <x v="4"/>
    <x v="8"/>
    <n v="5100"/>
    <s v="Contractor fee"/>
    <s v="CONTRACTOR FEE"/>
    <n v="-2078.64"/>
    <n v="-2078.64"/>
    <n v="-2078.64"/>
    <n v="2078.64"/>
    <m/>
    <x v="0"/>
    <x v="0"/>
    <x v="0"/>
  </r>
  <r>
    <s v="TXN-00311"/>
    <d v="2024-04-07T00:00:00"/>
    <x v="1"/>
    <x v="2"/>
    <n v="6100"/>
    <s v="Rent payment"/>
    <s v="RENT PAYMENT"/>
    <n v="-3637.51"/>
    <n v="-3637.51"/>
    <n v="-3637.51"/>
    <n v="3637.51"/>
    <m/>
    <x v="0"/>
    <x v="0"/>
    <x v="0"/>
  </r>
  <r>
    <s v="TXN-00312"/>
    <d v="2024-12-03T00:00:00"/>
    <x v="6"/>
    <x v="2"/>
    <n v="6100"/>
    <s v="Rent payment"/>
    <s v="RENT PAYMENT"/>
    <n v="-3626.18"/>
    <n v="-3626.18"/>
    <n v="-3626.18"/>
    <n v="3626.18"/>
    <m/>
    <x v="0"/>
    <x v="0"/>
    <x v="0"/>
  </r>
  <r>
    <s v="TXN-00313"/>
    <d v="2024-06-11T00:00:00"/>
    <x v="3"/>
    <x v="8"/>
    <n v="5100"/>
    <s v="Contractor fee"/>
    <s v="CONTRACTOR FEE"/>
    <n v="-14582.7"/>
    <n v="-14582.7"/>
    <n v="-14582.7"/>
    <n v="14582.7"/>
    <m/>
    <x v="0"/>
    <x v="0"/>
    <x v="0"/>
  </r>
  <r>
    <s v="TXN-00314"/>
    <d v="2024-10-27T00:00:00"/>
    <x v="4"/>
    <x v="5"/>
    <n v="6000"/>
    <s v="Employee wages"/>
    <s v="EMPLOYEE WAGES"/>
    <n v="-8900.7999999999993"/>
    <n v="-8900.7999999999993"/>
    <n v="-8900.7999999999993"/>
    <n v="8900.7999999999993"/>
    <m/>
    <x v="0"/>
    <x v="0"/>
    <x v="0"/>
  </r>
  <r>
    <s v="TXN-00315"/>
    <d v="2024-03-28T00:00:00"/>
    <x v="8"/>
    <x v="5"/>
    <n v="6000"/>
    <s v="Employee wages"/>
    <s v="EMPLOYEE WAGES"/>
    <n v="-6292.24"/>
    <n v="-6292.24"/>
    <n v="-6292.24"/>
    <n v="6292.24"/>
    <m/>
    <x v="0"/>
    <x v="0"/>
    <x v="0"/>
  </r>
  <r>
    <s v="TXN-00316"/>
    <d v="2024-01-14T00:00:00"/>
    <x v="9"/>
    <x v="2"/>
    <n v="6100"/>
    <s v="Warehouse lease"/>
    <s v="WAREHOUSE LEASE"/>
    <n v="-2808.98"/>
    <n v="-2808.98"/>
    <n v="-2808.98"/>
    <n v="2808.98"/>
    <m/>
    <x v="0"/>
    <x v="0"/>
    <x v="0"/>
  </r>
  <r>
    <s v="TXN-00317"/>
    <d v="2024-01-21T00:00:00"/>
    <x v="9"/>
    <x v="1"/>
    <n v="6500"/>
    <s v="Online ad campaign"/>
    <s v="ONLINE AD CAMPAIGN"/>
    <n v="-3223.33"/>
    <n v="-3223.33"/>
    <n v="-3223.33"/>
    <n v="3223.33"/>
    <m/>
    <x v="0"/>
    <x v="0"/>
    <x v="0"/>
  </r>
  <r>
    <s v="TXN-00318"/>
    <d v="2024-05-16T00:00:00"/>
    <x v="5"/>
    <x v="1"/>
    <n v="6500"/>
    <s v="Trade fair booth"/>
    <s v="TRADE FAIR BOOTH"/>
    <n v="-854.56"/>
    <n v="-854.56"/>
    <n v="-854.56"/>
    <n v="854.56"/>
    <m/>
    <x v="0"/>
    <x v="0"/>
    <x v="0"/>
  </r>
  <r>
    <s v="TXN-00319"/>
    <d v="2024-12-13T00:00:00"/>
    <x v="6"/>
    <x v="7"/>
    <n v="4900"/>
    <s v="Interest accrual"/>
    <s v="INTEREST ACCRUAL"/>
    <n v="313.05"/>
    <n v="313.05"/>
    <n v="313.05"/>
    <n v="313.05"/>
    <m/>
    <x v="0"/>
    <x v="0"/>
    <x v="0"/>
  </r>
  <r>
    <s v="TXN-00320"/>
    <d v="2024-01-18T00:00:00"/>
    <x v="9"/>
    <x v="1"/>
    <n v="6500"/>
    <s v="Online ad campaign"/>
    <s v="ONLINE AD CAMPAIGN"/>
    <n v="-3651.67"/>
    <n v="-3651.67"/>
    <n v="-3651.67"/>
    <n v="3651.67"/>
    <m/>
    <x v="0"/>
    <x v="0"/>
    <x v="0"/>
  </r>
  <r>
    <s v="TXN-00321"/>
    <d v="2024-05-14T00:00:00"/>
    <x v="5"/>
    <x v="9"/>
    <n v="6200"/>
    <s v="Electricity bill"/>
    <s v="ELECTRICITY BILL"/>
    <n v="-754.05"/>
    <n v="-754.05"/>
    <n v="-754.05"/>
    <n v="754.05"/>
    <m/>
    <x v="0"/>
    <x v="0"/>
    <x v="0"/>
  </r>
  <r>
    <s v="TXN-00322"/>
    <d v="2024-02-09T00:00:00"/>
    <x v="0"/>
    <x v="8"/>
    <n v="5100"/>
    <s v="Contractor fee"/>
    <s v="CONTRACTOR FEE"/>
    <n v="-720.6"/>
    <n v="-720.6"/>
    <n v="-720.6"/>
    <n v="720.6"/>
    <m/>
    <x v="0"/>
    <x v="0"/>
    <x v="0"/>
  </r>
  <r>
    <s v="TXN-00323"/>
    <d v="2024-12-06T00:00:00"/>
    <x v="6"/>
    <x v="2"/>
    <n v="6100"/>
    <s v="Monthly office rent"/>
    <s v="MONTHLY OFFICE RENT"/>
    <n v="-1870.26"/>
    <n v="-1870.26"/>
    <n v="-1870.26"/>
    <n v="1870.26"/>
    <m/>
    <x v="0"/>
    <x v="0"/>
    <x v="0"/>
  </r>
  <r>
    <s v="TXN-00324"/>
    <d v="2024-09-03T00:00:00"/>
    <x v="11"/>
    <x v="7"/>
    <n v="4900"/>
    <s v="Deposit interest credit"/>
    <s v="DEPOSIT INTEREST CREDI"/>
    <n v="390.42"/>
    <n v="390.42"/>
    <n v="390.42"/>
    <n v="390.42"/>
    <m/>
    <x v="0"/>
    <x v="0"/>
    <x v="0"/>
  </r>
  <r>
    <s v="TXN-00325"/>
    <d v="2024-10-05T00:00:00"/>
    <x v="4"/>
    <x v="7"/>
    <n v="4900"/>
    <s v="Interest accrual"/>
    <s v="INTEREST ACCRUAL"/>
    <n v="208.72"/>
    <n v="208.72"/>
    <n v="208.72"/>
    <n v="208.72"/>
    <m/>
    <x v="0"/>
    <x v="0"/>
    <x v="0"/>
  </r>
  <r>
    <s v="TXN-00326"/>
    <d v="2024-09-17T00:00:00"/>
    <x v="11"/>
    <x v="5"/>
    <n v="6000"/>
    <s v="Monthly salary run"/>
    <s v="MONTHLY SALARY RUN"/>
    <n v="-11329.86"/>
    <n v="-11329.86"/>
    <n v="-11329.86"/>
    <n v="11329.86"/>
    <m/>
    <x v="0"/>
    <x v="0"/>
    <x v="0"/>
  </r>
  <r>
    <s v="TXN-00327"/>
    <d v="2024-08-27T00:00:00"/>
    <x v="2"/>
    <x v="5"/>
    <n v="6000"/>
    <s v="Employee wages"/>
    <s v="EMPLOYEE WAGES"/>
    <n v="-3981.78"/>
    <n v="-3981.78"/>
    <n v="-3981.78"/>
    <n v="3981.78"/>
    <m/>
    <x v="0"/>
    <x v="0"/>
    <x v="0"/>
  </r>
  <r>
    <s v="TXN-00328"/>
    <d v="2024-10-09T00:00:00"/>
    <x v="4"/>
    <x v="0"/>
    <n v="4000"/>
    <s v="Product sale"/>
    <s v="PRODUCT SALE"/>
    <n v="1703.38"/>
    <n v="1703.38"/>
    <n v="1703.38"/>
    <n v="1703.38"/>
    <m/>
    <x v="0"/>
    <x v="0"/>
    <x v="0"/>
  </r>
  <r>
    <s v="TXN-00329"/>
    <d v="2024-01-03T00:00:00"/>
    <x v="9"/>
    <x v="8"/>
    <n v="5100"/>
    <s v="Vendor payment - materials"/>
    <s v="VENDOR PAYMENT - MATER"/>
    <n v="-1137.26"/>
    <n v="-1137.26"/>
    <n v="-1137.26"/>
    <n v="1137.26"/>
    <m/>
    <x v="0"/>
    <x v="0"/>
    <x v="0"/>
  </r>
  <r>
    <s v="TXN-00330"/>
    <d v="2024-11-11T00:00:00"/>
    <x v="7"/>
    <x v="6"/>
    <n v="6400"/>
    <s v="Business trip - airfare"/>
    <s v="BUSINESS TRIP - AIRFAR"/>
    <n v="-747.32"/>
    <n v="-747.32"/>
    <n v="-747.32"/>
    <n v="747.32"/>
    <m/>
    <x v="0"/>
    <x v="0"/>
    <x v="0"/>
  </r>
  <r>
    <s v="TXN-00331"/>
    <d v="2024-09-27T00:00:00"/>
    <x v="11"/>
    <x v="6"/>
    <n v="6400"/>
    <s v="Business trip - airfare"/>
    <s v="BUSINESS TRIP - AIRFAR"/>
    <n v="-3200.57"/>
    <n v="-3200.57"/>
    <n v="-3200.57"/>
    <n v="3200.57"/>
    <m/>
    <x v="0"/>
    <x v="0"/>
    <x v="0"/>
  </r>
  <r>
    <s v="TXN-00332"/>
    <d v="2024-09-26T00:00:00"/>
    <x v="11"/>
    <x v="9"/>
    <n v="6200"/>
    <s v="Water utility"/>
    <s v="WATER UTILITY"/>
    <n v="-667.8"/>
    <n v="-667.8"/>
    <n v="-667.8"/>
    <n v="667.8"/>
    <m/>
    <x v="0"/>
    <x v="0"/>
    <x v="0"/>
  </r>
  <r>
    <s v="TXN-00333"/>
    <d v="2024-05-23T00:00:00"/>
    <x v="5"/>
    <x v="9"/>
    <n v="6200"/>
    <s v="Water utility"/>
    <s v="WATER UTILITY"/>
    <n v="-282.14999999999998"/>
    <n v="-282.14999999999998"/>
    <n v="-282.14999999999998"/>
    <n v="282.14999999999998"/>
    <m/>
    <x v="0"/>
    <x v="0"/>
    <x v="0"/>
  </r>
  <r>
    <s v="TXN-00334"/>
    <d v="2024-10-19T00:00:00"/>
    <x v="4"/>
    <x v="4"/>
    <n v="6900"/>
    <s v="Wire transfer fee"/>
    <s v="WIRE TRANSFER FEE"/>
    <n v="-121.08"/>
    <n v="-121.08"/>
    <n v="-121.08"/>
    <n v="121.08"/>
    <m/>
    <x v="0"/>
    <x v="0"/>
    <x v="0"/>
  </r>
  <r>
    <s v="TXN-00335"/>
    <d v="2024-05-19T00:00:00"/>
    <x v="5"/>
    <x v="3"/>
    <n v="6300"/>
    <s v="Office equipment"/>
    <s v="OFFICE EQUIPMENT"/>
    <n v="-780.44"/>
    <n v="-780.44"/>
    <n v="-780.44"/>
    <n v="780.44"/>
    <m/>
    <x v="0"/>
    <x v="0"/>
    <x v="0"/>
  </r>
  <r>
    <s v="TXN-00336"/>
    <d v="2024-01-18T00:00:00"/>
    <x v="9"/>
    <x v="4"/>
    <n v="6900"/>
    <s v="Wire transfer fee"/>
    <s v="WIRE TRANSFER FEE"/>
    <n v="-142.58000000000001"/>
    <n v="-142.58000000000001"/>
    <n v="-142.58000000000001"/>
    <n v="142.58000000000001"/>
    <m/>
    <x v="0"/>
    <x v="0"/>
    <x v="0"/>
  </r>
  <r>
    <s v="TXN-00337"/>
    <d v="2024-11-27T00:00:00"/>
    <x v="7"/>
    <x v="7"/>
    <n v="4900"/>
    <s v="Deposit interest credit"/>
    <s v="DEPOSIT INTEREST CREDI"/>
    <n v="40.78"/>
    <n v="40.78"/>
    <n v="40.78"/>
    <n v="40.78"/>
    <m/>
    <x v="0"/>
    <x v="0"/>
    <x v="0"/>
  </r>
  <r>
    <s v="TXN-00338"/>
    <d v="2024-03-26T00:00:00"/>
    <x v="8"/>
    <x v="9"/>
    <n v="6200"/>
    <s v="Water utility"/>
    <s v="WATER UTILITY"/>
    <n v="-309.82"/>
    <n v="-309.82"/>
    <n v="-309.82"/>
    <n v="309.82"/>
    <m/>
    <x v="0"/>
    <x v="0"/>
    <x v="0"/>
  </r>
  <r>
    <s v="TXN-00339"/>
    <d v="2024-02-07T00:00:00"/>
    <x v="0"/>
    <x v="5"/>
    <n v="6000"/>
    <s v="Payroll transfer"/>
    <s v="PAYROLL TRANSFER"/>
    <n v="-11429.78"/>
    <n v="-11429.78"/>
    <n v="-11429.78"/>
    <n v="11429.78"/>
    <m/>
    <x v="0"/>
    <x v="0"/>
    <x v="0"/>
  </r>
  <r>
    <s v="TXN-00340"/>
    <d v="2024-08-14T00:00:00"/>
    <x v="2"/>
    <x v="7"/>
    <n v="4900"/>
    <s v="Savings interest"/>
    <s v="SAVINGS INTEREST"/>
    <n v="154.43"/>
    <n v="154.43"/>
    <n v="154.43"/>
    <n v="154.43"/>
    <m/>
    <x v="0"/>
    <x v="0"/>
    <x v="0"/>
  </r>
  <r>
    <s v="TXN-00341"/>
    <d v="2024-03-26T00:00:00"/>
    <x v="8"/>
    <x v="2"/>
    <n v="6100"/>
    <s v="Monthly office rent"/>
    <s v="MONTHLY OFFICE RENT"/>
    <n v="-3610.48"/>
    <n v="-3610.48"/>
    <n v="-3610.48"/>
    <n v="3610.48"/>
    <m/>
    <x v="0"/>
    <x v="0"/>
    <x v="0"/>
  </r>
  <r>
    <s v="TXN-00342"/>
    <d v="2024-11-09T00:00:00"/>
    <x v="7"/>
    <x v="5"/>
    <n v="6000"/>
    <s v="Employee wages"/>
    <s v="EMPLOYEE WAGES"/>
    <n v="-3419.49"/>
    <n v="-3419.49"/>
    <n v="-3419.49"/>
    <n v="3419.49"/>
    <m/>
    <x v="0"/>
    <x v="0"/>
    <x v="0"/>
  </r>
  <r>
    <s v="TXN-00343"/>
    <d v="2024-06-10T00:00:00"/>
    <x v="3"/>
    <x v="2"/>
    <n v="6100"/>
    <s v="Warehouse lease"/>
    <s v="WAREHOUSE LEASE"/>
    <n v="-4196.6000000000004"/>
    <n v="-4196.6000000000004"/>
    <n v="-4196.6000000000004"/>
    <n v="4196.6000000000004"/>
    <m/>
    <x v="0"/>
    <x v="0"/>
    <x v="0"/>
  </r>
  <r>
    <s v="TXN-00344"/>
    <d v="2024-01-02T00:00:00"/>
    <x v="9"/>
    <x v="6"/>
    <n v="6400"/>
    <s v="Business trip - airfare"/>
    <s v="BUSINESS TRIP - AIRFAR"/>
    <n v="-2381.16"/>
    <n v="-2381.16"/>
    <n v="-2381.16"/>
    <n v="2381.16"/>
    <m/>
    <x v="0"/>
    <x v="0"/>
    <x v="0"/>
  </r>
  <r>
    <s v="TXN-00345"/>
    <d v="2024-12-13T00:00:00"/>
    <x v="6"/>
    <x v="7"/>
    <n v="4900"/>
    <s v="Deposit interest credit"/>
    <s v="DEPOSIT INTEREST CREDI"/>
    <n v="95.32"/>
    <n v="95.32"/>
    <n v="95.32"/>
    <n v="95.32"/>
    <m/>
    <x v="0"/>
    <x v="0"/>
    <x v="0"/>
  </r>
  <r>
    <s v="TXN-00346"/>
    <d v="2024-07-06T00:00:00"/>
    <x v="10"/>
    <x v="5"/>
    <n v="6000"/>
    <s v="Payroll transfer"/>
    <s v="PAYROLL TRANSFER"/>
    <n v="-9080.02"/>
    <n v="-9080.02"/>
    <n v="-9080.02"/>
    <n v="9080.02"/>
    <m/>
    <x v="0"/>
    <x v="0"/>
    <x v="0"/>
  </r>
  <r>
    <s v="TXN-00347"/>
    <d v="2024-04-05T00:00:00"/>
    <x v="1"/>
    <x v="7"/>
    <n v="4900"/>
    <s v="Interest accrual"/>
    <s v="INTEREST ACCRUAL"/>
    <n v="374.98"/>
    <n v="374.98"/>
    <n v="374.98"/>
    <n v="374.98"/>
    <m/>
    <x v="0"/>
    <x v="0"/>
    <x v="0"/>
  </r>
  <r>
    <s v="TXN-00348"/>
    <d v="2024-09-04T00:00:00"/>
    <x v="11"/>
    <x v="7"/>
    <n v="4900"/>
    <s v="Deposit interest credit"/>
    <s v="DEPOSIT INTEREST CREDI"/>
    <n v="79.22"/>
    <n v="79.22"/>
    <n v="79.22"/>
    <n v="79.22"/>
    <m/>
    <x v="0"/>
    <x v="0"/>
    <x v="0"/>
  </r>
  <r>
    <s v="TXN-00349"/>
    <d v="2024-07-12T00:00:00"/>
    <x v="10"/>
    <x v="8"/>
    <n v="5100"/>
    <s v="Contractor fee"/>
    <s v="CONTRACTOR FEE"/>
    <n v="-7565.19"/>
    <n v="-7565.19"/>
    <n v="-7565.19"/>
    <n v="7565.19"/>
    <m/>
    <x v="0"/>
    <x v="0"/>
    <x v="0"/>
  </r>
  <r>
    <s v="TXN-00350"/>
    <d v="2024-01-11T00:00:00"/>
    <x v="9"/>
    <x v="8"/>
    <n v="5100"/>
    <s v="Supplier invoice"/>
    <s v="SUPPLIER INVOICE"/>
    <n v="-7889.33"/>
    <n v="-7889.33"/>
    <n v="-7889.33"/>
    <n v="7889.33"/>
    <m/>
    <x v="0"/>
    <x v="0"/>
    <x v="0"/>
  </r>
  <r>
    <s v="TXN-00351"/>
    <d v="2024-10-04T00:00:00"/>
    <x v="4"/>
    <x v="6"/>
    <n v="6400"/>
    <s v="Business trip - airfare"/>
    <s v="BUSINESS TRIP - AIRFAR"/>
    <n v="-1573.4"/>
    <n v="-1573.4"/>
    <n v="-1573.4"/>
    <n v="1573.4"/>
    <m/>
    <x v="0"/>
    <x v="0"/>
    <x v="0"/>
  </r>
  <r>
    <s v="TXN-00352"/>
    <d v="2024-05-26T00:00:00"/>
    <x v="5"/>
    <x v="0"/>
    <n v="4000"/>
    <s v="Customer deposit"/>
    <s v="CUSTOMER DEPOSIT"/>
    <n v="24872.959999999999"/>
    <n v="24872.959999999999"/>
    <n v="24872.959999999999"/>
    <n v="24872.959999999999"/>
    <m/>
    <x v="0"/>
    <x v="0"/>
    <x v="0"/>
  </r>
  <r>
    <s v="TXN-00353"/>
    <d v="2024-09-12T00:00:00"/>
    <x v="11"/>
    <x v="5"/>
    <n v="6000"/>
    <s v="Monthly salary run"/>
    <s v="MONTHLY SALARY RUN"/>
    <n v="-6518.44"/>
    <n v="-6518.44"/>
    <n v="-6518.44"/>
    <n v="6518.44"/>
    <m/>
    <x v="0"/>
    <x v="0"/>
    <x v="0"/>
  </r>
  <r>
    <s v="TXN-00354"/>
    <d v="2024-11-22T00:00:00"/>
    <x v="7"/>
    <x v="3"/>
    <n v="6300"/>
    <s v="Printer consumables"/>
    <s v="PRINTER CONSUMABLES"/>
    <n v="-391.15"/>
    <n v="-391.15"/>
    <n v="-391.15"/>
    <n v="391.15"/>
    <m/>
    <x v="0"/>
    <x v="0"/>
    <x v="0"/>
  </r>
  <r>
    <s v="TXN-00355"/>
    <d v="2024-08-10T00:00:00"/>
    <x v="2"/>
    <x v="7"/>
    <n v="4900"/>
    <s v="Interest accrual"/>
    <s v="INTEREST ACCRUAL"/>
    <n v="239.22"/>
    <n v="239.22"/>
    <n v="239.22"/>
    <n v="239.22"/>
    <m/>
    <x v="0"/>
    <x v="0"/>
    <x v="0"/>
  </r>
  <r>
    <s v="TXN-00356"/>
    <d v="2024-09-02T00:00:00"/>
    <x v="11"/>
    <x v="7"/>
    <n v="4900"/>
    <s v="Deposit interest credit"/>
    <s v="DEPOSIT INTEREST CREDI"/>
    <n v="95.05"/>
    <n v="95.05"/>
    <n v="95.05"/>
    <n v="95.05"/>
    <m/>
    <x v="0"/>
    <x v="0"/>
    <x v="0"/>
  </r>
  <r>
    <s v="TXN-00357"/>
    <d v="2024-04-02T00:00:00"/>
    <x v="1"/>
    <x v="8"/>
    <n v="5100"/>
    <s v="Contractor fee"/>
    <s v="CONTRACTOR FEE"/>
    <n v="-952.34"/>
    <n v="-952.34"/>
    <n v="-952.34"/>
    <n v="952.34"/>
    <m/>
    <x v="0"/>
    <x v="0"/>
    <x v="0"/>
  </r>
  <r>
    <s v="TXN-00358"/>
    <d v="2024-03-27T00:00:00"/>
    <x v="8"/>
    <x v="4"/>
    <n v="6900"/>
    <s v="Wire transfer fee"/>
    <s v="WIRE TRANSFER FEE"/>
    <n v="-147.30000000000001"/>
    <n v="-147.30000000000001"/>
    <n v="-147.30000000000001"/>
    <n v="147.30000000000001"/>
    <m/>
    <x v="0"/>
    <x v="0"/>
    <x v="0"/>
  </r>
  <r>
    <s v="TXN-00359"/>
    <d v="2024-05-31T00:00:00"/>
    <x v="5"/>
    <x v="0"/>
    <n v="4000"/>
    <s v="Invoice payment received"/>
    <s v="INVOICE PAYMENT RECEIV"/>
    <n v="22470.51"/>
    <n v="22470.51"/>
    <n v="22470.51"/>
    <n v="22470.51"/>
    <m/>
    <x v="0"/>
    <x v="0"/>
    <x v="0"/>
  </r>
  <r>
    <s v="TXN-00360"/>
    <d v="2024-11-07T00:00:00"/>
    <x v="7"/>
    <x v="1"/>
    <n v="6500"/>
    <s v="Trade fair booth"/>
    <s v="TRADE FAIR BOOTH"/>
    <n v="-3883.16"/>
    <n v="-3883.16"/>
    <n v="-3883.16"/>
    <n v="3883.16"/>
    <m/>
    <x v="0"/>
    <x v="0"/>
    <x v="0"/>
  </r>
  <r>
    <s v="TXN-00361"/>
    <d v="2024-07-10T00:00:00"/>
    <x v="10"/>
    <x v="4"/>
    <n v="6900"/>
    <s v="Card processing fee"/>
    <s v="CARD PROCESSING FEE"/>
    <n v="-124.22"/>
    <n v="-124.22"/>
    <n v="-124.22"/>
    <n v="124.22"/>
    <m/>
    <x v="0"/>
    <x v="0"/>
    <x v="0"/>
  </r>
  <r>
    <s v="TXN-00362"/>
    <d v="2024-05-07T00:00:00"/>
    <x v="5"/>
    <x v="4"/>
    <n v="6900"/>
    <s v="Account maintenance fee"/>
    <s v="ACCOUNT MAINTENANCE FE"/>
    <n v="-98.99"/>
    <n v="-98.99"/>
    <n v="-98.99"/>
    <n v="98.99"/>
    <m/>
    <x v="0"/>
    <x v="0"/>
    <x v="0"/>
  </r>
  <r>
    <s v="TXN-00363"/>
    <d v="2024-10-11T00:00:00"/>
    <x v="4"/>
    <x v="5"/>
    <n v="6000"/>
    <s v="Employee wages"/>
    <s v="EMPLOYEE WAGES"/>
    <n v="-5995.78"/>
    <n v="-5995.78"/>
    <n v="-5995.78"/>
    <n v="5995.78"/>
    <m/>
    <x v="0"/>
    <x v="0"/>
    <x v="0"/>
  </r>
  <r>
    <s v="TXN-00364"/>
    <d v="2024-11-07T00:00:00"/>
    <x v="7"/>
    <x v="4"/>
    <n v="6900"/>
    <s v="Card processing fee"/>
    <s v="CARD PROCESSING FEE"/>
    <n v="-97.5"/>
    <n v="-97.5"/>
    <n v="-97.5"/>
    <n v="97.5"/>
    <m/>
    <x v="0"/>
    <x v="0"/>
    <x v="0"/>
  </r>
  <r>
    <s v="TXN-00365"/>
    <d v="2024-11-25T00:00:00"/>
    <x v="7"/>
    <x v="8"/>
    <n v="5100"/>
    <s v="Supplier invoice"/>
    <s v="SUPPLIER INVOICE"/>
    <n v="-9539.77"/>
    <n v="-9539.77"/>
    <n v="-9539.77"/>
    <n v="9539.77"/>
    <m/>
    <x v="0"/>
    <x v="0"/>
    <x v="0"/>
  </r>
  <r>
    <s v="TXN-00366"/>
    <d v="2024-04-19T00:00:00"/>
    <x v="1"/>
    <x v="6"/>
    <n v="6400"/>
    <s v="Hotel accommodation"/>
    <s v="HOTEL ACCOMMODATION"/>
    <n v="-1269.04"/>
    <n v="-1269.04"/>
    <n v="-1269.04"/>
    <n v="1269.04"/>
    <m/>
    <x v="0"/>
    <x v="0"/>
    <x v="0"/>
  </r>
  <r>
    <s v="TXN-00367"/>
    <d v="2024-09-16T00:00:00"/>
    <x v="11"/>
    <x v="3"/>
    <n v="6300"/>
    <s v="Printer consumables"/>
    <s v="PRINTER CONSUMABLES"/>
    <n v="-611.23"/>
    <n v="-611.23"/>
    <n v="-611.23"/>
    <n v="611.23"/>
    <m/>
    <x v="0"/>
    <x v="0"/>
    <x v="0"/>
  </r>
  <r>
    <s v="TXN-00368"/>
    <d v="2024-08-03T00:00:00"/>
    <x v="2"/>
    <x v="9"/>
    <n v="6200"/>
    <s v="Water utility"/>
    <s v="WATER UTILITY"/>
    <n v="-1154.68"/>
    <n v="-1154.68"/>
    <n v="-1154.68"/>
    <n v="1154.68"/>
    <m/>
    <x v="0"/>
    <x v="0"/>
    <x v="0"/>
  </r>
  <r>
    <s v="TXN-00369"/>
    <d v="2024-06-12T00:00:00"/>
    <x v="3"/>
    <x v="0"/>
    <n v="4000"/>
    <s v="Product sale"/>
    <s v="PRODUCT SALE"/>
    <n v="10914.5"/>
    <n v="10914.5"/>
    <n v="10914.5"/>
    <n v="10914.5"/>
    <m/>
    <x v="0"/>
    <x v="0"/>
    <x v="0"/>
  </r>
  <r>
    <s v="TXN-00370"/>
    <d v="2024-05-24T00:00:00"/>
    <x v="5"/>
    <x v="1"/>
    <n v="6500"/>
    <s v="Trade fair booth"/>
    <s v="TRADE FAIR BOOTH"/>
    <n v="-6525.17"/>
    <n v="-6525.17"/>
    <n v="-6525.17"/>
    <n v="6525.17"/>
    <m/>
    <x v="0"/>
    <x v="0"/>
    <x v="0"/>
  </r>
  <r>
    <s v="TXN-00371"/>
    <d v="2024-02-11T00:00:00"/>
    <x v="0"/>
    <x v="9"/>
    <n v="6200"/>
    <s v="Water utility"/>
    <s v="WATER UTILITY"/>
    <n v="-897.06"/>
    <n v="-897.06"/>
    <n v="-897.06"/>
    <n v="897.06"/>
    <m/>
    <x v="0"/>
    <x v="0"/>
    <x v="0"/>
  </r>
  <r>
    <s v="TXN-00372"/>
    <d v="2024-04-10T00:00:00"/>
    <x v="1"/>
    <x v="2"/>
    <n v="6100"/>
    <s v="Warehouse lease"/>
    <s v="WAREHOUSE LEASE"/>
    <n v="-3190.49"/>
    <n v="-3190.49"/>
    <n v="-3190.49"/>
    <n v="3190.49"/>
    <m/>
    <x v="0"/>
    <x v="0"/>
    <x v="0"/>
  </r>
  <r>
    <s v="TXN-00373"/>
    <d v="2024-07-19T00:00:00"/>
    <x v="10"/>
    <x v="3"/>
    <n v="6300"/>
    <s v="Printer consumables"/>
    <s v="PRINTER CONSUMABLES"/>
    <n v="-675.78"/>
    <n v="-675.78"/>
    <n v="-675.78"/>
    <n v="675.78"/>
    <m/>
    <x v="0"/>
    <x v="0"/>
    <x v="0"/>
  </r>
  <r>
    <s v="TXN-00374"/>
    <d v="2024-11-19T00:00:00"/>
    <x v="7"/>
    <x v="9"/>
    <n v="6200"/>
    <s v="Electricity bill"/>
    <s v="ELECTRICITY BILL"/>
    <n v="-200.83"/>
    <n v="-200.83"/>
    <n v="-200.83"/>
    <n v="200.83"/>
    <m/>
    <x v="0"/>
    <x v="0"/>
    <x v="0"/>
  </r>
  <r>
    <s v="TXN-00375"/>
    <d v="2024-11-12T00:00:00"/>
    <x v="7"/>
    <x v="4"/>
    <n v="6900"/>
    <s v="Wire transfer fee"/>
    <s v="WIRE TRANSFER FEE"/>
    <n v="-95.89"/>
    <n v="-95.89"/>
    <n v="-95.89"/>
    <n v="95.89"/>
    <m/>
    <x v="0"/>
    <x v="0"/>
    <x v="0"/>
  </r>
  <r>
    <s v="TXN-00376"/>
    <d v="2024-03-09T00:00:00"/>
    <x v="8"/>
    <x v="0"/>
    <n v="4000"/>
    <s v="Invoice payment received"/>
    <s v="INVOICE PAYMENT RECEIV"/>
    <n v="18808.11"/>
    <n v="188081.1"/>
    <n v="18808.11"/>
    <n v="18808.11"/>
    <n v="-169272.99"/>
    <x v="1"/>
    <x v="1"/>
    <x v="0"/>
  </r>
  <r>
    <s v="TXN-00377"/>
    <d v="2024-09-04T00:00:00"/>
    <x v="11"/>
    <x v="1"/>
    <n v="6500"/>
    <s v="Online ad campaign"/>
    <s v="ONLINE AD CAMPAIGN"/>
    <n v="-2289.8000000000002"/>
    <n v="-2289.8000000000002"/>
    <n v="-2289.8000000000002"/>
    <n v="2289.8000000000002"/>
    <m/>
    <x v="0"/>
    <x v="0"/>
    <x v="0"/>
  </r>
  <r>
    <s v="TXN-00378"/>
    <d v="2024-01-31T00:00:00"/>
    <x v="9"/>
    <x v="1"/>
    <n v="6500"/>
    <s v="Print advertising"/>
    <s v="PRINT ADVERTISING"/>
    <n v="-1019.19"/>
    <n v="-1019.19"/>
    <n v="-1019.19"/>
    <n v="1019.19"/>
    <m/>
    <x v="0"/>
    <x v="0"/>
    <x v="0"/>
  </r>
  <r>
    <s v="TXN-00379"/>
    <d v="2024-09-03T00:00:00"/>
    <x v="11"/>
    <x v="9"/>
    <n v="6200"/>
    <s v="Electricity bill"/>
    <s v="ELECTRICITY BILL"/>
    <n v="-227.59"/>
    <n v="-227.59"/>
    <n v="-227.59"/>
    <n v="227.59"/>
    <m/>
    <x v="0"/>
    <x v="0"/>
    <x v="0"/>
  </r>
  <r>
    <s v="TXN-00380"/>
    <d v="2024-05-04T00:00:00"/>
    <x v="5"/>
    <x v="5"/>
    <n v="6000"/>
    <s v="Employee wages"/>
    <s v="EMPLOYEE WAGES"/>
    <n v="-3575.5"/>
    <n v="-3575.5"/>
    <n v="-3575.5"/>
    <n v="3575.5"/>
    <m/>
    <x v="0"/>
    <x v="0"/>
    <x v="0"/>
  </r>
  <r>
    <s v="TXN-00381"/>
    <d v="2024-06-13T00:00:00"/>
    <x v="3"/>
    <x v="0"/>
    <n v="4000"/>
    <s v="Customer deposit"/>
    <s v="CUSTOMER DEPOSIT"/>
    <n v="13470.09"/>
    <n v="13470.09"/>
    <n v="13470.09"/>
    <n v="13470.09"/>
    <m/>
    <x v="0"/>
    <x v="0"/>
    <x v="0"/>
  </r>
  <r>
    <s v="TXN-00382"/>
    <d v="2024-09-18T00:00:00"/>
    <x v="11"/>
    <x v="7"/>
    <n v="4900"/>
    <s v="Deposit interest credit"/>
    <s v="DEPOSIT INTEREST CREDI"/>
    <n v="353.72"/>
    <n v="353.72"/>
    <n v="353.72"/>
    <n v="353.72"/>
    <m/>
    <x v="0"/>
    <x v="0"/>
    <x v="0"/>
  </r>
  <r>
    <s v="TXN-00383"/>
    <d v="2024-06-04T00:00:00"/>
    <x v="3"/>
    <x v="7"/>
    <n v="4900"/>
    <s v="Interest accrual"/>
    <s v="INTEREST ACCRUAL"/>
    <n v="284.72000000000003"/>
    <n v="284.72000000000003"/>
    <n v="284.72000000000003"/>
    <n v="284.72000000000003"/>
    <m/>
    <x v="0"/>
    <x v="0"/>
    <x v="0"/>
  </r>
  <r>
    <s v="TXN-00384"/>
    <d v="2024-10-21T00:00:00"/>
    <x v="4"/>
    <x v="5"/>
    <n v="6000"/>
    <s v="Employee wages"/>
    <s v="EMPLOYEE WAGES"/>
    <n v="-3339.4"/>
    <n v="-3339.4"/>
    <n v="-3339.4"/>
    <n v="3339.4"/>
    <m/>
    <x v="0"/>
    <x v="0"/>
    <x v="0"/>
  </r>
  <r>
    <s v="TXN-00385"/>
    <d v="2024-07-13T00:00:00"/>
    <x v="10"/>
    <x v="0"/>
    <n v="4000"/>
    <s v="Product sale"/>
    <s v="PRODUCT SALE"/>
    <n v="12220.92"/>
    <n v="12220.92"/>
    <n v="12220.92"/>
    <n v="12220.92"/>
    <m/>
    <x v="0"/>
    <x v="0"/>
    <x v="0"/>
  </r>
  <r>
    <s v="TXN-00386"/>
    <d v="2024-12-30T00:00:00"/>
    <x v="6"/>
    <x v="8"/>
    <n v="5100"/>
    <s v="Vendor payment - materials"/>
    <s v="VENDOR PAYMENT - MATER"/>
    <n v="-2381.9"/>
    <n v="-2381.9"/>
    <n v="-2381.9"/>
    <n v="2381.9"/>
    <m/>
    <x v="0"/>
    <x v="0"/>
    <x v="0"/>
  </r>
  <r>
    <s v="TXN-00387"/>
    <d v="2024-08-20T00:00:00"/>
    <x v="2"/>
    <x v="0"/>
    <n v="4000"/>
    <s v="Customer deposit"/>
    <s v="CUSTOMER DEPOSIT"/>
    <n v="8054.16"/>
    <n v="8054.16"/>
    <n v="8054.16"/>
    <n v="8054.16"/>
    <m/>
    <x v="0"/>
    <x v="0"/>
    <x v="0"/>
  </r>
  <r>
    <s v="TXN-00388"/>
    <d v="2024-04-18T00:00:00"/>
    <x v="1"/>
    <x v="4"/>
    <n v="6900"/>
    <s v="Account maintenance fee"/>
    <s v="ACCOUNT MAINTENANCE FE"/>
    <n v="-23.46"/>
    <n v="-23.46"/>
    <n v="-23.46"/>
    <n v="23.46"/>
    <m/>
    <x v="0"/>
    <x v="0"/>
    <x v="0"/>
  </r>
  <r>
    <s v="TXN-00389"/>
    <d v="2024-10-09T00:00:00"/>
    <x v="4"/>
    <x v="4"/>
    <n v="6900"/>
    <s v="Card processing fee"/>
    <s v="CARD PROCESSING FEE"/>
    <n v="-107.23"/>
    <n v="-107.23"/>
    <n v="-107.23"/>
    <n v="107.23"/>
    <m/>
    <x v="0"/>
    <x v="0"/>
    <x v="0"/>
  </r>
  <r>
    <s v="TXN-00390"/>
    <d v="2024-05-28T00:00:00"/>
    <x v="5"/>
    <x v="8"/>
    <n v="5100"/>
    <s v="Vendor payment - materials"/>
    <s v="VENDOR PAYMENT - MATER"/>
    <n v="-1234.99"/>
    <n v="-1234.99"/>
    <n v="-1234.99"/>
    <n v="1234.99"/>
    <m/>
    <x v="0"/>
    <x v="0"/>
    <x v="0"/>
  </r>
  <r>
    <s v="TXN-00391"/>
    <d v="2024-07-13T00:00:00"/>
    <x v="10"/>
    <x v="1"/>
    <n v="6500"/>
    <s v="Trade fair booth"/>
    <s v="TRADE FAIR BOOTH"/>
    <n v="-6290.36"/>
    <n v="-6290.36"/>
    <n v="-6290.36"/>
    <n v="6290.36"/>
    <m/>
    <x v="0"/>
    <x v="0"/>
    <x v="0"/>
  </r>
  <r>
    <s v="TXN-00392"/>
    <d v="2024-02-19T00:00:00"/>
    <x v="0"/>
    <x v="8"/>
    <n v="5100"/>
    <s v="Vendor payment - materials"/>
    <s v="VENDOR PAYMENT - MATER"/>
    <n v="-11270.25"/>
    <n v="-11270.25"/>
    <n v="-11270.25"/>
    <n v="11270.25"/>
    <m/>
    <x v="0"/>
    <x v="0"/>
    <x v="0"/>
  </r>
  <r>
    <s v="TXN-00393"/>
    <d v="2024-02-13T00:00:00"/>
    <x v="0"/>
    <x v="9"/>
    <n v="6200"/>
    <s v="Electricity bill"/>
    <s v="ELECTRICITY BILL"/>
    <n v="-565.48"/>
    <n v="-565.48"/>
    <n v="-565.48"/>
    <n v="565.48"/>
    <m/>
    <x v="0"/>
    <x v="0"/>
    <x v="0"/>
  </r>
  <r>
    <s v="TXN-00394"/>
    <d v="2024-07-28T00:00:00"/>
    <x v="10"/>
    <x v="6"/>
    <n v="6400"/>
    <s v="Hotel accommodation"/>
    <s v="HOTEL ACCOMMODATION"/>
    <n v="-2886.31"/>
    <n v="-2886.31"/>
    <n v="-2886.31"/>
    <n v="2886.31"/>
    <m/>
    <x v="0"/>
    <x v="0"/>
    <x v="0"/>
  </r>
  <r>
    <s v="TXN-00395"/>
    <d v="2024-03-09T00:00:00"/>
    <x v="8"/>
    <x v="1"/>
    <n v="6500"/>
    <s v="Online ad campaign"/>
    <s v="ONLINE AD CAMPAIGN"/>
    <n v="-2982.36"/>
    <n v="-2982.36"/>
    <n v="-2982.36"/>
    <n v="2982.36"/>
    <m/>
    <x v="0"/>
    <x v="0"/>
    <x v="0"/>
  </r>
  <r>
    <s v="TXN-00396"/>
    <d v="2024-12-30T00:00:00"/>
    <x v="6"/>
    <x v="4"/>
    <n v="6900"/>
    <s v="Account maintenance fee"/>
    <s v="ACCOUNT MAINTENANCE FE"/>
    <n v="-30.57"/>
    <n v="-30.57"/>
    <n v="-30.57"/>
    <n v="30.57"/>
    <m/>
    <x v="0"/>
    <x v="0"/>
    <x v="0"/>
  </r>
  <r>
    <s v="TXN-00397"/>
    <d v="2024-11-08T00:00:00"/>
    <x v="7"/>
    <x v="0"/>
    <n v="4000"/>
    <s v="Invoice payment received"/>
    <s v="INVOICE PAYMENT RECEIV"/>
    <n v="10105.469999999999"/>
    <n v="10105.469999999999"/>
    <n v="10105.469999999999"/>
    <n v="10105.469999999999"/>
    <m/>
    <x v="0"/>
    <x v="0"/>
    <x v="0"/>
  </r>
  <r>
    <s v="TXN-00398"/>
    <d v="2024-09-12T00:00:00"/>
    <x v="11"/>
    <x v="8"/>
    <n v="5100"/>
    <s v="Vendor payment - materials"/>
    <s v="VENDOR PAYMENT - MATER"/>
    <n v="-3765.72"/>
    <n v="-3765.72"/>
    <n v="-3765.72"/>
    <n v="3765.72"/>
    <m/>
    <x v="0"/>
    <x v="0"/>
    <x v="0"/>
  </r>
  <r>
    <s v="TXN-00399"/>
    <d v="2024-09-25T00:00:00"/>
    <x v="11"/>
    <x v="5"/>
    <n v="6000"/>
    <s v="Employee wages"/>
    <s v="EMPLOYEE WAGES"/>
    <n v="-4795.3900000000003"/>
    <n v="-4795.3900000000003"/>
    <n v="-4795.3900000000003"/>
    <n v="4795.3900000000003"/>
    <m/>
    <x v="0"/>
    <x v="0"/>
    <x v="0"/>
  </r>
  <r>
    <s v="TXN-00400"/>
    <d v="2024-08-05T00:00:00"/>
    <x v="2"/>
    <x v="9"/>
    <n v="6200"/>
    <s v="Internet &amp; telecom"/>
    <s v="INTERNET &amp; TELECOM"/>
    <n v="-363.72"/>
    <n v="-363.72"/>
    <n v="-363.72"/>
    <n v="363.72"/>
    <m/>
    <x v="0"/>
    <x v="0"/>
    <x v="0"/>
  </r>
  <r>
    <s v="TXN-00401"/>
    <d v="2024-01-23T00:00:00"/>
    <x v="9"/>
    <x v="7"/>
    <n v="4900"/>
    <s v="Savings interest"/>
    <s v="SAVINGS INTEREST"/>
    <n v="178.33"/>
    <n v="178.33"/>
    <n v="178.33"/>
    <n v="178.33"/>
    <m/>
    <x v="0"/>
    <x v="0"/>
    <x v="0"/>
  </r>
  <r>
    <s v="TXN-00402"/>
    <d v="2024-05-23T00:00:00"/>
    <x v="5"/>
    <x v="1"/>
    <n v="6500"/>
    <s v="Online ad campaign"/>
    <s v="ONLINE AD CAMPAIGN"/>
    <n v="-2528.27"/>
    <n v="-2528.27"/>
    <n v="-2528.27"/>
    <n v="2528.27"/>
    <m/>
    <x v="0"/>
    <x v="0"/>
    <x v="0"/>
  </r>
  <r>
    <s v="TXN-00403"/>
    <d v="2024-06-29T00:00:00"/>
    <x v="3"/>
    <x v="9"/>
    <n v="6200"/>
    <s v="Internet &amp; telecom"/>
    <s v="INTERNET &amp; TELECOM"/>
    <n v="-321.39999999999998"/>
    <n v="-321.39999999999998"/>
    <n v="-321.39999999999998"/>
    <n v="321.39999999999998"/>
    <m/>
    <x v="0"/>
    <x v="0"/>
    <x v="0"/>
  </r>
  <r>
    <s v="TXN-00404"/>
    <d v="2024-11-30T00:00:00"/>
    <x v="7"/>
    <x v="7"/>
    <n v="4900"/>
    <s v="Savings interest"/>
    <s v="SAVINGS INTEREST"/>
    <n v="306.45"/>
    <n v="306.45"/>
    <n v="306.45"/>
    <n v="306.45"/>
    <m/>
    <x v="0"/>
    <x v="0"/>
    <x v="0"/>
  </r>
  <r>
    <s v="TXN-00405"/>
    <d v="2024-03-21T00:00:00"/>
    <x v="8"/>
    <x v="3"/>
    <n v="6300"/>
    <s v="Stationery purchase"/>
    <s v="STATIONERY PURCHASE"/>
    <n v="-458.18"/>
    <n v="-458.18"/>
    <n v="-458.18"/>
    <n v="458.18"/>
    <m/>
    <x v="0"/>
    <x v="0"/>
    <x v="0"/>
  </r>
  <r>
    <s v="TXN-00406"/>
    <d v="2024-06-30T00:00:00"/>
    <x v="3"/>
    <x v="6"/>
    <n v="6400"/>
    <s v="Hotel accommodation"/>
    <s v="HOTEL ACCOMMODATION"/>
    <n v="-2279.0500000000002"/>
    <n v="-2279.0500000000002"/>
    <n v="-2279.0500000000002"/>
    <n v="2279.0500000000002"/>
    <m/>
    <x v="0"/>
    <x v="0"/>
    <x v="0"/>
  </r>
  <r>
    <s v="TXN-00407"/>
    <d v="2024-05-05T00:00:00"/>
    <x v="5"/>
    <x v="3"/>
    <n v="6300"/>
    <s v="Stationery purchase"/>
    <s v="STATIONERY PURCHASE"/>
    <n v="-898.97"/>
    <n v="-898.97"/>
    <n v="-898.97"/>
    <n v="898.97"/>
    <m/>
    <x v="0"/>
    <x v="0"/>
    <x v="0"/>
  </r>
  <r>
    <s v="TXN-00408"/>
    <d v="2024-02-19T00:00:00"/>
    <x v="0"/>
    <x v="8"/>
    <n v="5100"/>
    <s v="Contractor fee"/>
    <s v="CONTRACTOR FEE"/>
    <n v="-9280.0400000000009"/>
    <n v="-9280.0400000000009"/>
    <n v="-9280.0400000000009"/>
    <n v="9280.0400000000009"/>
    <m/>
    <x v="0"/>
    <x v="0"/>
    <x v="0"/>
  </r>
  <r>
    <s v="TXN-00409"/>
    <d v="2024-02-07T00:00:00"/>
    <x v="0"/>
    <x v="7"/>
    <n v="4900"/>
    <s v="Savings interest"/>
    <s v="SAVINGS INTEREST"/>
    <n v="363.9"/>
    <n v="363.9"/>
    <n v="363.9"/>
    <n v="363.9"/>
    <m/>
    <x v="0"/>
    <x v="0"/>
    <x v="0"/>
  </r>
  <r>
    <s v="TXN-00410"/>
    <d v="2024-05-13T00:00:00"/>
    <x v="5"/>
    <x v="0"/>
    <n v="4000"/>
    <s v="Product sale"/>
    <s v="PRODUCT SALE"/>
    <n v="19890.560000000001"/>
    <n v="19890.560000000001"/>
    <n v="19890.560000000001"/>
    <n v="19890.560000000001"/>
    <m/>
    <x v="0"/>
    <x v="0"/>
    <x v="0"/>
  </r>
  <r>
    <s v="TXN-00411"/>
    <d v="2024-01-31T00:00:00"/>
    <x v="9"/>
    <x v="8"/>
    <n v="5100"/>
    <s v="Vendor payment - materials"/>
    <s v="VENDOR PAYMENT - MATER"/>
    <n v="-1401.08"/>
    <n v="-1401.08"/>
    <n v="-1401.08"/>
    <n v="1401.08"/>
    <m/>
    <x v="0"/>
    <x v="0"/>
    <x v="0"/>
  </r>
  <r>
    <s v="TXN-00412"/>
    <d v="2024-01-25T00:00:00"/>
    <x v="9"/>
    <x v="5"/>
    <n v="6000"/>
    <s v="Payroll transfer"/>
    <s v="PAYROLL TRANSFER"/>
    <n v="-1665.96"/>
    <n v="-1665.96"/>
    <n v="-1665.96"/>
    <n v="1665.96"/>
    <m/>
    <x v="0"/>
    <x v="0"/>
    <x v="0"/>
  </r>
  <r>
    <s v="TXN-00413"/>
    <d v="2024-05-08T00:00:00"/>
    <x v="5"/>
    <x v="5"/>
    <n v="6000"/>
    <s v="Payroll transfer"/>
    <s v="PAYROLL TRANSFER"/>
    <n v="-6690.3"/>
    <n v="-6690.3"/>
    <n v="-6690.3"/>
    <n v="6690.3"/>
    <m/>
    <x v="0"/>
    <x v="0"/>
    <x v="0"/>
  </r>
  <r>
    <s v="TXN-00414"/>
    <d v="2024-03-14T00:00:00"/>
    <x v="8"/>
    <x v="8"/>
    <n v="5100"/>
    <s v="Vendor payment - materials"/>
    <s v="VENDOR PAYMENT - MATER"/>
    <n v="-6228.96"/>
    <n v="-6228.96"/>
    <n v="-6228.96"/>
    <n v="6228.96"/>
    <m/>
    <x v="0"/>
    <x v="0"/>
    <x v="0"/>
  </r>
  <r>
    <s v="TXN-00415"/>
    <d v="2024-07-21T00:00:00"/>
    <x v="10"/>
    <x v="0"/>
    <n v="4000"/>
    <s v="Customer deposit"/>
    <s v="CUSTOMER DEPOSIT"/>
    <n v="14027.99"/>
    <n v="14027.99"/>
    <n v="14027.99"/>
    <n v="14027.99"/>
    <m/>
    <x v="0"/>
    <x v="0"/>
    <x v="0"/>
  </r>
  <r>
    <s v="TXN-00416"/>
    <d v="2024-01-07T00:00:00"/>
    <x v="9"/>
    <x v="2"/>
    <n v="6100"/>
    <s v="Warehouse lease"/>
    <s v="WAREHOUSE LEASE"/>
    <n v="-5150.3900000000003"/>
    <n v="-5150.3900000000003"/>
    <n v="-5150.3900000000003"/>
    <n v="5150.3900000000003"/>
    <m/>
    <x v="0"/>
    <x v="0"/>
    <x v="0"/>
  </r>
  <r>
    <s v="TXN-00417"/>
    <d v="2024-04-20T00:00:00"/>
    <x v="1"/>
    <x v="7"/>
    <n v="4900"/>
    <s v="Interest accrual"/>
    <s v="INTEREST ACCRUAL"/>
    <n v="93.95"/>
    <n v="93.95"/>
    <n v="93.95"/>
    <n v="93.95"/>
    <m/>
    <x v="0"/>
    <x v="0"/>
    <x v="0"/>
  </r>
  <r>
    <s v="TXN-00418"/>
    <d v="2024-06-14T00:00:00"/>
    <x v="3"/>
    <x v="8"/>
    <n v="5100"/>
    <s v="Supplier invoice"/>
    <s v="SUPPLIER INVOICE"/>
    <n v="-11936.47"/>
    <n v="-11936.47"/>
    <n v="-11936.47"/>
    <n v="11936.47"/>
    <m/>
    <x v="0"/>
    <x v="0"/>
    <x v="0"/>
  </r>
  <r>
    <s v="TXN-00419"/>
    <d v="2024-12-17T00:00:00"/>
    <x v="6"/>
    <x v="5"/>
    <n v="6000"/>
    <s v="Monthly salary run"/>
    <s v="MONTHLY SALARY RUN"/>
    <n v="-11945.65"/>
    <n v="-11945.65"/>
    <n v="-11945.65"/>
    <n v="11945.65"/>
    <m/>
    <x v="0"/>
    <x v="0"/>
    <x v="0"/>
  </r>
  <r>
    <s v="TXN-00420"/>
    <d v="2024-08-19T00:00:00"/>
    <x v="2"/>
    <x v="6"/>
    <n v="6400"/>
    <s v="Hotel accommodation"/>
    <s v="HOTEL ACCOMMODATION"/>
    <n v="-3065.36"/>
    <n v="-3065.36"/>
    <n v="-3065.36"/>
    <n v="3065.36"/>
    <m/>
    <x v="0"/>
    <x v="0"/>
    <x v="0"/>
  </r>
  <r>
    <s v="TXN-00421"/>
    <d v="2024-11-17T00:00:00"/>
    <x v="7"/>
    <x v="7"/>
    <n v="4900"/>
    <s v="Deposit interest credit"/>
    <s v="DEPOSIT INTEREST CREDI"/>
    <n v="129.16999999999999"/>
    <n v="129.16999999999999"/>
    <n v="129.16999999999999"/>
    <n v="129.16999999999999"/>
    <m/>
    <x v="0"/>
    <x v="0"/>
    <x v="0"/>
  </r>
  <r>
    <s v="TXN-00422"/>
    <d v="2024-05-05T00:00:00"/>
    <x v="5"/>
    <x v="2"/>
    <n v="6100"/>
    <s v="Rent payment"/>
    <s v="RENT PAYMENT"/>
    <n v="-2888.64"/>
    <n v="-2888.64"/>
    <n v="-2888.64"/>
    <n v="2888.64"/>
    <m/>
    <x v="0"/>
    <x v="0"/>
    <x v="0"/>
  </r>
  <r>
    <s v="TXN-00423"/>
    <d v="2024-06-13T00:00:00"/>
    <x v="3"/>
    <x v="1"/>
    <n v="6500"/>
    <s v="Print advertising"/>
    <s v="PRINT ADVERTISING"/>
    <n v="-4909.45"/>
    <n v="-4909.45"/>
    <n v="-4909.45"/>
    <n v="4909.45"/>
    <m/>
    <x v="0"/>
    <x v="0"/>
    <x v="0"/>
  </r>
  <r>
    <s v="TXN-00424"/>
    <d v="2024-06-02T00:00:00"/>
    <x v="3"/>
    <x v="6"/>
    <n v="6400"/>
    <s v="Business trip - airfare"/>
    <s v="BUSINESS TRIP - AIRFAR"/>
    <n v="-3290.71"/>
    <n v="-3290.71"/>
    <n v="-3290.71"/>
    <n v="3290.71"/>
    <m/>
    <x v="0"/>
    <x v="0"/>
    <x v="0"/>
  </r>
  <r>
    <s v="TXN-00425"/>
    <d v="2024-11-19T00:00:00"/>
    <x v="7"/>
    <x v="3"/>
    <n v="6300"/>
    <s v="Printer consumables"/>
    <s v="PRINTER CONSUMABLES"/>
    <n v="-510.16"/>
    <n v="-510.16"/>
    <n v="-510.16"/>
    <n v="510.16"/>
    <m/>
    <x v="0"/>
    <x v="0"/>
    <x v="0"/>
  </r>
  <r>
    <s v="TXN-00426"/>
    <d v="2024-12-16T00:00:00"/>
    <x v="6"/>
    <x v="8"/>
    <n v="5100"/>
    <s v="Vendor payment - materials"/>
    <s v="VENDOR PAYMENT - MATER"/>
    <n v="-4585.2299999999996"/>
    <n v="-4585.2299999999996"/>
    <n v="-4585.2299999999996"/>
    <n v="4585.2299999999996"/>
    <m/>
    <x v="0"/>
    <x v="0"/>
    <x v="1"/>
  </r>
  <r>
    <s v="TXN-00427"/>
    <d v="2024-12-17T00:00:00"/>
    <x v="6"/>
    <x v="4"/>
    <n v="6900"/>
    <s v="Account maintenance fee"/>
    <s v="ACCOUNT MAINTENANCE FE"/>
    <n v="-33.299999999999997"/>
    <n v="-33.299999999999997"/>
    <n v="-33.299999999999997"/>
    <n v="33.299999999999997"/>
    <m/>
    <x v="0"/>
    <x v="0"/>
    <x v="0"/>
  </r>
  <r>
    <s v="TXN-00428"/>
    <d v="2024-10-01T00:00:00"/>
    <x v="4"/>
    <x v="4"/>
    <n v="6900"/>
    <s v="Account maintenance fee"/>
    <s v="ACCOUNT MAINTENANCE FE"/>
    <n v="-13.4"/>
    <n v="-13.4"/>
    <n v="-13.4"/>
    <n v="13.4"/>
    <m/>
    <x v="0"/>
    <x v="0"/>
    <x v="0"/>
  </r>
  <r>
    <s v="TXN-00429"/>
    <d v="2024-07-02T00:00:00"/>
    <x v="10"/>
    <x v="0"/>
    <n v="4000"/>
    <s v="Customer deposit"/>
    <s v="CUSTOMER DEPOSIT"/>
    <n v="10370.549999999999"/>
    <n v="10370.549999999999"/>
    <n v="10370.549999999999"/>
    <n v="10370.549999999999"/>
    <m/>
    <x v="0"/>
    <x v="0"/>
    <x v="0"/>
  </r>
  <r>
    <s v="TXN-00430"/>
    <d v="2024-07-16T00:00:00"/>
    <x v="10"/>
    <x v="1"/>
    <n v="6500"/>
    <s v="Print advertising"/>
    <s v="PRINT ADVERTISING"/>
    <n v="-6697.85"/>
    <n v="-6697.85"/>
    <n v="-6697.85"/>
    <n v="6697.85"/>
    <m/>
    <x v="0"/>
    <x v="0"/>
    <x v="0"/>
  </r>
  <r>
    <s v="TXN-00431"/>
    <d v="2024-12-23T00:00:00"/>
    <x v="6"/>
    <x v="0"/>
    <n v="4000"/>
    <s v="Invoice payment received"/>
    <s v="INVOICE PAYMENT RECEIV"/>
    <n v="5202.07"/>
    <n v="5202.07"/>
    <n v="5202.07"/>
    <n v="5202.07"/>
    <m/>
    <x v="0"/>
    <x v="0"/>
    <x v="0"/>
  </r>
  <r>
    <s v="TXN-00432"/>
    <d v="2024-04-13T00:00:00"/>
    <x v="1"/>
    <x v="1"/>
    <n v="6500"/>
    <s v="Print advertising"/>
    <s v="PRINT ADVERTISING"/>
    <n v="-1527.38"/>
    <n v="-1527.38"/>
    <n v="-1527.38"/>
    <n v="1527.38"/>
    <m/>
    <x v="0"/>
    <x v="0"/>
    <x v="0"/>
  </r>
  <r>
    <s v="TXN-00433"/>
    <d v="2024-05-06T00:00:00"/>
    <x v="5"/>
    <x v="4"/>
    <n v="6900"/>
    <s v="Account maintenance fee"/>
    <s v="ACCOUNT MAINTENANCE FE"/>
    <n v="-43.38"/>
    <n v="-43.38"/>
    <n v="-43.38"/>
    <n v="43.38"/>
    <m/>
    <x v="0"/>
    <x v="0"/>
    <x v="0"/>
  </r>
  <r>
    <s v="TXN-00434"/>
    <d v="2024-11-23T00:00:00"/>
    <x v="7"/>
    <x v="8"/>
    <n v="5100"/>
    <s v="Contractor fee"/>
    <s v="CONTRACTOR FEE"/>
    <n v="-13716.62"/>
    <n v="-13716.62"/>
    <n v="-13716.62"/>
    <n v="13716.62"/>
    <m/>
    <x v="0"/>
    <x v="0"/>
    <x v="0"/>
  </r>
  <r>
    <s v="TXN-00435"/>
    <d v="2024-05-21T00:00:00"/>
    <x v="5"/>
    <x v="3"/>
    <n v="6300"/>
    <s v="Office equipment"/>
    <s v="OFFICE EQUIPMENT"/>
    <n v="-616.38"/>
    <n v="-616.38"/>
    <n v="-616.38"/>
    <n v="616.38"/>
    <m/>
    <x v="0"/>
    <x v="0"/>
    <x v="0"/>
  </r>
  <r>
    <s v="TXN-00436"/>
    <d v="2024-03-26T00:00:00"/>
    <x v="8"/>
    <x v="8"/>
    <n v="5100"/>
    <s v="Supplier invoice"/>
    <s v="SUPPLIER INVOICE"/>
    <n v="-12254.21"/>
    <n v="-12254.21"/>
    <n v="-12254.21"/>
    <n v="12254.21"/>
    <m/>
    <x v="0"/>
    <x v="0"/>
    <x v="0"/>
  </r>
  <r>
    <s v="TXN-00437"/>
    <d v="2024-07-23T00:00:00"/>
    <x v="10"/>
    <x v="6"/>
    <n v="6400"/>
    <s v="Client dinner"/>
    <s v="CLIENT DINNER"/>
    <n v="-1024.6300000000001"/>
    <n v="-1024.6300000000001"/>
    <n v="-1024.6300000000001"/>
    <n v="1024.6300000000001"/>
    <m/>
    <x v="0"/>
    <x v="0"/>
    <x v="0"/>
  </r>
  <r>
    <s v="TXN-00438"/>
    <d v="2024-04-28T00:00:00"/>
    <x v="1"/>
    <x v="7"/>
    <n v="4900"/>
    <s v="Deposit interest credit"/>
    <s v="DEPOSIT INTEREST CREDI"/>
    <n v="385.98"/>
    <n v="385.98"/>
    <n v="385.98"/>
    <n v="385.98"/>
    <m/>
    <x v="0"/>
    <x v="0"/>
    <x v="0"/>
  </r>
  <r>
    <s v="TXN-00439"/>
    <d v="2024-11-21T00:00:00"/>
    <x v="7"/>
    <x v="0"/>
    <n v="4000"/>
    <s v="Customer deposit"/>
    <s v="CUSTOMER DEPOSIT"/>
    <n v="11033.95"/>
    <n v="11033.95"/>
    <n v="11033.95"/>
    <n v="11033.95"/>
    <m/>
    <x v="0"/>
    <x v="0"/>
    <x v="0"/>
  </r>
  <r>
    <s v="TXN-00440"/>
    <d v="2024-11-27T00:00:00"/>
    <x v="7"/>
    <x v="9"/>
    <n v="6200"/>
    <s v="Electricity bill"/>
    <s v="ELECTRICITY BILL"/>
    <n v="-547.39"/>
    <n v="-547.39"/>
    <n v="-547.39"/>
    <n v="547.39"/>
    <m/>
    <x v="0"/>
    <x v="0"/>
    <x v="0"/>
  </r>
  <r>
    <s v="TXN-00441"/>
    <d v="2024-04-21T00:00:00"/>
    <x v="1"/>
    <x v="7"/>
    <n v="4900"/>
    <s v="Interest accrual"/>
    <s v="INTEREST ACCRUAL"/>
    <n v="311.44"/>
    <n v="311.44"/>
    <n v="311.44"/>
    <n v="311.44"/>
    <m/>
    <x v="0"/>
    <x v="0"/>
    <x v="0"/>
  </r>
  <r>
    <s v="TXN-00442"/>
    <d v="2024-07-12T00:00:00"/>
    <x v="10"/>
    <x v="9"/>
    <n v="6200"/>
    <s v="Electricity bill"/>
    <s v="ELECTRICITY BILL"/>
    <n v="-937.63"/>
    <n v="-937.63"/>
    <n v="-937.63"/>
    <n v="937.63"/>
    <m/>
    <x v="0"/>
    <x v="0"/>
    <x v="0"/>
  </r>
  <r>
    <s v="TXN-00443"/>
    <d v="2024-12-25T00:00:00"/>
    <x v="6"/>
    <x v="8"/>
    <n v="5100"/>
    <s v="Vendor payment - materials"/>
    <s v="VENDOR PAYMENT - MATER"/>
    <n v="-12559.86"/>
    <n v="-12559.86"/>
    <n v="-12559.86"/>
    <n v="12559.86"/>
    <m/>
    <x v="0"/>
    <x v="0"/>
    <x v="0"/>
  </r>
  <r>
    <s v="TXN-00444"/>
    <d v="2024-09-27T00:00:00"/>
    <x v="11"/>
    <x v="3"/>
    <n v="6300"/>
    <s v="Printer consumables"/>
    <s v="PRINTER CONSUMABLES"/>
    <n v="-207.51"/>
    <n v="-207.51"/>
    <n v="-207.51"/>
    <n v="207.51"/>
    <m/>
    <x v="0"/>
    <x v="0"/>
    <x v="0"/>
  </r>
  <r>
    <s v="TXN-00445"/>
    <d v="2024-03-19T00:00:00"/>
    <x v="8"/>
    <x v="6"/>
    <n v="6400"/>
    <s v="Hotel accommodation"/>
    <s v="HOTEL ACCOMMODATION"/>
    <n v="-2033.39"/>
    <n v="-2033.39"/>
    <n v="-2033.39"/>
    <n v="2033.39"/>
    <m/>
    <x v="0"/>
    <x v="0"/>
    <x v="0"/>
  </r>
  <r>
    <s v="TXN-00446"/>
    <d v="2024-08-03T00:00:00"/>
    <x v="2"/>
    <x v="2"/>
    <n v="6100"/>
    <s v="Monthly office rent"/>
    <s v="MONTHLY OFFICE RENT"/>
    <n v="-5969.2"/>
    <n v="-5969.2"/>
    <n v="-5969.2"/>
    <n v="5969.2"/>
    <m/>
    <x v="0"/>
    <x v="0"/>
    <x v="0"/>
  </r>
  <r>
    <s v="TXN-00447"/>
    <d v="2024-08-14T00:00:00"/>
    <x v="2"/>
    <x v="9"/>
    <n v="6200"/>
    <s v="Internet &amp; telecom"/>
    <s v="INTERNET &amp; TELECOM"/>
    <n v="-289.2"/>
    <n v="-289.2"/>
    <n v="-289.2"/>
    <n v="289.2"/>
    <m/>
    <x v="0"/>
    <x v="0"/>
    <x v="0"/>
  </r>
  <r>
    <s v="TXN-00448"/>
    <d v="2024-08-26T00:00:00"/>
    <x v="2"/>
    <x v="7"/>
    <n v="4900"/>
    <s v="Deposit interest credit"/>
    <s v="DEPOSIT INTEREST CREDI"/>
    <n v="209.97"/>
    <n v="209.97"/>
    <n v="209.97"/>
    <n v="209.97"/>
    <m/>
    <x v="0"/>
    <x v="0"/>
    <x v="0"/>
  </r>
  <r>
    <s v="TXN-00449"/>
    <d v="2024-01-10T00:00:00"/>
    <x v="9"/>
    <x v="6"/>
    <n v="6400"/>
    <s v="Hotel accommodation"/>
    <s v="HOTEL ACCOMMODATION"/>
    <n v="-384.52"/>
    <n v="-384.52"/>
    <n v="-384.52"/>
    <n v="384.52"/>
    <m/>
    <x v="0"/>
    <x v="0"/>
    <x v="0"/>
  </r>
  <r>
    <s v="TXN-00450"/>
    <d v="2024-04-19T00:00:00"/>
    <x v="1"/>
    <x v="5"/>
    <n v="6000"/>
    <s v="Employee wages"/>
    <s v="EMPLOYEE WAGES"/>
    <n v="-5649.96"/>
    <n v="-5649.96"/>
    <n v="-5649.96"/>
    <n v="5649.96"/>
    <m/>
    <x v="0"/>
    <x v="0"/>
    <x v="0"/>
  </r>
  <r>
    <s v="TXN-00451"/>
    <d v="2024-11-07T00:00:00"/>
    <x v="7"/>
    <x v="7"/>
    <n v="4900"/>
    <s v="Savings interest"/>
    <s v="SAVINGS INTEREST"/>
    <n v="151.76"/>
    <n v="151.76"/>
    <n v="151.76"/>
    <n v="151.76"/>
    <m/>
    <x v="0"/>
    <x v="0"/>
    <x v="0"/>
  </r>
  <r>
    <s v="TXN-00452"/>
    <d v="2024-03-29T00:00:00"/>
    <x v="8"/>
    <x v="7"/>
    <n v="4900"/>
    <s v="Interest accrual"/>
    <s v="INTEREST ACCRUAL"/>
    <n v="79.59"/>
    <n v="79.59"/>
    <n v="79.59"/>
    <n v="79.59"/>
    <m/>
    <x v="0"/>
    <x v="0"/>
    <x v="0"/>
  </r>
  <r>
    <s v="TXN-00453"/>
    <d v="2024-04-19T00:00:00"/>
    <x v="1"/>
    <x v="3"/>
    <n v="6300"/>
    <s v="Stationery purchase"/>
    <s v="STATIONERY PURCHASE"/>
    <n v="-380.84"/>
    <n v="-380.84"/>
    <n v="-380.84"/>
    <n v="380.84"/>
    <m/>
    <x v="0"/>
    <x v="0"/>
    <x v="0"/>
  </r>
  <r>
    <s v="TXN-00454"/>
    <d v="2024-04-27T00:00:00"/>
    <x v="1"/>
    <x v="0"/>
    <n v="4000"/>
    <s v="Invoice payment received"/>
    <s v="INVOICE PAYMENT RECEIV"/>
    <n v="12245.72"/>
    <n v="12245.72"/>
    <n v="12245.72"/>
    <n v="12245.72"/>
    <m/>
    <x v="0"/>
    <x v="0"/>
    <x v="0"/>
  </r>
  <r>
    <s v="TXN-00455"/>
    <d v="2024-03-05T00:00:00"/>
    <x v="8"/>
    <x v="6"/>
    <n v="6400"/>
    <s v="Hotel accommodation"/>
    <s v="HOTEL ACCOMMODATION"/>
    <n v="-2276.5"/>
    <n v="-2276.5"/>
    <n v="-2276.5"/>
    <n v="2276.5"/>
    <m/>
    <x v="0"/>
    <x v="0"/>
    <x v="0"/>
  </r>
  <r>
    <s v="TXN-00456"/>
    <d v="2024-02-26T00:00:00"/>
    <x v="0"/>
    <x v="6"/>
    <n v="6400"/>
    <s v="Hotel accommodation"/>
    <s v="HOTEL ACCOMMODATION"/>
    <n v="-2441.17"/>
    <n v="-2441.17"/>
    <n v="-2441.17"/>
    <n v="2441.17"/>
    <m/>
    <x v="0"/>
    <x v="0"/>
    <x v="0"/>
  </r>
  <r>
    <s v="TXN-00457"/>
    <d v="2024-05-06T00:00:00"/>
    <x v="5"/>
    <x v="8"/>
    <n v="5100"/>
    <s v="Supplier invoice"/>
    <s v="SUPPLIER INVOICE"/>
    <n v="-6295.28"/>
    <n v="-6295.28"/>
    <n v="-6295.28"/>
    <n v="6295.28"/>
    <m/>
    <x v="0"/>
    <x v="0"/>
    <x v="0"/>
  </r>
  <r>
    <s v="TXN-00458"/>
    <d v="2024-11-15T00:00:00"/>
    <x v="7"/>
    <x v="2"/>
    <n v="6100"/>
    <s v="Rent payment"/>
    <s v="RENT PAYMENT"/>
    <n v="-2897.44"/>
    <n v="-2897.44"/>
    <n v="-2897.44"/>
    <n v="2897.44"/>
    <m/>
    <x v="0"/>
    <x v="0"/>
    <x v="0"/>
  </r>
  <r>
    <s v="TXN-00459"/>
    <d v="2024-01-01T00:00:00"/>
    <x v="9"/>
    <x v="4"/>
    <n v="6900"/>
    <s v="Account maintenance fee"/>
    <s v="ACCOUNT MAINTENANCE FE"/>
    <n v="-40.65"/>
    <n v="-40.65"/>
    <n v="-40.65"/>
    <n v="40.65"/>
    <m/>
    <x v="0"/>
    <x v="0"/>
    <x v="0"/>
  </r>
  <r>
    <s v="TXN-00460"/>
    <d v="2024-04-13T00:00:00"/>
    <x v="1"/>
    <x v="8"/>
    <n v="5100"/>
    <s v="Contractor fee"/>
    <s v="CONTRACTOR FEE"/>
    <n v="-11001.27"/>
    <n v="-11001.27"/>
    <n v="-11001.27"/>
    <n v="11001.27"/>
    <m/>
    <x v="0"/>
    <x v="0"/>
    <x v="0"/>
  </r>
  <r>
    <s v="TXN-00461"/>
    <d v="2024-01-23T00:00:00"/>
    <x v="9"/>
    <x v="1"/>
    <n v="6500"/>
    <s v="Online ad campaign"/>
    <s v="ONLINE AD CAMPAIGN"/>
    <n v="-917.64"/>
    <n v="-917.64"/>
    <n v="-917.64"/>
    <n v="917.64"/>
    <m/>
    <x v="0"/>
    <x v="0"/>
    <x v="0"/>
  </r>
  <r>
    <s v="TXN-00462"/>
    <d v="2024-07-23T00:00:00"/>
    <x v="10"/>
    <x v="8"/>
    <n v="5100"/>
    <s v="Contractor fee"/>
    <s v="CONTRACTOR FEE"/>
    <n v="-7129.82"/>
    <n v="-7129.82"/>
    <n v="-7129.82"/>
    <n v="7129.82"/>
    <m/>
    <x v="0"/>
    <x v="0"/>
    <x v="0"/>
  </r>
  <r>
    <s v="TXN-00463"/>
    <d v="2024-04-01T00:00:00"/>
    <x v="1"/>
    <x v="1"/>
    <n v="6500"/>
    <s v="Online ad campaign"/>
    <s v="ONLINE AD CAMPAIGN"/>
    <n v="-1605.2"/>
    <n v="-1605.2"/>
    <n v="-1605.2"/>
    <n v="1605.2"/>
    <m/>
    <x v="0"/>
    <x v="0"/>
    <x v="1"/>
  </r>
  <r>
    <s v="TXN-00464"/>
    <d v="2024-10-16T00:00:00"/>
    <x v="4"/>
    <x v="3"/>
    <n v="6300"/>
    <s v="Stationery purchase"/>
    <s v="STATIONERY PURCHASE"/>
    <n v="-428.17"/>
    <n v="-428.17"/>
    <n v="-428.17"/>
    <n v="428.17"/>
    <m/>
    <x v="0"/>
    <x v="0"/>
    <x v="0"/>
  </r>
  <r>
    <s v="TXN-00465"/>
    <d v="2024-08-01T00:00:00"/>
    <x v="2"/>
    <x v="0"/>
    <n v="4000"/>
    <s v="Invoice payment received"/>
    <s v="INVOICE PAYMENT RECEIV"/>
    <n v="20003.48"/>
    <n v="20003.48"/>
    <n v="20003.48"/>
    <n v="20003.48"/>
    <m/>
    <x v="0"/>
    <x v="0"/>
    <x v="0"/>
  </r>
  <r>
    <s v="TXN-00466"/>
    <d v="2024-10-13T00:00:00"/>
    <x v="4"/>
    <x v="7"/>
    <n v="4900"/>
    <s v="Deposit interest credit"/>
    <s v="DEPOSIT INTEREST CREDI"/>
    <n v="363.5"/>
    <n v="363.5"/>
    <n v="363.5"/>
    <n v="363.5"/>
    <m/>
    <x v="0"/>
    <x v="0"/>
    <x v="0"/>
  </r>
  <r>
    <s v="TXN-00467"/>
    <d v="2024-08-19T00:00:00"/>
    <x v="2"/>
    <x v="8"/>
    <n v="5100"/>
    <s v="Vendor payment - materials"/>
    <s v="VENDOR PAYMENT - MATER"/>
    <n v="-4137.26"/>
    <n v="-4137.26"/>
    <n v="-4137.26"/>
    <n v="4137.26"/>
    <m/>
    <x v="0"/>
    <x v="0"/>
    <x v="0"/>
  </r>
  <r>
    <s v="TXN-00468"/>
    <d v="2024-06-09T00:00:00"/>
    <x v="3"/>
    <x v="6"/>
    <n v="6400"/>
    <s v="Hotel accommodation"/>
    <s v="HOTEL ACCOMMODATION"/>
    <n v="-1017.54"/>
    <n v="-1017.54"/>
    <n v="-1017.54"/>
    <n v="1017.54"/>
    <m/>
    <x v="0"/>
    <x v="0"/>
    <x v="0"/>
  </r>
  <r>
    <s v="TXN-00469"/>
    <d v="2024-11-10T00:00:00"/>
    <x v="7"/>
    <x v="8"/>
    <n v="5100"/>
    <s v="Supplier invoice"/>
    <s v="SUPPLIER INVOICE"/>
    <n v="-2198.56"/>
    <n v="-2198.56"/>
    <n v="-2198.56"/>
    <n v="2198.56"/>
    <m/>
    <x v="0"/>
    <x v="0"/>
    <x v="0"/>
  </r>
  <r>
    <s v="TXN-00470"/>
    <d v="2024-06-22T00:00:00"/>
    <x v="3"/>
    <x v="7"/>
    <n v="4900"/>
    <s v="Deposit interest credit"/>
    <s v="DEPOSIT INTEREST CREDI"/>
    <n v="377.8"/>
    <n v="377.8"/>
    <n v="377.8"/>
    <n v="377.8"/>
    <m/>
    <x v="0"/>
    <x v="0"/>
    <x v="0"/>
  </r>
  <r>
    <s v="TXN-00471"/>
    <d v="2024-12-12T00:00:00"/>
    <x v="6"/>
    <x v="1"/>
    <n v="6500"/>
    <s v="Trade fair booth"/>
    <s v="TRADE FAIR BOOTH"/>
    <n v="-1913.81"/>
    <n v="-1913.81"/>
    <n v="-1913.81"/>
    <n v="1913.81"/>
    <m/>
    <x v="0"/>
    <x v="0"/>
    <x v="0"/>
  </r>
  <r>
    <s v="TXN-00472"/>
    <d v="2024-12-29T00:00:00"/>
    <x v="6"/>
    <x v="4"/>
    <n v="6900"/>
    <s v="Wire transfer fee"/>
    <s v="WIRE TRANSFER FEE"/>
    <n v="-127.77"/>
    <n v="-127.77"/>
    <n v="-127.77"/>
    <n v="127.77"/>
    <m/>
    <x v="0"/>
    <x v="0"/>
    <x v="0"/>
  </r>
  <r>
    <s v="TXN-00473"/>
    <d v="2024-08-02T00:00:00"/>
    <x v="2"/>
    <x v="3"/>
    <n v="6300"/>
    <s v="Printer consumables"/>
    <s v="PRINTER CONSUMABLES"/>
    <n v="-50.9"/>
    <n v="-50.9"/>
    <n v="-50.9"/>
    <n v="50.9"/>
    <m/>
    <x v="0"/>
    <x v="0"/>
    <x v="0"/>
  </r>
  <r>
    <s v="TXN-00474"/>
    <d v="2024-09-03T00:00:00"/>
    <x v="11"/>
    <x v="3"/>
    <n v="6300"/>
    <s v="Printer consumables"/>
    <s v="PRINTER CONSUMABLES"/>
    <n v="-162.51"/>
    <n v="138.6"/>
    <n v="-162.51"/>
    <n v="162.51"/>
    <n v="-301.11"/>
    <x v="1"/>
    <x v="1"/>
    <x v="0"/>
  </r>
  <r>
    <s v="TXN-00475"/>
    <d v="2024-04-03T00:00:00"/>
    <x v="1"/>
    <x v="2"/>
    <n v="6100"/>
    <s v="Rent payment"/>
    <s v="RENT PAYMENT"/>
    <n v="-4871.1099999999997"/>
    <n v="-4871.1099999999997"/>
    <n v="-4871.1099999999997"/>
    <n v="4871.1099999999997"/>
    <m/>
    <x v="0"/>
    <x v="0"/>
    <x v="0"/>
  </r>
  <r>
    <s v="TXN-00476"/>
    <d v="2024-10-24T00:00:00"/>
    <x v="4"/>
    <x v="1"/>
    <n v="6500"/>
    <s v="Trade fair booth"/>
    <s v="TRADE FAIR BOOTH"/>
    <n v="-1805.83"/>
    <n v="-1805.83"/>
    <n v="-1805.83"/>
    <n v="1805.83"/>
    <m/>
    <x v="0"/>
    <x v="0"/>
    <x v="0"/>
  </r>
  <r>
    <s v="TXN-00477"/>
    <d v="2024-09-02T00:00:00"/>
    <x v="11"/>
    <x v="4"/>
    <n v="6900"/>
    <s v="Wire transfer fee"/>
    <s v="WIRE TRANSFER FEE"/>
    <n v="-128.38999999999999"/>
    <n v="-128.38999999999999"/>
    <n v="-128.38999999999999"/>
    <n v="128.38999999999999"/>
    <m/>
    <x v="0"/>
    <x v="0"/>
    <x v="0"/>
  </r>
  <r>
    <s v="TXN-00478"/>
    <d v="2024-11-25T00:00:00"/>
    <x v="7"/>
    <x v="0"/>
    <n v="4000"/>
    <s v="Product sale"/>
    <s v="PRODUCT SALE"/>
    <n v="21285.33"/>
    <n v="21285.33"/>
    <n v="21285.33"/>
    <n v="21285.33"/>
    <m/>
    <x v="0"/>
    <x v="0"/>
    <x v="0"/>
  </r>
  <r>
    <s v="TXN-00479"/>
    <d v="2024-04-07T00:00:00"/>
    <x v="1"/>
    <x v="2"/>
    <n v="6100"/>
    <s v="Monthly office rent"/>
    <s v="MONTHLY OFFICE RENT"/>
    <n v="-1062.79"/>
    <n v="-1062.79"/>
    <n v="-1062.79"/>
    <n v="1062.79"/>
    <m/>
    <x v="0"/>
    <x v="0"/>
    <x v="0"/>
  </r>
  <r>
    <s v="TXN-00480"/>
    <d v="2024-10-14T00:00:00"/>
    <x v="4"/>
    <x v="8"/>
    <n v="5100"/>
    <s v="Supplier invoice"/>
    <s v="SUPPLIER INVOICE"/>
    <n v="-13037.87"/>
    <n v="-13037.87"/>
    <n v="-13037.87"/>
    <n v="13037.87"/>
    <m/>
    <x v="0"/>
    <x v="0"/>
    <x v="0"/>
  </r>
  <r>
    <s v="TXN-00481"/>
    <d v="2024-06-20T00:00:00"/>
    <x v="3"/>
    <x v="5"/>
    <n v="6000"/>
    <s v="Payroll transfer"/>
    <s v="PAYROLL TRANSFER"/>
    <n v="-7998.62"/>
    <n v="-7998.62"/>
    <n v="-7998.62"/>
    <n v="7998.62"/>
    <m/>
    <x v="0"/>
    <x v="0"/>
    <x v="0"/>
  </r>
  <r>
    <s v="TXN-00482"/>
    <d v="2024-03-08T00:00:00"/>
    <x v="8"/>
    <x v="4"/>
    <n v="6900"/>
    <s v="Account maintenance fee"/>
    <s v="ACCOUNT MAINTENANCE FE"/>
    <n v="-115.2"/>
    <n v="-115.2"/>
    <n v="-115.2"/>
    <n v="115.2"/>
    <m/>
    <x v="0"/>
    <x v="0"/>
    <x v="0"/>
  </r>
  <r>
    <s v="TXN-00483"/>
    <d v="2024-03-03T00:00:00"/>
    <x v="8"/>
    <x v="5"/>
    <n v="6000"/>
    <s v="Payroll transfer"/>
    <s v="PAYROLL TRANSFER"/>
    <n v="-9698.7999999999993"/>
    <n v="-9698.7999999999993"/>
    <n v="-9698.7999999999993"/>
    <n v="9698.7999999999993"/>
    <m/>
    <x v="0"/>
    <x v="0"/>
    <x v="0"/>
  </r>
  <r>
    <s v="TXN-00484"/>
    <d v="2024-07-24T00:00:00"/>
    <x v="10"/>
    <x v="1"/>
    <n v="6500"/>
    <s v="Online ad campaign"/>
    <s v="ONLINE AD CAMPAIGN"/>
    <n v="-7517.31"/>
    <n v="-7517.31"/>
    <n v="-7517.31"/>
    <n v="7517.31"/>
    <m/>
    <x v="0"/>
    <x v="0"/>
    <x v="0"/>
  </r>
  <r>
    <s v="TXN-00485"/>
    <d v="2024-04-26T00:00:00"/>
    <x v="1"/>
    <x v="3"/>
    <n v="6300"/>
    <s v="Stationery purchase"/>
    <s v="STATIONERY PURCHASE"/>
    <n v="-408.28"/>
    <n v="-408.28"/>
    <n v="-408.28"/>
    <n v="408.28"/>
    <m/>
    <x v="0"/>
    <x v="0"/>
    <x v="0"/>
  </r>
  <r>
    <s v="TXN-00486"/>
    <d v="2024-02-07T00:00:00"/>
    <x v="0"/>
    <x v="5"/>
    <n v="6000"/>
    <s v="Employee wages"/>
    <s v="EMPLOYEE WAGES"/>
    <n v="-10705.12"/>
    <n v="-10705.12"/>
    <n v="-10705.12"/>
    <n v="10705.12"/>
    <m/>
    <x v="0"/>
    <x v="0"/>
    <x v="0"/>
  </r>
  <r>
    <s v="TXN-00487"/>
    <d v="2024-06-04T00:00:00"/>
    <x v="3"/>
    <x v="9"/>
    <n v="6200"/>
    <s v="Electricity bill"/>
    <s v="ELECTRICITY BILL"/>
    <n v="-906.49"/>
    <n v="-906.49"/>
    <n v="-906.49"/>
    <n v="906.49"/>
    <m/>
    <x v="0"/>
    <x v="0"/>
    <x v="0"/>
  </r>
  <r>
    <s v="TXN-00488"/>
    <d v="2024-08-26T00:00:00"/>
    <x v="2"/>
    <x v="6"/>
    <n v="6400"/>
    <s v="Client dinner"/>
    <s v="CLIENT DINNER"/>
    <n v="-2886.13"/>
    <n v="-2886.13"/>
    <n v="-2886.13"/>
    <n v="2886.13"/>
    <m/>
    <x v="0"/>
    <x v="0"/>
    <x v="0"/>
  </r>
  <r>
    <s v="TXN-00489"/>
    <d v="2024-04-26T00:00:00"/>
    <x v="1"/>
    <x v="1"/>
    <n v="6500"/>
    <s v="Online ad campaign"/>
    <s v="ONLINE AD CAMPAIGN"/>
    <n v="-2409.66"/>
    <n v="-2409.66"/>
    <n v="-2409.66"/>
    <n v="2409.66"/>
    <m/>
    <x v="0"/>
    <x v="0"/>
    <x v="0"/>
  </r>
  <r>
    <s v="TXN-00490"/>
    <d v="2024-12-14T00:00:00"/>
    <x v="6"/>
    <x v="2"/>
    <n v="6100"/>
    <s v="Rent payment"/>
    <s v="RENT PAYMENT"/>
    <n v="-1412.79"/>
    <n v="-1412.79"/>
    <n v="-1412.79"/>
    <n v="1412.79"/>
    <m/>
    <x v="0"/>
    <x v="0"/>
    <x v="0"/>
  </r>
  <r>
    <s v="TXN-00491"/>
    <d v="2024-10-11T00:00:00"/>
    <x v="4"/>
    <x v="7"/>
    <n v="4900"/>
    <s v="Interest accrual"/>
    <s v="INTEREST ACCRUAL"/>
    <n v="203.64"/>
    <n v="203.64"/>
    <n v="203.64"/>
    <n v="203.64"/>
    <m/>
    <x v="0"/>
    <x v="0"/>
    <x v="0"/>
  </r>
  <r>
    <s v="TXN-00492"/>
    <d v="2024-07-06T00:00:00"/>
    <x v="10"/>
    <x v="4"/>
    <n v="6900"/>
    <s v="Account maintenance fee"/>
    <s v="ACCOUNT MAINTENANCE FE"/>
    <n v="-78.27"/>
    <n v="-78.27"/>
    <n v="-78.27"/>
    <n v="78.27"/>
    <m/>
    <x v="0"/>
    <x v="0"/>
    <x v="0"/>
  </r>
  <r>
    <s v="TXN-00493"/>
    <d v="2024-12-07T00:00:00"/>
    <x v="6"/>
    <x v="1"/>
    <n v="6500"/>
    <s v="Trade fair booth"/>
    <s v="TRADE FAIR BOOTH"/>
    <n v="-3251.55"/>
    <n v="-3251.55"/>
    <n v="-3251.55"/>
    <n v="3251.55"/>
    <m/>
    <x v="0"/>
    <x v="0"/>
    <x v="0"/>
  </r>
  <r>
    <s v="TXN-00494"/>
    <d v="2024-06-07T00:00:00"/>
    <x v="3"/>
    <x v="2"/>
    <n v="6100"/>
    <s v="Warehouse lease"/>
    <s v="WAREHOUSE LEASE"/>
    <n v="-4891.84"/>
    <n v="-4891.84"/>
    <n v="-4891.84"/>
    <n v="4891.84"/>
    <m/>
    <x v="0"/>
    <x v="0"/>
    <x v="0"/>
  </r>
  <r>
    <s v="TXN-00495"/>
    <d v="2024-02-20T00:00:00"/>
    <x v="0"/>
    <x v="5"/>
    <n v="6000"/>
    <s v="Employee wages"/>
    <s v="EMPLOYEE WAGES"/>
    <n v="-4090.61"/>
    <n v="-4090.61"/>
    <n v="-4090.61"/>
    <n v="4090.61"/>
    <m/>
    <x v="0"/>
    <x v="0"/>
    <x v="0"/>
  </r>
  <r>
    <s v="TXN-00496"/>
    <d v="2024-01-14T00:00:00"/>
    <x v="9"/>
    <x v="3"/>
    <n v="6300"/>
    <s v="Office equipment"/>
    <s v="OFFICE EQUIPMENT"/>
    <n v="-668.14"/>
    <n v="-668.14"/>
    <n v="-668.14"/>
    <n v="668.14"/>
    <m/>
    <x v="0"/>
    <x v="0"/>
    <x v="0"/>
  </r>
  <r>
    <s v="TXN-00497"/>
    <d v="2024-12-08T00:00:00"/>
    <x v="6"/>
    <x v="8"/>
    <n v="5100"/>
    <s v="Supplier invoice"/>
    <s v="SUPPLIER INVOICE"/>
    <n v="-7941.74"/>
    <n v="-7941.74"/>
    <n v="-7941.74"/>
    <n v="7941.74"/>
    <m/>
    <x v="0"/>
    <x v="0"/>
    <x v="0"/>
  </r>
  <r>
    <s v="TXN-00498"/>
    <d v="2024-12-16T00:00:00"/>
    <x v="6"/>
    <x v="9"/>
    <n v="6200"/>
    <s v="Internet &amp; telecom"/>
    <s v="INTERNET &amp; TELECOM"/>
    <n v="-266.81"/>
    <n v="-266.81"/>
    <n v="-266.81"/>
    <n v="266.81"/>
    <m/>
    <x v="0"/>
    <x v="0"/>
    <x v="0"/>
  </r>
  <r>
    <s v="TXN-00499"/>
    <d v="2024-09-26T00:00:00"/>
    <x v="11"/>
    <x v="7"/>
    <n v="4900"/>
    <s v="Savings interest"/>
    <s v="SAVINGS INTEREST"/>
    <n v="384.45"/>
    <n v="384.45"/>
    <n v="384.45"/>
    <n v="384.45"/>
    <m/>
    <x v="0"/>
    <x v="0"/>
    <x v="0"/>
  </r>
  <r>
    <s v="TXN-00500"/>
    <d v="2024-02-07T00:00:00"/>
    <x v="0"/>
    <x v="3"/>
    <n v="6300"/>
    <s v="Office equipment"/>
    <s v="OFFICE EQUIPMENT"/>
    <n v="-655.22"/>
    <n v="-655.22"/>
    <n v="-655.22"/>
    <n v="655.22"/>
    <m/>
    <x v="0"/>
    <x v="0"/>
    <x v="0"/>
  </r>
  <r>
    <s v="TXN-00501"/>
    <d v="2024-04-17T00:00:00"/>
    <x v="1"/>
    <x v="8"/>
    <n v="5100"/>
    <s v="Contractor fee"/>
    <s v="CONTRACTOR FEE"/>
    <n v="-14765.94"/>
    <n v="-14765.94"/>
    <n v="-14765.94"/>
    <n v="14765.94"/>
    <m/>
    <x v="0"/>
    <x v="0"/>
    <x v="0"/>
  </r>
  <r>
    <s v="TXN-00502"/>
    <d v="2024-01-15T00:00:00"/>
    <x v="9"/>
    <x v="2"/>
    <n v="6100"/>
    <s v="Rent payment"/>
    <s v="RENT PAYMENT"/>
    <n v="-2630.66"/>
    <n v="-2630.66"/>
    <n v="-2630.66"/>
    <n v="2630.66"/>
    <m/>
    <x v="0"/>
    <x v="0"/>
    <x v="0"/>
  </r>
  <r>
    <s v="TXN-00503"/>
    <d v="2024-01-19T00:00:00"/>
    <x v="9"/>
    <x v="7"/>
    <n v="4900"/>
    <s v="Savings interest"/>
    <s v="SAVINGS INTEREST"/>
    <n v="192.2"/>
    <n v="192.2"/>
    <n v="192.2"/>
    <n v="192.2"/>
    <m/>
    <x v="0"/>
    <x v="0"/>
    <x v="0"/>
  </r>
  <r>
    <s v="TXN-00504"/>
    <d v="2024-03-30T00:00:00"/>
    <x v="8"/>
    <x v="4"/>
    <n v="6900"/>
    <s v="Wire transfer fee"/>
    <s v="WIRE TRANSFER FEE"/>
    <n v="-148.06"/>
    <n v="-148.06"/>
    <n v="-148.06"/>
    <n v="148.06"/>
    <m/>
    <x v="0"/>
    <x v="0"/>
    <x v="0"/>
  </r>
  <r>
    <s v="TXN-00505"/>
    <d v="2024-07-27T00:00:00"/>
    <x v="10"/>
    <x v="5"/>
    <n v="6000"/>
    <s v="Monthly salary run"/>
    <s v="MONTHLY SALARY RUN"/>
    <n v="-5829.94"/>
    <n v="-5829.94"/>
    <n v="-5829.94"/>
    <n v="5829.94"/>
    <m/>
    <x v="0"/>
    <x v="0"/>
    <x v="0"/>
  </r>
  <r>
    <s v="TXN-00506"/>
    <d v="2024-01-24T00:00:00"/>
    <x v="9"/>
    <x v="3"/>
    <n v="6300"/>
    <s v="Stationery purchase"/>
    <s v="STATIONERY PURCHASE"/>
    <n v="-790.47"/>
    <n v="-790.47"/>
    <n v="-790.47"/>
    <n v="790.47"/>
    <m/>
    <x v="0"/>
    <x v="0"/>
    <x v="0"/>
  </r>
  <r>
    <s v="TXN-00507"/>
    <d v="2024-12-25T00:00:00"/>
    <x v="6"/>
    <x v="6"/>
    <n v="6400"/>
    <s v="Business trip - airfare"/>
    <s v="BUSINESS TRIP - AIRFAR"/>
    <n v="-2774.25"/>
    <n v="-2774.25"/>
    <n v="-2774.25"/>
    <n v="2774.25"/>
    <m/>
    <x v="0"/>
    <x v="0"/>
    <x v="0"/>
  </r>
  <r>
    <s v="TXN-00508"/>
    <d v="2024-06-15T00:00:00"/>
    <x v="3"/>
    <x v="5"/>
    <n v="6000"/>
    <s v="Monthly salary run"/>
    <s v="MONTHLY SALARY RUN"/>
    <n v="-5519.22"/>
    <n v="-5519.22"/>
    <n v="-5519.22"/>
    <n v="5519.22"/>
    <m/>
    <x v="0"/>
    <x v="0"/>
    <x v="0"/>
  </r>
  <r>
    <s v="TXN-00509"/>
    <d v="2024-04-06T00:00:00"/>
    <x v="1"/>
    <x v="5"/>
    <n v="6000"/>
    <s v="Payroll transfer"/>
    <s v="PAYROLL TRANSFER"/>
    <n v="-10777.06"/>
    <n v="-10777.06"/>
    <n v="-10777.06"/>
    <n v="10777.06"/>
    <m/>
    <x v="0"/>
    <x v="0"/>
    <x v="0"/>
  </r>
  <r>
    <s v="TXN-00510"/>
    <d v="2024-07-07T00:00:00"/>
    <x v="10"/>
    <x v="5"/>
    <n v="6000"/>
    <s v="Employee wages"/>
    <s v="EMPLOYEE WAGES"/>
    <n v="-4663.8599999999997"/>
    <n v="-4663.8599999999997"/>
    <n v="-4663.8599999999997"/>
    <n v="4663.8599999999997"/>
    <m/>
    <x v="0"/>
    <x v="0"/>
    <x v="0"/>
  </r>
  <r>
    <s v="TXN-00511"/>
    <d v="2024-10-15T00:00:00"/>
    <x v="4"/>
    <x v="7"/>
    <n v="4900"/>
    <s v="Deposit interest credit"/>
    <s v="DEPOSIT INTEREST CREDI"/>
    <n v="138.06"/>
    <n v="138.06"/>
    <n v="138.06"/>
    <n v="138.06"/>
    <m/>
    <x v="0"/>
    <x v="0"/>
    <x v="0"/>
  </r>
  <r>
    <s v="TXN-00512"/>
    <d v="2024-04-24T00:00:00"/>
    <x v="1"/>
    <x v="1"/>
    <n v="6500"/>
    <s v="Print advertising"/>
    <s v="PRINT ADVERTISING"/>
    <n v="-4909.95"/>
    <n v="-4909.95"/>
    <n v="-4909.95"/>
    <n v="4909.95"/>
    <m/>
    <x v="0"/>
    <x v="0"/>
    <x v="0"/>
  </r>
  <r>
    <s v="TXN-00513"/>
    <d v="2024-01-18T00:00:00"/>
    <x v="9"/>
    <x v="4"/>
    <n v="6900"/>
    <s v="Account maintenance fee"/>
    <s v="ACCOUNT MAINTENANCE FE"/>
    <n v="-125.29"/>
    <n v="-125.29"/>
    <n v="-125.29"/>
    <n v="125.29"/>
    <m/>
    <x v="0"/>
    <x v="0"/>
    <x v="0"/>
  </r>
  <r>
    <s v="TXN-00514"/>
    <d v="2024-01-19T00:00:00"/>
    <x v="9"/>
    <x v="4"/>
    <n v="6900"/>
    <s v="Wire transfer fee"/>
    <s v="WIRE TRANSFER FEE"/>
    <n v="-8.5500000000000007"/>
    <n v="-8.5500000000000007"/>
    <n v="-8.5500000000000007"/>
    <n v="8.5500000000000007"/>
    <m/>
    <x v="0"/>
    <x v="0"/>
    <x v="0"/>
  </r>
  <r>
    <s v="TXN-00515"/>
    <d v="2024-11-06T00:00:00"/>
    <x v="7"/>
    <x v="7"/>
    <n v="4900"/>
    <s v="Savings interest"/>
    <s v="SAVINGS INTEREST"/>
    <n v="286.20999999999998"/>
    <n v="286.20999999999998"/>
    <n v="286.20999999999998"/>
    <n v="286.20999999999998"/>
    <m/>
    <x v="0"/>
    <x v="0"/>
    <x v="0"/>
  </r>
  <r>
    <s v="TXN-00516"/>
    <d v="2024-02-10T00:00:00"/>
    <x v="0"/>
    <x v="8"/>
    <n v="5100"/>
    <s v="Supplier invoice"/>
    <s v="SUPPLIER INVOICE"/>
    <n v="-8540.14"/>
    <n v="-8540.14"/>
    <n v="-8540.14"/>
    <n v="8540.14"/>
    <m/>
    <x v="0"/>
    <x v="0"/>
    <x v="0"/>
  </r>
  <r>
    <s v="TXN-00517"/>
    <d v="2024-08-19T00:00:00"/>
    <x v="2"/>
    <x v="4"/>
    <n v="6900"/>
    <s v="Wire transfer fee"/>
    <s v="WIRE TRANSFER FEE"/>
    <n v="-13.01"/>
    <n v="-13.01"/>
    <n v="-13.01"/>
    <n v="13.01"/>
    <m/>
    <x v="0"/>
    <x v="0"/>
    <x v="0"/>
  </r>
  <r>
    <s v="TXN-00518"/>
    <d v="2024-05-20T00:00:00"/>
    <x v="5"/>
    <x v="0"/>
    <n v="4000"/>
    <s v="Customer deposit"/>
    <s v="CUSTOMER DEPOSIT"/>
    <n v="9032.76"/>
    <n v="9032.76"/>
    <n v="9032.76"/>
    <n v="9032.76"/>
    <m/>
    <x v="0"/>
    <x v="0"/>
    <x v="0"/>
  </r>
  <r>
    <s v="TXN-00519"/>
    <d v="2024-10-10T00:00:00"/>
    <x v="4"/>
    <x v="3"/>
    <n v="6300"/>
    <s v="Office equipment"/>
    <s v="OFFICE EQUIPMENT"/>
    <n v="-47.19"/>
    <n v="-47.19"/>
    <n v="-47.19"/>
    <n v="47.19"/>
    <m/>
    <x v="0"/>
    <x v="0"/>
    <x v="0"/>
  </r>
  <r>
    <s v="TXN-00520"/>
    <d v="2024-01-23T00:00:00"/>
    <x v="9"/>
    <x v="6"/>
    <n v="6400"/>
    <s v="Hotel accommodation"/>
    <s v="HOTEL ACCOMMODATION"/>
    <n v="-1435.81"/>
    <n v="-1435.81"/>
    <n v="-1435.81"/>
    <n v="1435.81"/>
    <m/>
    <x v="0"/>
    <x v="0"/>
    <x v="0"/>
  </r>
  <r>
    <s v="TXN-00521"/>
    <d v="2024-11-23T00:00:00"/>
    <x v="7"/>
    <x v="9"/>
    <n v="6200"/>
    <s v="Water utility"/>
    <s v="WATER UTILITY"/>
    <n v="-108.51"/>
    <n v="-108.51"/>
    <n v="-108.51"/>
    <n v="108.51"/>
    <m/>
    <x v="0"/>
    <x v="0"/>
    <x v="0"/>
  </r>
  <r>
    <s v="TXN-00522"/>
    <d v="2024-09-11T00:00:00"/>
    <x v="11"/>
    <x v="8"/>
    <n v="5100"/>
    <s v="Contractor fee"/>
    <s v="CONTRACTOR FEE"/>
    <n v="-11295.65"/>
    <n v="-11295.65"/>
    <n v="-11295.65"/>
    <n v="11295.65"/>
    <m/>
    <x v="0"/>
    <x v="0"/>
    <x v="0"/>
  </r>
  <r>
    <s v="TXN-00523"/>
    <d v="2024-06-12T00:00:00"/>
    <x v="3"/>
    <x v="8"/>
    <n v="5100"/>
    <s v="Vendor payment - materials"/>
    <s v="VENDOR PAYMENT - MATER"/>
    <n v="-13025.81"/>
    <n v="-13025.81"/>
    <n v="-13025.81"/>
    <n v="13025.81"/>
    <m/>
    <x v="0"/>
    <x v="0"/>
    <x v="0"/>
  </r>
  <r>
    <s v="TXN-00524"/>
    <d v="2024-03-16T00:00:00"/>
    <x v="8"/>
    <x v="4"/>
    <n v="6900"/>
    <s v="Account maintenance fee"/>
    <s v="ACCOUNT MAINTENANCE FE"/>
    <n v="-113.18"/>
    <n v="-113.18"/>
    <n v="-113.18"/>
    <n v="113.18"/>
    <m/>
    <x v="0"/>
    <x v="0"/>
    <x v="0"/>
  </r>
  <r>
    <s v="TXN-00525"/>
    <d v="2024-12-22T00:00:00"/>
    <x v="6"/>
    <x v="9"/>
    <n v="6200"/>
    <s v="Internet &amp; telecom"/>
    <s v="INTERNET &amp; TELECOM"/>
    <n v="-298.31"/>
    <n v="-298.31"/>
    <n v="-298.31"/>
    <n v="298.31"/>
    <m/>
    <x v="0"/>
    <x v="0"/>
    <x v="0"/>
  </r>
  <r>
    <s v="TXN-00526"/>
    <d v="2024-04-20T00:00:00"/>
    <x v="1"/>
    <x v="9"/>
    <n v="6200"/>
    <s v="Internet &amp; telecom"/>
    <s v="INTERNET &amp; TELECOM"/>
    <n v="-660.99"/>
    <n v="-660.99"/>
    <n v="-660.99"/>
    <n v="660.99"/>
    <m/>
    <x v="0"/>
    <x v="0"/>
    <x v="0"/>
  </r>
  <r>
    <s v="TXN-00527"/>
    <d v="2024-06-28T00:00:00"/>
    <x v="3"/>
    <x v="7"/>
    <n v="4900"/>
    <s v="Savings interest"/>
    <s v="SAVINGS INTEREST"/>
    <n v="102.05"/>
    <n v="102.05"/>
    <n v="102.05"/>
    <n v="102.05"/>
    <m/>
    <x v="0"/>
    <x v="0"/>
    <x v="0"/>
  </r>
  <r>
    <s v="TXN-00528"/>
    <d v="2024-05-23T00:00:00"/>
    <x v="5"/>
    <x v="8"/>
    <n v="5100"/>
    <s v="Contractor fee"/>
    <s v="CONTRACTOR FEE"/>
    <n v="-3615.05"/>
    <n v="-3615.05"/>
    <n v="-3615.05"/>
    <n v="3615.05"/>
    <m/>
    <x v="0"/>
    <x v="0"/>
    <x v="0"/>
  </r>
  <r>
    <s v="TXN-00529"/>
    <d v="2024-03-25T00:00:00"/>
    <x v="8"/>
    <x v="7"/>
    <n v="4900"/>
    <s v="Savings interest"/>
    <s v="SAVINGS INTEREST"/>
    <n v="383.61"/>
    <n v="383.61"/>
    <n v="383.61"/>
    <n v="383.61"/>
    <m/>
    <x v="0"/>
    <x v="0"/>
    <x v="0"/>
  </r>
  <r>
    <s v="TXN-00530"/>
    <d v="2024-06-01T00:00:00"/>
    <x v="3"/>
    <x v="7"/>
    <n v="4900"/>
    <s v="Deposit interest credit"/>
    <s v="DEPOSIT INTEREST CREDI"/>
    <n v="285.45999999999998"/>
    <n v="285.45999999999998"/>
    <n v="285.45999999999998"/>
    <n v="285.45999999999998"/>
    <m/>
    <x v="0"/>
    <x v="0"/>
    <x v="0"/>
  </r>
  <r>
    <s v="TXN-00531"/>
    <d v="2024-02-25T00:00:00"/>
    <x v="0"/>
    <x v="6"/>
    <n v="6400"/>
    <s v="Business trip - airfare"/>
    <s v="BUSINESS TRIP - AIRFAR"/>
    <n v="-2624.46"/>
    <n v="-2624.46"/>
    <n v="-2624.46"/>
    <n v="2624.46"/>
    <m/>
    <x v="0"/>
    <x v="0"/>
    <x v="0"/>
  </r>
  <r>
    <s v="TXN-00532"/>
    <d v="2024-01-01T00:00:00"/>
    <x v="9"/>
    <x v="8"/>
    <n v="5100"/>
    <s v="Vendor payment - materials"/>
    <s v="VENDOR PAYMENT - MATER"/>
    <n v="-8067.87"/>
    <n v="-8067.87"/>
    <n v="-8067.87"/>
    <n v="8067.87"/>
    <m/>
    <x v="0"/>
    <x v="0"/>
    <x v="0"/>
  </r>
  <r>
    <s v="TXN-00533"/>
    <d v="2024-04-15T00:00:00"/>
    <x v="1"/>
    <x v="8"/>
    <n v="5100"/>
    <s v="Supplier invoice"/>
    <s v="SUPPLIER INVOICE"/>
    <n v="-6853.08"/>
    <n v="-6853.08"/>
    <n v="-6853.08"/>
    <n v="6853.08"/>
    <m/>
    <x v="0"/>
    <x v="0"/>
    <x v="0"/>
  </r>
  <r>
    <s v="TXN-00534"/>
    <d v="2024-02-10T00:00:00"/>
    <x v="0"/>
    <x v="5"/>
    <n v="6000"/>
    <s v="Payroll transfer"/>
    <s v="PAYROLL TRANSFER"/>
    <n v="-8224.61"/>
    <n v="-8224.61"/>
    <n v="-8224.61"/>
    <n v="8224.61"/>
    <m/>
    <x v="0"/>
    <x v="0"/>
    <x v="0"/>
  </r>
  <r>
    <s v="TXN-00535"/>
    <d v="2024-05-31T00:00:00"/>
    <x v="5"/>
    <x v="6"/>
    <n v="6400"/>
    <s v="Business trip - airfare"/>
    <s v="BUSINESS TRIP - AIRFAR"/>
    <n v="-3117.16"/>
    <n v="-3117.16"/>
    <n v="-3117.16"/>
    <n v="3117.16"/>
    <m/>
    <x v="0"/>
    <x v="0"/>
    <x v="0"/>
  </r>
  <r>
    <s v="TXN-00536"/>
    <d v="2024-11-10T00:00:00"/>
    <x v="7"/>
    <x v="8"/>
    <n v="5100"/>
    <s v="Supplier invoice"/>
    <s v="SUPPLIER INVOICE"/>
    <n v="-12213.94"/>
    <n v="-12213.94"/>
    <n v="-12213.94"/>
    <n v="12213.94"/>
    <m/>
    <x v="0"/>
    <x v="0"/>
    <x v="0"/>
  </r>
  <r>
    <s v="TXN-00537"/>
    <d v="2024-02-29T00:00:00"/>
    <x v="0"/>
    <x v="3"/>
    <n v="6300"/>
    <s v="Stationery purchase"/>
    <s v="STATIONERY PURCHASE"/>
    <n v="-529.17999999999995"/>
    <n v="-529.17999999999995"/>
    <n v="-529.17999999999995"/>
    <n v="529.17999999999995"/>
    <m/>
    <x v="0"/>
    <x v="0"/>
    <x v="0"/>
  </r>
  <r>
    <s v="TXN-00538"/>
    <d v="2024-01-01T00:00:00"/>
    <x v="9"/>
    <x v="8"/>
    <n v="5100"/>
    <s v="Vendor payment - materials"/>
    <s v="VENDOR PAYMENT - MATER"/>
    <n v="-2287.1999999999998"/>
    <n v="-2287.1999999999998"/>
    <n v="-2287.1999999999998"/>
    <n v="2287.1999999999998"/>
    <m/>
    <x v="0"/>
    <x v="0"/>
    <x v="0"/>
  </r>
  <r>
    <s v="TXN-00539"/>
    <d v="2024-02-10T00:00:00"/>
    <x v="0"/>
    <x v="6"/>
    <n v="6400"/>
    <s v="Business trip - airfare"/>
    <s v="BUSINESS TRIP - AIRFAR"/>
    <n v="-3167.89"/>
    <n v="-3167.89"/>
    <n v="-3167.89"/>
    <n v="3167.89"/>
    <m/>
    <x v="0"/>
    <x v="0"/>
    <x v="0"/>
  </r>
  <r>
    <s v="TXN-00540"/>
    <d v="2024-07-04T00:00:00"/>
    <x v="10"/>
    <x v="0"/>
    <n v="4000"/>
    <s v="Product sale"/>
    <s v="PRODUCT SALE"/>
    <n v="23086.49"/>
    <n v="23086.49"/>
    <n v="23086.49"/>
    <n v="23086.49"/>
    <m/>
    <x v="0"/>
    <x v="0"/>
    <x v="0"/>
  </r>
  <r>
    <s v="TXN-00541"/>
    <d v="2024-04-10T00:00:00"/>
    <x v="1"/>
    <x v="1"/>
    <n v="6500"/>
    <s v="Print advertising"/>
    <s v="PRINT ADVERTISING"/>
    <n v="-1477.71"/>
    <n v="-1477.71"/>
    <n v="-1477.71"/>
    <n v="1477.71"/>
    <m/>
    <x v="0"/>
    <x v="0"/>
    <x v="0"/>
  </r>
  <r>
    <s v="TXN-00542"/>
    <d v="2024-06-27T00:00:00"/>
    <x v="3"/>
    <x v="0"/>
    <n v="4000"/>
    <s v="Invoice payment received"/>
    <s v="INVOICE PAYMENT RECEIV"/>
    <n v="5688.42"/>
    <n v="5688.42"/>
    <n v="5688.42"/>
    <n v="5688.42"/>
    <m/>
    <x v="0"/>
    <x v="0"/>
    <x v="0"/>
  </r>
  <r>
    <s v="TXN-00543"/>
    <d v="2024-01-11T00:00:00"/>
    <x v="9"/>
    <x v="8"/>
    <n v="5100"/>
    <s v="Supplier invoice"/>
    <s v="SUPPLIER INVOICE"/>
    <n v="-1977.64"/>
    <n v="-1977.64"/>
    <n v="-1977.64"/>
    <n v="1977.64"/>
    <m/>
    <x v="0"/>
    <x v="0"/>
    <x v="0"/>
  </r>
  <r>
    <s v="TXN-00544"/>
    <d v="2024-05-01T00:00:00"/>
    <x v="5"/>
    <x v="8"/>
    <n v="5100"/>
    <s v="Supplier invoice"/>
    <s v="SUPPLIER INVOICE"/>
    <n v="-1255.31"/>
    <n v="-1255.31"/>
    <n v="-1255.31"/>
    <n v="1255.31"/>
    <m/>
    <x v="0"/>
    <x v="0"/>
    <x v="0"/>
  </r>
  <r>
    <s v="TXN-00545"/>
    <d v="2024-05-29T00:00:00"/>
    <x v="5"/>
    <x v="4"/>
    <n v="6900"/>
    <s v="Account maintenance fee"/>
    <s v="ACCOUNT MAINTENANCE FE"/>
    <n v="-15.74"/>
    <n v="-15.74"/>
    <n v="-15.74"/>
    <n v="15.74"/>
    <m/>
    <x v="0"/>
    <x v="0"/>
    <x v="0"/>
  </r>
  <r>
    <s v="TXN-00546"/>
    <d v="2024-06-06T00:00:00"/>
    <x v="3"/>
    <x v="0"/>
    <n v="4000"/>
    <s v="Product sale"/>
    <s v="PRODUCT SALE"/>
    <n v="3747.28"/>
    <n v="3747.28"/>
    <n v="3747.28"/>
    <n v="3747.28"/>
    <m/>
    <x v="0"/>
    <x v="0"/>
    <x v="0"/>
  </r>
  <r>
    <s v="TXN-00547"/>
    <d v="2024-07-20T00:00:00"/>
    <x v="10"/>
    <x v="3"/>
    <n v="6300"/>
    <s v="Printer consumables"/>
    <s v="PRINTER CONSUMABLES"/>
    <n v="-530.61"/>
    <n v="-530.61"/>
    <n v="-530.61"/>
    <n v="530.61"/>
    <m/>
    <x v="0"/>
    <x v="0"/>
    <x v="0"/>
  </r>
  <r>
    <s v="TXN-00548"/>
    <d v="2024-10-11T00:00:00"/>
    <x v="4"/>
    <x v="6"/>
    <n v="6400"/>
    <s v="Hotel accommodation"/>
    <s v="HOTEL ACCOMMODATION"/>
    <n v="-2728.51"/>
    <n v="-2728.51"/>
    <n v="-2728.51"/>
    <n v="2728.51"/>
    <m/>
    <x v="0"/>
    <x v="0"/>
    <x v="0"/>
  </r>
  <r>
    <s v="TXN-00549"/>
    <d v="2024-06-19T00:00:00"/>
    <x v="3"/>
    <x v="6"/>
    <n v="6400"/>
    <s v="Business trip - airfare"/>
    <s v="BUSINESS TRIP - AIRFAR"/>
    <n v="-3097.04"/>
    <n v="-3097.04"/>
    <n v="-3097.04"/>
    <n v="3097.04"/>
    <m/>
    <x v="0"/>
    <x v="0"/>
    <x v="0"/>
  </r>
  <r>
    <s v="TXN-00550"/>
    <d v="2024-11-03T00:00:00"/>
    <x v="7"/>
    <x v="2"/>
    <n v="6100"/>
    <s v="Warehouse lease"/>
    <s v="WAREHOUSE LEASE"/>
    <n v="-4120.03"/>
    <n v="-4120.03"/>
    <n v="-4120.03"/>
    <n v="4120.03"/>
    <m/>
    <x v="0"/>
    <x v="0"/>
    <x v="0"/>
  </r>
  <r>
    <s v="TXN-00551"/>
    <d v="2024-07-12T00:00:00"/>
    <x v="10"/>
    <x v="4"/>
    <n v="6900"/>
    <s v="Wire transfer fee"/>
    <s v="WIRE TRANSFER FEE"/>
    <n v="-108.35"/>
    <n v="-108.35"/>
    <n v="-108.35"/>
    <n v="108.35"/>
    <m/>
    <x v="0"/>
    <x v="0"/>
    <x v="0"/>
  </r>
  <r>
    <s v="TXN-00552"/>
    <d v="2024-04-05T00:00:00"/>
    <x v="1"/>
    <x v="9"/>
    <n v="6200"/>
    <s v="Water utility"/>
    <s v="WATER UTILITY"/>
    <n v="-564.5"/>
    <n v="-564.5"/>
    <n v="-564.5"/>
    <n v="564.5"/>
    <m/>
    <x v="0"/>
    <x v="0"/>
    <x v="0"/>
  </r>
  <r>
    <s v="TXN-00553"/>
    <d v="2024-03-24T00:00:00"/>
    <x v="8"/>
    <x v="4"/>
    <n v="6900"/>
    <s v="Card processing fee"/>
    <s v="CARD PROCESSING FEE"/>
    <n v="-72.81"/>
    <n v="-72.81"/>
    <n v="-72.81"/>
    <n v="72.81"/>
    <m/>
    <x v="0"/>
    <x v="0"/>
    <x v="0"/>
  </r>
  <r>
    <s v="TXN-00554"/>
    <d v="2024-04-27T00:00:00"/>
    <x v="1"/>
    <x v="9"/>
    <n v="6200"/>
    <s v="Water utility"/>
    <s v="WATER UTILITY"/>
    <n v="-245.17"/>
    <n v="-245.17"/>
    <n v="-245.17"/>
    <n v="245.17"/>
    <m/>
    <x v="0"/>
    <x v="0"/>
    <x v="1"/>
  </r>
  <r>
    <s v="TXN-00555"/>
    <d v="2024-08-06T00:00:00"/>
    <x v="2"/>
    <x v="7"/>
    <n v="4900"/>
    <s v="Savings interest"/>
    <s v="SAVINGS INTEREST"/>
    <n v="107.98"/>
    <n v="107.98"/>
    <n v="107.98"/>
    <n v="107.98"/>
    <m/>
    <x v="0"/>
    <x v="0"/>
    <x v="0"/>
  </r>
  <r>
    <s v="TXN-00556"/>
    <d v="2024-03-29T00:00:00"/>
    <x v="8"/>
    <x v="6"/>
    <n v="6400"/>
    <s v="Hotel accommodation"/>
    <s v="HOTEL ACCOMMODATION"/>
    <n v="-605.08000000000004"/>
    <n v="-605.08000000000004"/>
    <n v="-605.08000000000004"/>
    <n v="605.08000000000004"/>
    <m/>
    <x v="0"/>
    <x v="0"/>
    <x v="0"/>
  </r>
  <r>
    <s v="TXN-00557"/>
    <d v="2024-11-29T00:00:00"/>
    <x v="7"/>
    <x v="1"/>
    <n v="6500"/>
    <s v="Print advertising"/>
    <s v="PRINT ADVERTISING"/>
    <n v="-6760.25"/>
    <n v="-6760.25"/>
    <n v="-6760.25"/>
    <n v="6760.25"/>
    <m/>
    <x v="0"/>
    <x v="0"/>
    <x v="0"/>
  </r>
  <r>
    <s v="TXN-00558"/>
    <d v="2024-06-24T00:00:00"/>
    <x v="3"/>
    <x v="4"/>
    <n v="6900"/>
    <s v="Account maintenance fee"/>
    <s v="ACCOUNT MAINTENANCE FE"/>
    <n v="-52.88"/>
    <n v="-52.88"/>
    <n v="-52.88"/>
    <n v="52.88"/>
    <m/>
    <x v="0"/>
    <x v="0"/>
    <x v="0"/>
  </r>
  <r>
    <s v="TXN-00559"/>
    <d v="2024-11-11T00:00:00"/>
    <x v="7"/>
    <x v="1"/>
    <n v="6500"/>
    <s v="Print advertising"/>
    <s v="PRINT ADVERTISING"/>
    <n v="-6872.82"/>
    <n v="-6872.82"/>
    <n v="-6872.82"/>
    <n v="6872.82"/>
    <m/>
    <x v="0"/>
    <x v="0"/>
    <x v="0"/>
  </r>
  <r>
    <s v="TXN-00560"/>
    <d v="2024-09-06T00:00:00"/>
    <x v="11"/>
    <x v="4"/>
    <n v="6900"/>
    <s v="Card processing fee"/>
    <s v="CARD PROCESSING FEE"/>
    <n v="-16.27"/>
    <n v="-16.27"/>
    <n v="-16.27"/>
    <n v="16.27"/>
    <m/>
    <x v="0"/>
    <x v="0"/>
    <x v="0"/>
  </r>
  <r>
    <s v="TXN-00561"/>
    <d v="2024-05-01T00:00:00"/>
    <x v="5"/>
    <x v="6"/>
    <n v="6400"/>
    <s v="Hotel accommodation"/>
    <s v="HOTEL ACCOMMODATION"/>
    <n v="-1132.22"/>
    <n v="-1132.22"/>
    <n v="-1132.22"/>
    <n v="1132.22"/>
    <m/>
    <x v="0"/>
    <x v="0"/>
    <x v="0"/>
  </r>
  <r>
    <s v="TXN-00562"/>
    <d v="2024-03-24T00:00:00"/>
    <x v="8"/>
    <x v="0"/>
    <n v="4000"/>
    <s v="Product sale"/>
    <s v="PRODUCT SALE"/>
    <n v="5807.25"/>
    <n v="5807.25"/>
    <n v="5807.25"/>
    <n v="5807.25"/>
    <m/>
    <x v="0"/>
    <x v="0"/>
    <x v="0"/>
  </r>
  <r>
    <s v="TXN-00563"/>
    <d v="2024-09-28T00:00:00"/>
    <x v="11"/>
    <x v="3"/>
    <n v="6300"/>
    <s v="Printer consumables"/>
    <s v="PRINTER CONSUMABLES"/>
    <n v="-820.62"/>
    <n v="-820.62"/>
    <n v="-820.62"/>
    <n v="820.62"/>
    <m/>
    <x v="0"/>
    <x v="0"/>
    <x v="0"/>
  </r>
  <r>
    <s v="TXN-00564"/>
    <d v="2024-04-30T00:00:00"/>
    <x v="1"/>
    <x v="8"/>
    <n v="5100"/>
    <s v="Contractor fee"/>
    <s v="CONTRACTOR FEE"/>
    <n v="-4566.28"/>
    <n v="-4566.28"/>
    <n v="-4566.28"/>
    <n v="4566.28"/>
    <m/>
    <x v="0"/>
    <x v="0"/>
    <x v="0"/>
  </r>
  <r>
    <s v="TXN-00565"/>
    <d v="2024-03-31T00:00:00"/>
    <x v="8"/>
    <x v="4"/>
    <n v="6900"/>
    <s v="Card processing fee"/>
    <s v="CARD PROCESSING FEE"/>
    <n v="-47.03"/>
    <n v="-47.03"/>
    <n v="-47.03"/>
    <n v="47.03"/>
    <m/>
    <x v="0"/>
    <x v="0"/>
    <x v="0"/>
  </r>
  <r>
    <s v="TXN-00566"/>
    <d v="2024-12-05T00:00:00"/>
    <x v="6"/>
    <x v="5"/>
    <n v="6000"/>
    <s v="Payroll transfer"/>
    <s v="PAYROLL TRANSFER"/>
    <n v="-7320"/>
    <n v="-7320"/>
    <n v="-7320"/>
    <n v="7320"/>
    <m/>
    <x v="0"/>
    <x v="0"/>
    <x v="0"/>
  </r>
  <r>
    <s v="TXN-00567"/>
    <d v="2024-06-25T00:00:00"/>
    <x v="3"/>
    <x v="5"/>
    <n v="6000"/>
    <s v="Monthly salary run"/>
    <s v="MONTHLY SALARY RUN"/>
    <n v="-7908.52"/>
    <n v="-7908.52"/>
    <n v="-7908.52"/>
    <n v="7908.52"/>
    <m/>
    <x v="0"/>
    <x v="0"/>
    <x v="0"/>
  </r>
  <r>
    <s v="TXN-00568"/>
    <d v="2024-01-18T00:00:00"/>
    <x v="9"/>
    <x v="5"/>
    <n v="6000"/>
    <s v="Payroll transfer"/>
    <s v="PAYROLL TRANSFER"/>
    <n v="-8047.24"/>
    <n v="-8047.24"/>
    <n v="-8047.24"/>
    <n v="8047.24"/>
    <m/>
    <x v="0"/>
    <x v="0"/>
    <x v="0"/>
  </r>
  <r>
    <s v="TXN-00569"/>
    <d v="2024-06-29T00:00:00"/>
    <x v="3"/>
    <x v="2"/>
    <n v="6100"/>
    <s v="Rent payment"/>
    <s v="RENT PAYMENT"/>
    <n v="-4406.41"/>
    <n v="-4406.41"/>
    <n v="-4406.41"/>
    <n v="4406.41"/>
    <m/>
    <x v="0"/>
    <x v="0"/>
    <x v="0"/>
  </r>
  <r>
    <s v="TXN-00570"/>
    <d v="2024-06-17T00:00:00"/>
    <x v="3"/>
    <x v="6"/>
    <n v="6400"/>
    <s v="Business trip - airfare"/>
    <s v="BUSINESS TRIP - AIRFAR"/>
    <n v="-2387.65"/>
    <n v="-2387.65"/>
    <n v="-2387.65"/>
    <n v="2387.65"/>
    <m/>
    <x v="0"/>
    <x v="0"/>
    <x v="0"/>
  </r>
  <r>
    <s v="TXN-00571"/>
    <d v="2024-11-11T00:00:00"/>
    <x v="7"/>
    <x v="7"/>
    <n v="4900"/>
    <s v="Savings interest"/>
    <s v="SAVINGS INTEREST"/>
    <n v="34.26"/>
    <n v="34.26"/>
    <n v="34.26"/>
    <n v="34.26"/>
    <m/>
    <x v="0"/>
    <x v="0"/>
    <x v="0"/>
  </r>
  <r>
    <s v="TXN-00572"/>
    <d v="2024-09-16T00:00:00"/>
    <x v="11"/>
    <x v="3"/>
    <n v="6300"/>
    <s v="Office equipment"/>
    <s v="OFFICE EQUIPMENT"/>
    <n v="-413.22"/>
    <n v="-413.22"/>
    <n v="-413.22"/>
    <n v="413.22"/>
    <m/>
    <x v="0"/>
    <x v="0"/>
    <x v="0"/>
  </r>
  <r>
    <s v="TXN-00573"/>
    <d v="2024-03-10T00:00:00"/>
    <x v="8"/>
    <x v="5"/>
    <n v="6000"/>
    <s v="Monthly salary run"/>
    <s v="MONTHLY SALARY RUN"/>
    <n v="-2410.4699999999998"/>
    <n v="-2410.4699999999998"/>
    <n v="-2410.4699999999998"/>
    <n v="2410.4699999999998"/>
    <m/>
    <x v="0"/>
    <x v="0"/>
    <x v="0"/>
  </r>
  <r>
    <s v="TXN-00574"/>
    <d v="2024-02-24T00:00:00"/>
    <x v="0"/>
    <x v="0"/>
    <n v="4000"/>
    <s v="Customer deposit"/>
    <s v="CUSTOMER DEPOSIT"/>
    <n v="5948.01"/>
    <n v="5948.01"/>
    <n v="5948.01"/>
    <n v="5948.01"/>
    <m/>
    <x v="0"/>
    <x v="0"/>
    <x v="0"/>
  </r>
  <r>
    <s v="TXN-00575"/>
    <d v="2024-08-08T00:00:00"/>
    <x v="2"/>
    <x v="0"/>
    <n v="4000"/>
    <s v="Invoice payment received"/>
    <s v="INVOICE PAYMENT RECEIV"/>
    <n v="18701.2"/>
    <n v="18701.2"/>
    <n v="18701.2"/>
    <n v="18701.2"/>
    <m/>
    <x v="0"/>
    <x v="0"/>
    <x v="0"/>
  </r>
  <r>
    <s v="TXN-00576"/>
    <d v="2024-01-18T00:00:00"/>
    <x v="9"/>
    <x v="9"/>
    <n v="6200"/>
    <s v="Water utility"/>
    <s v="WATER UTILITY"/>
    <n v="-322.62"/>
    <n v="-322.62"/>
    <n v="-322.62"/>
    <n v="322.62"/>
    <m/>
    <x v="0"/>
    <x v="0"/>
    <x v="0"/>
  </r>
  <r>
    <s v="TXN-00577"/>
    <d v="2024-04-26T00:00:00"/>
    <x v="1"/>
    <x v="7"/>
    <n v="4900"/>
    <s v="Interest accrual"/>
    <s v="INTEREST ACCRUAL"/>
    <n v="220.59"/>
    <n v="220.59"/>
    <n v="220.59"/>
    <n v="220.59"/>
    <m/>
    <x v="0"/>
    <x v="0"/>
    <x v="0"/>
  </r>
  <r>
    <s v="TXN-00578"/>
    <d v="2024-02-20T00:00:00"/>
    <x v="0"/>
    <x v="6"/>
    <n v="6400"/>
    <s v="Hotel accommodation"/>
    <s v="HOTEL ACCOMMODATION"/>
    <n v="-2680.64"/>
    <n v="-2680.64"/>
    <n v="-2680.64"/>
    <n v="2680.64"/>
    <m/>
    <x v="0"/>
    <x v="0"/>
    <x v="0"/>
  </r>
  <r>
    <s v="TXN-00579"/>
    <d v="2024-01-08T00:00:00"/>
    <x v="9"/>
    <x v="4"/>
    <n v="6900"/>
    <s v="Card processing fee"/>
    <s v="CARD PROCESSING FEE"/>
    <n v="-77.38"/>
    <n v="-773.8"/>
    <n v="-77.38"/>
    <n v="77.38"/>
    <n v="696.42"/>
    <x v="1"/>
    <x v="1"/>
    <x v="0"/>
  </r>
  <r>
    <s v="TXN-00580"/>
    <d v="2024-12-01T00:00:00"/>
    <x v="6"/>
    <x v="8"/>
    <n v="5100"/>
    <s v="Vendor payment - materials"/>
    <s v="VENDOR PAYMENT - MATER"/>
    <n v="-9371.85"/>
    <n v="-9371.85"/>
    <n v="-9371.85"/>
    <n v="9371.85"/>
    <m/>
    <x v="0"/>
    <x v="0"/>
    <x v="0"/>
  </r>
  <r>
    <s v="TXN-00581"/>
    <d v="2024-02-02T00:00:00"/>
    <x v="0"/>
    <x v="0"/>
    <n v="4000"/>
    <s v="Product sale"/>
    <s v="PRODUCT SALE"/>
    <n v="12549.41"/>
    <n v="12549.41"/>
    <n v="12549.41"/>
    <n v="12549.41"/>
    <m/>
    <x v="0"/>
    <x v="0"/>
    <x v="0"/>
  </r>
  <r>
    <s v="TXN-00582"/>
    <d v="2024-01-04T00:00:00"/>
    <x v="9"/>
    <x v="4"/>
    <n v="6900"/>
    <s v="Card processing fee"/>
    <s v="CARD PROCESSING FEE"/>
    <n v="-81.66"/>
    <n v="-81.66"/>
    <n v="-81.66"/>
    <n v="81.66"/>
    <m/>
    <x v="0"/>
    <x v="0"/>
    <x v="0"/>
  </r>
  <r>
    <s v="TXN-00583"/>
    <d v="2024-12-06T00:00:00"/>
    <x v="6"/>
    <x v="8"/>
    <n v="5100"/>
    <s v="Vendor payment - materials"/>
    <s v="VENDOR PAYMENT - MATER"/>
    <n v="-11115.22"/>
    <n v="-11490.6"/>
    <n v="-11115.22"/>
    <n v="11115.22"/>
    <n v="375.38"/>
    <x v="1"/>
    <x v="1"/>
    <x v="0"/>
  </r>
  <r>
    <s v="TXN-00584"/>
    <d v="2024-03-09T00:00:00"/>
    <x v="8"/>
    <x v="0"/>
    <n v="4000"/>
    <s v="Customer deposit"/>
    <s v="CUSTOMER DEPOSIT"/>
    <n v="2260.33"/>
    <n v="2260.33"/>
    <n v="2260.33"/>
    <n v="2260.33"/>
    <m/>
    <x v="0"/>
    <x v="0"/>
    <x v="0"/>
  </r>
  <r>
    <s v="TXN-00585"/>
    <d v="2024-10-25T00:00:00"/>
    <x v="4"/>
    <x v="3"/>
    <n v="6300"/>
    <s v="Printer consumables"/>
    <s v="PRINTER CONSUMABLES"/>
    <n v="-443.8"/>
    <n v="-443.8"/>
    <n v="-443.8"/>
    <n v="443.8"/>
    <m/>
    <x v="0"/>
    <x v="0"/>
    <x v="0"/>
  </r>
  <r>
    <s v="TXN-00586"/>
    <d v="2024-01-12T00:00:00"/>
    <x v="9"/>
    <x v="7"/>
    <n v="4900"/>
    <s v="Savings interest"/>
    <s v="SAVINGS INTEREST"/>
    <n v="369.07"/>
    <n v="369.07"/>
    <n v="369.07"/>
    <n v="369.07"/>
    <m/>
    <x v="0"/>
    <x v="0"/>
    <x v="0"/>
  </r>
  <r>
    <s v="TXN-00587"/>
    <d v="2024-02-26T00:00:00"/>
    <x v="0"/>
    <x v="2"/>
    <n v="6100"/>
    <s v="Warehouse lease"/>
    <s v="WAREHOUSE LEASE"/>
    <n v="-3235.27"/>
    <n v="-3235.27"/>
    <n v="-3235.27"/>
    <n v="3235.27"/>
    <m/>
    <x v="0"/>
    <x v="0"/>
    <x v="0"/>
  </r>
  <r>
    <s v="TXN-00588"/>
    <d v="2024-02-10T00:00:00"/>
    <x v="0"/>
    <x v="0"/>
    <n v="4000"/>
    <s v="Customer deposit"/>
    <s v="CUSTOMER DEPOSIT"/>
    <n v="24073.9"/>
    <n v="24073.9"/>
    <n v="24073.9"/>
    <n v="24073.9"/>
    <m/>
    <x v="0"/>
    <x v="0"/>
    <x v="0"/>
  </r>
  <r>
    <s v="TXN-00589"/>
    <d v="2024-09-14T00:00:00"/>
    <x v="11"/>
    <x v="4"/>
    <n v="6900"/>
    <s v="Wire transfer fee"/>
    <s v="WIRE TRANSFER FEE"/>
    <n v="-31.23"/>
    <n v="-31.23"/>
    <n v="-31.23"/>
    <n v="31.23"/>
    <m/>
    <x v="0"/>
    <x v="0"/>
    <x v="0"/>
  </r>
  <r>
    <s v="TXN-00590"/>
    <d v="2024-08-14T00:00:00"/>
    <x v="2"/>
    <x v="4"/>
    <n v="6900"/>
    <s v="Wire transfer fee"/>
    <s v="WIRE TRANSFER FEE"/>
    <n v="-36.450000000000003"/>
    <n v="-36.450000000000003"/>
    <n v="-36.450000000000003"/>
    <n v="36.450000000000003"/>
    <m/>
    <x v="0"/>
    <x v="0"/>
    <x v="0"/>
  </r>
  <r>
    <s v="TXN-00591"/>
    <d v="2024-06-22T00:00:00"/>
    <x v="3"/>
    <x v="4"/>
    <n v="6900"/>
    <s v="Account maintenance fee"/>
    <s v="ACCOUNT MAINTENANCE FE"/>
    <n v="-5.08"/>
    <n v="-5.08"/>
    <n v="-5.08"/>
    <n v="5.08"/>
    <m/>
    <x v="0"/>
    <x v="0"/>
    <x v="0"/>
  </r>
  <r>
    <s v="TXN-00592"/>
    <d v="2024-03-29T00:00:00"/>
    <x v="8"/>
    <x v="7"/>
    <n v="4900"/>
    <s v="Deposit interest credit"/>
    <s v="DEPOSIT INTEREST CREDI"/>
    <n v="175.62"/>
    <n v="175.62"/>
    <n v="175.62"/>
    <n v="175.62"/>
    <m/>
    <x v="0"/>
    <x v="0"/>
    <x v="0"/>
  </r>
  <r>
    <s v="TXN-00593"/>
    <d v="2024-02-02T00:00:00"/>
    <x v="0"/>
    <x v="5"/>
    <n v="6000"/>
    <s v="Payroll transfer"/>
    <s v="PAYROLL TRANSFER"/>
    <n v="-9201.4"/>
    <n v="-9201.4"/>
    <n v="-9201.4"/>
    <n v="9201.4"/>
    <m/>
    <x v="0"/>
    <x v="0"/>
    <x v="0"/>
  </r>
  <r>
    <s v="TXN-00594"/>
    <d v="2024-07-26T00:00:00"/>
    <x v="10"/>
    <x v="7"/>
    <n v="4900"/>
    <s v="Interest accrual"/>
    <s v="INTEREST ACCRUAL"/>
    <n v="17.7"/>
    <n v="17.7"/>
    <n v="17.7"/>
    <n v="17.7"/>
    <m/>
    <x v="0"/>
    <x v="0"/>
    <x v="0"/>
  </r>
  <r>
    <s v="TXN-00595"/>
    <d v="2024-03-25T00:00:00"/>
    <x v="8"/>
    <x v="9"/>
    <n v="6200"/>
    <s v="Electricity bill"/>
    <s v="ELECTRICITY BILL"/>
    <n v="-227.43"/>
    <n v="-227.43"/>
    <n v="-227.43"/>
    <n v="227.43"/>
    <m/>
    <x v="0"/>
    <x v="0"/>
    <x v="0"/>
  </r>
  <r>
    <s v="TXN-00596"/>
    <d v="2024-08-03T00:00:00"/>
    <x v="2"/>
    <x v="4"/>
    <n v="6900"/>
    <s v="Wire transfer fee"/>
    <s v="WIRE TRANSFER FEE"/>
    <n v="-141.46"/>
    <n v="-141.46"/>
    <n v="-141.46"/>
    <n v="141.46"/>
    <m/>
    <x v="0"/>
    <x v="0"/>
    <x v="0"/>
  </r>
  <r>
    <s v="TXN-00597"/>
    <d v="2024-09-07T00:00:00"/>
    <x v="11"/>
    <x v="6"/>
    <n v="6400"/>
    <s v="Hotel accommodation"/>
    <s v="HOTEL ACCOMMODATION"/>
    <n v="-2223.11"/>
    <n v="-2223.11"/>
    <n v="-2223.11"/>
    <n v="2223.11"/>
    <m/>
    <x v="0"/>
    <x v="0"/>
    <x v="0"/>
  </r>
  <r>
    <s v="TXN-00598"/>
    <d v="2024-11-06T00:00:00"/>
    <x v="7"/>
    <x v="1"/>
    <n v="6500"/>
    <s v="Online ad campaign"/>
    <s v="ONLINE AD CAMPAIGN"/>
    <n v="-2710.97"/>
    <n v="-2710.97"/>
    <n v="-2710.97"/>
    <n v="2710.97"/>
    <m/>
    <x v="0"/>
    <x v="0"/>
    <x v="0"/>
  </r>
  <r>
    <s v="TXN-00599"/>
    <d v="2024-06-29T00:00:00"/>
    <x v="3"/>
    <x v="2"/>
    <n v="6100"/>
    <s v="Warehouse lease"/>
    <s v="WAREHOUSE LEASE"/>
    <n v="-2943.74"/>
    <n v="-2943.74"/>
    <n v="-2943.74"/>
    <n v="2943.74"/>
    <m/>
    <x v="0"/>
    <x v="0"/>
    <x v="0"/>
  </r>
  <r>
    <s v="TXN-00600"/>
    <d v="2024-01-02T00:00:00"/>
    <x v="9"/>
    <x v="2"/>
    <n v="6100"/>
    <s v="Warehouse lease"/>
    <s v="WAREHOUSE LEASE"/>
    <n v="-4750.1400000000003"/>
    <n v="-4750.1400000000003"/>
    <n v="-4750.1400000000003"/>
    <n v="4750.1400000000003"/>
    <m/>
    <x v="0"/>
    <x v="0"/>
    <x v="0"/>
  </r>
  <r>
    <s v="TXN-00601"/>
    <d v="2024-04-12T00:00:00"/>
    <x v="1"/>
    <x v="2"/>
    <n v="6100"/>
    <s v="Monthly office rent"/>
    <s v="MONTHLY OFFICE RENT"/>
    <n v="-5510.12"/>
    <n v="-5510.12"/>
    <n v="-5510.12"/>
    <n v="5510.12"/>
    <m/>
    <x v="0"/>
    <x v="0"/>
    <x v="0"/>
  </r>
  <r>
    <s v="TXN-00602"/>
    <d v="2024-11-07T00:00:00"/>
    <x v="7"/>
    <x v="1"/>
    <n v="6500"/>
    <s v="Online ad campaign"/>
    <s v="ONLINE AD CAMPAIGN"/>
    <n v="-4076.65"/>
    <n v="-4076.65"/>
    <n v="-4076.65"/>
    <n v="4076.65"/>
    <m/>
    <x v="0"/>
    <x v="0"/>
    <x v="0"/>
  </r>
  <r>
    <s v="TXN-00603"/>
    <d v="2024-07-13T00:00:00"/>
    <x v="10"/>
    <x v="1"/>
    <n v="6500"/>
    <s v="Online ad campaign"/>
    <s v="ONLINE AD CAMPAIGN"/>
    <n v="-6820.38"/>
    <n v="-6820.38"/>
    <n v="-6820.38"/>
    <n v="6820.38"/>
    <m/>
    <x v="0"/>
    <x v="0"/>
    <x v="0"/>
  </r>
  <r>
    <s v="TXN-00604"/>
    <d v="2024-08-13T00:00:00"/>
    <x v="2"/>
    <x v="8"/>
    <n v="5100"/>
    <s v="Contractor fee"/>
    <s v="CONTRACTOR FEE"/>
    <n v="-14982.66"/>
    <n v="-14982.66"/>
    <n v="-14982.66"/>
    <n v="14982.66"/>
    <m/>
    <x v="0"/>
    <x v="0"/>
    <x v="0"/>
  </r>
  <r>
    <s v="TXN-00605"/>
    <d v="2024-06-16T00:00:00"/>
    <x v="3"/>
    <x v="4"/>
    <n v="6900"/>
    <s v="Card processing fee"/>
    <s v="CARD PROCESSING FEE"/>
    <n v="-46.6"/>
    <n v="-46.6"/>
    <n v="-46.6"/>
    <n v="46.6"/>
    <m/>
    <x v="0"/>
    <x v="0"/>
    <x v="0"/>
  </r>
  <r>
    <s v="TXN-00606"/>
    <d v="2024-02-29T00:00:00"/>
    <x v="0"/>
    <x v="6"/>
    <n v="6400"/>
    <s v="Business trip - airfare"/>
    <s v="BUSINESS TRIP - AIRFAR"/>
    <n v="-936.48"/>
    <n v="-936.48"/>
    <n v="-936.48"/>
    <n v="936.48"/>
    <m/>
    <x v="0"/>
    <x v="0"/>
    <x v="0"/>
  </r>
  <r>
    <s v="TXN-00607"/>
    <d v="2024-11-23T00:00:00"/>
    <x v="7"/>
    <x v="9"/>
    <n v="6200"/>
    <s v="Internet &amp; telecom"/>
    <s v="INTERNET &amp; TELECOM"/>
    <n v="-719.81"/>
    <n v="-719.81"/>
    <n v="-719.81"/>
    <n v="719.81"/>
    <m/>
    <x v="0"/>
    <x v="0"/>
    <x v="0"/>
  </r>
  <r>
    <s v="TXN-00608"/>
    <d v="2024-10-09T00:00:00"/>
    <x v="4"/>
    <x v="6"/>
    <n v="6400"/>
    <s v="Business trip - airfare"/>
    <s v="BUSINESS TRIP - AIRFAR"/>
    <n v="-3477.85"/>
    <n v="-3477.85"/>
    <n v="-3477.85"/>
    <n v="3477.85"/>
    <m/>
    <x v="0"/>
    <x v="0"/>
    <x v="0"/>
  </r>
  <r>
    <s v="TXN-00609"/>
    <d v="2024-12-29T00:00:00"/>
    <x v="6"/>
    <x v="7"/>
    <n v="4900"/>
    <s v="Deposit interest credit"/>
    <s v="DEPOSIT INTEREST CREDI"/>
    <n v="213.08"/>
    <n v="213.08"/>
    <n v="213.08"/>
    <n v="213.08"/>
    <m/>
    <x v="0"/>
    <x v="0"/>
    <x v="0"/>
  </r>
  <r>
    <s v="TXN-00610"/>
    <d v="2024-11-08T00:00:00"/>
    <x v="7"/>
    <x v="4"/>
    <n v="6900"/>
    <s v="Card processing fee"/>
    <s v="CARD PROCESSING FEE"/>
    <n v="-97.66"/>
    <n v="-97.66"/>
    <n v="-97.66"/>
    <n v="97.66"/>
    <m/>
    <x v="0"/>
    <x v="0"/>
    <x v="0"/>
  </r>
  <r>
    <s v="TXN-00611"/>
    <d v="2024-04-16T00:00:00"/>
    <x v="1"/>
    <x v="4"/>
    <n v="6900"/>
    <s v="Card processing fee"/>
    <s v="CARD PROCESSING FEE"/>
    <n v="-140.28"/>
    <n v="-140.28"/>
    <n v="-140.28"/>
    <n v="140.28"/>
    <m/>
    <x v="0"/>
    <x v="0"/>
    <x v="0"/>
  </r>
  <r>
    <s v="TXN-00612"/>
    <d v="2024-04-02T00:00:00"/>
    <x v="1"/>
    <x v="3"/>
    <n v="6300"/>
    <s v="Office equipment"/>
    <s v="OFFICE EQUIPMENT"/>
    <n v="-199.4"/>
    <n v="-199.4"/>
    <n v="-199.4"/>
    <n v="199.4"/>
    <m/>
    <x v="0"/>
    <x v="0"/>
    <x v="0"/>
  </r>
  <r>
    <s v="TXN-00613"/>
    <d v="2024-03-31T00:00:00"/>
    <x v="8"/>
    <x v="1"/>
    <n v="6500"/>
    <s v="Trade fair booth"/>
    <s v="TRADE FAIR BOOTH"/>
    <n v="-6687.77"/>
    <n v="-6687.77"/>
    <n v="-6687.77"/>
    <n v="6687.77"/>
    <m/>
    <x v="0"/>
    <x v="0"/>
    <x v="0"/>
  </r>
  <r>
    <s v="TXN-00614"/>
    <d v="2024-12-01T00:00:00"/>
    <x v="6"/>
    <x v="9"/>
    <n v="6200"/>
    <s v="Water utility"/>
    <s v="WATER UTILITY"/>
    <n v="-398.68"/>
    <n v="-398.68"/>
    <n v="-398.68"/>
    <n v="398.68"/>
    <m/>
    <x v="0"/>
    <x v="0"/>
    <x v="0"/>
  </r>
  <r>
    <s v="TXN-00615"/>
    <d v="2024-07-22T00:00:00"/>
    <x v="10"/>
    <x v="2"/>
    <n v="6100"/>
    <s v="Rent payment"/>
    <s v="RENT PAYMENT"/>
    <n v="-5925.23"/>
    <n v="-5925.23"/>
    <n v="-5925.23"/>
    <n v="5925.23"/>
    <m/>
    <x v="0"/>
    <x v="0"/>
    <x v="0"/>
  </r>
  <r>
    <s v="TXN-00616"/>
    <d v="2024-06-14T00:00:00"/>
    <x v="3"/>
    <x v="2"/>
    <n v="6100"/>
    <s v="Warehouse lease"/>
    <s v="WAREHOUSE LEASE"/>
    <n v="-5922.24"/>
    <n v="-5971.2"/>
    <n v="-5922.24"/>
    <n v="5922.24"/>
    <n v="48.96"/>
    <x v="1"/>
    <x v="1"/>
    <x v="0"/>
  </r>
  <r>
    <s v="TXN-00617"/>
    <d v="2024-12-19T00:00:00"/>
    <x v="6"/>
    <x v="5"/>
    <n v="6000"/>
    <s v="Employee wages"/>
    <s v="EMPLOYEE WAGES"/>
    <n v="-9883.7099999999991"/>
    <n v="-9883.7099999999991"/>
    <n v="-9883.7099999999991"/>
    <n v="9883.7099999999991"/>
    <m/>
    <x v="0"/>
    <x v="0"/>
    <x v="0"/>
  </r>
  <r>
    <s v="TXN-00618"/>
    <d v="2024-08-08T00:00:00"/>
    <x v="2"/>
    <x v="5"/>
    <n v="6000"/>
    <s v="Employee wages"/>
    <s v="EMPLOYEE WAGES"/>
    <n v="-4325.87"/>
    <n v="-4325.87"/>
    <n v="-4325.87"/>
    <n v="4325.87"/>
    <m/>
    <x v="0"/>
    <x v="0"/>
    <x v="0"/>
  </r>
  <r>
    <s v="TXN-00619"/>
    <d v="2024-11-27T00:00:00"/>
    <x v="7"/>
    <x v="0"/>
    <n v="4000"/>
    <s v="Invoice payment received"/>
    <s v="INVOICE PAYMENT RECEIV"/>
    <n v="13908.43"/>
    <n v="13908.43"/>
    <n v="13908.43"/>
    <n v="13908.43"/>
    <m/>
    <x v="0"/>
    <x v="0"/>
    <x v="0"/>
  </r>
  <r>
    <s v="TXN-00620"/>
    <d v="2024-12-25T00:00:00"/>
    <x v="6"/>
    <x v="8"/>
    <n v="5100"/>
    <s v="Supplier invoice"/>
    <s v="SUPPLIER INVOICE"/>
    <n v="-8499.51"/>
    <n v="-8499.51"/>
    <n v="-8499.51"/>
    <n v="8499.51"/>
    <m/>
    <x v="0"/>
    <x v="0"/>
    <x v="0"/>
  </r>
  <r>
    <s v="TXN-00621"/>
    <d v="2024-01-29T00:00:00"/>
    <x v="9"/>
    <x v="3"/>
    <n v="6300"/>
    <s v="Stationery purchase"/>
    <s v="STATIONERY PURCHASE"/>
    <n v="-580.27"/>
    <n v="-580.27"/>
    <n v="-580.27"/>
    <n v="580.27"/>
    <m/>
    <x v="0"/>
    <x v="0"/>
    <x v="0"/>
  </r>
  <r>
    <s v="TXN-00622"/>
    <d v="2024-05-11T00:00:00"/>
    <x v="5"/>
    <x v="3"/>
    <n v="6300"/>
    <s v="Printer consumables"/>
    <s v="PRINTER CONSUMABLES"/>
    <n v="-379.32"/>
    <n v="-379.32"/>
    <n v="-379.32"/>
    <n v="379.32"/>
    <m/>
    <x v="0"/>
    <x v="0"/>
    <x v="0"/>
  </r>
  <r>
    <s v="TXN-00623"/>
    <d v="2024-09-24T00:00:00"/>
    <x v="11"/>
    <x v="8"/>
    <n v="5100"/>
    <s v="Contractor fee"/>
    <s v="CONTRACTOR FEE"/>
    <n v="-5136.54"/>
    <n v="-5136.54"/>
    <n v="-5136.54"/>
    <n v="5136.54"/>
    <m/>
    <x v="0"/>
    <x v="0"/>
    <x v="0"/>
  </r>
  <r>
    <s v="TXN-00624"/>
    <d v="2024-10-23T00:00:00"/>
    <x v="4"/>
    <x v="3"/>
    <n v="6300"/>
    <s v="Office equipment"/>
    <s v="OFFICE EQUIPMENT"/>
    <n v="-311"/>
    <n v="-311"/>
    <n v="-311"/>
    <n v="311"/>
    <m/>
    <x v="0"/>
    <x v="0"/>
    <x v="0"/>
  </r>
  <r>
    <s v="TXN-00625"/>
    <d v="2024-02-24T00:00:00"/>
    <x v="0"/>
    <x v="2"/>
    <n v="6100"/>
    <s v="Warehouse lease"/>
    <s v="WAREHOUSE LEASE"/>
    <n v="-1781.3"/>
    <n v="-1781.3"/>
    <n v="-1781.3"/>
    <n v="1781.3"/>
    <m/>
    <x v="0"/>
    <x v="0"/>
    <x v="0"/>
  </r>
  <r>
    <s v="TXN-00626"/>
    <d v="2024-04-26T00:00:00"/>
    <x v="1"/>
    <x v="5"/>
    <n v="6000"/>
    <s v="Monthly salary run"/>
    <s v="MONTHLY SALARY RUN"/>
    <n v="-10430.469999999999"/>
    <n v="-10430.469999999999"/>
    <n v="-10430.469999999999"/>
    <n v="10430.469999999999"/>
    <m/>
    <x v="0"/>
    <x v="0"/>
    <x v="0"/>
  </r>
  <r>
    <s v="TXN-00627"/>
    <d v="2024-07-19T00:00:00"/>
    <x v="10"/>
    <x v="9"/>
    <n v="6200"/>
    <s v="Internet &amp; telecom"/>
    <s v="INTERNET &amp; TELECOM"/>
    <n v="-312.05"/>
    <n v="-312.05"/>
    <n v="-312.05"/>
    <n v="312.05"/>
    <m/>
    <x v="0"/>
    <x v="0"/>
    <x v="0"/>
  </r>
  <r>
    <s v="TXN-00628"/>
    <d v="2024-10-18T00:00:00"/>
    <x v="4"/>
    <x v="9"/>
    <n v="6200"/>
    <s v="Water utility"/>
    <s v="WATER UTILITY"/>
    <n v="-923.24"/>
    <n v="-923.24"/>
    <n v="-923.24"/>
    <n v="923.24"/>
    <m/>
    <x v="0"/>
    <x v="0"/>
    <x v="0"/>
  </r>
  <r>
    <s v="TXN-00629"/>
    <d v="2024-02-11T00:00:00"/>
    <x v="0"/>
    <x v="6"/>
    <n v="6400"/>
    <s v="Hotel accommodation"/>
    <s v="HOTEL ACCOMMODATION"/>
    <n v="-152.35"/>
    <n v="-152.35"/>
    <n v="-152.35"/>
    <n v="152.35"/>
    <m/>
    <x v="0"/>
    <x v="0"/>
    <x v="0"/>
  </r>
  <r>
    <s v="TXN-00630"/>
    <d v="2024-08-07T00:00:00"/>
    <x v="2"/>
    <x v="9"/>
    <n v="6200"/>
    <s v="Water utility"/>
    <s v="WATER UTILITY"/>
    <n v="-413.82"/>
    <n v="-413.82"/>
    <n v="-413.82"/>
    <n v="413.82"/>
    <m/>
    <x v="0"/>
    <x v="0"/>
    <x v="0"/>
  </r>
  <r>
    <s v="TXN-00631"/>
    <d v="2024-04-18T00:00:00"/>
    <x v="1"/>
    <x v="1"/>
    <n v="6500"/>
    <s v="Online ad campaign"/>
    <s v="ONLINE AD CAMPAIGN"/>
    <n v="-5298.6"/>
    <n v="-5298.6"/>
    <n v="-5298.6"/>
    <n v="5298.6"/>
    <m/>
    <x v="0"/>
    <x v="0"/>
    <x v="0"/>
  </r>
  <r>
    <s v="TXN-00632"/>
    <d v="2024-03-19T00:00:00"/>
    <x v="8"/>
    <x v="9"/>
    <n v="6200"/>
    <s v="Electricity bill"/>
    <s v="ELECTRICITY BILL"/>
    <n v="-366.29"/>
    <n v="-366.29"/>
    <n v="-366.29"/>
    <n v="366.29"/>
    <m/>
    <x v="0"/>
    <x v="0"/>
    <x v="0"/>
  </r>
  <r>
    <s v="TXN-00633"/>
    <d v="2024-07-07T00:00:00"/>
    <x v="10"/>
    <x v="3"/>
    <n v="6300"/>
    <s v="Office equipment"/>
    <s v="OFFICE EQUIPMENT"/>
    <n v="-68.34"/>
    <n v="-68.34"/>
    <n v="-68.34"/>
    <n v="68.34"/>
    <m/>
    <x v="0"/>
    <x v="0"/>
    <x v="0"/>
  </r>
  <r>
    <s v="TXN-00634"/>
    <d v="2024-05-31T00:00:00"/>
    <x v="5"/>
    <x v="9"/>
    <n v="6200"/>
    <s v="Electricity bill"/>
    <s v="ELECTRICITY BILL"/>
    <n v="-718.99"/>
    <n v="-718.99"/>
    <n v="-718.99"/>
    <n v="718.99"/>
    <m/>
    <x v="0"/>
    <x v="0"/>
    <x v="0"/>
  </r>
  <r>
    <s v="TXN-00635"/>
    <d v="2024-08-20T00:00:00"/>
    <x v="2"/>
    <x v="8"/>
    <n v="5100"/>
    <s v="Contractor fee"/>
    <s v="CONTRACTOR FEE"/>
    <n v="-12762.12"/>
    <n v="-12762.12"/>
    <n v="-12762.12"/>
    <n v="12762.12"/>
    <m/>
    <x v="0"/>
    <x v="0"/>
    <x v="0"/>
  </r>
  <r>
    <s v="TXN-00636"/>
    <d v="2024-04-25T00:00:00"/>
    <x v="1"/>
    <x v="2"/>
    <n v="6100"/>
    <s v="Monthly office rent"/>
    <s v="MONTHLY OFFICE RENT"/>
    <n v="-1608.07"/>
    <n v="-1608.07"/>
    <n v="-1608.07"/>
    <n v="1608.07"/>
    <m/>
    <x v="0"/>
    <x v="0"/>
    <x v="0"/>
  </r>
  <r>
    <s v="TXN-00637"/>
    <d v="2024-10-27T00:00:00"/>
    <x v="4"/>
    <x v="5"/>
    <n v="6000"/>
    <s v="Payroll transfer"/>
    <s v="PAYROLL TRANSFER"/>
    <n v="-6169.22"/>
    <n v="-6169.22"/>
    <n v="-6169.22"/>
    <n v="6169.22"/>
    <m/>
    <x v="0"/>
    <x v="0"/>
    <x v="0"/>
  </r>
  <r>
    <s v="TXN-00638"/>
    <d v="2024-01-29T00:00:00"/>
    <x v="9"/>
    <x v="5"/>
    <n v="6000"/>
    <s v="Payroll transfer"/>
    <s v="PAYROLL TRANSFER"/>
    <n v="-6149.94"/>
    <n v="-6149.94"/>
    <n v="-6149.94"/>
    <n v="6149.94"/>
    <m/>
    <x v="0"/>
    <x v="0"/>
    <x v="0"/>
  </r>
  <r>
    <s v="TXN-00639"/>
    <d v="2024-11-10T00:00:00"/>
    <x v="7"/>
    <x v="1"/>
    <n v="6500"/>
    <s v="Trade fair booth"/>
    <s v="TRADE FAIR BOOTH"/>
    <n v="-6451.61"/>
    <n v="-6451.61"/>
    <n v="-6451.61"/>
    <n v="6451.61"/>
    <m/>
    <x v="0"/>
    <x v="0"/>
    <x v="0"/>
  </r>
  <r>
    <s v="TXN-00640"/>
    <d v="2024-01-11T00:00:00"/>
    <x v="9"/>
    <x v="7"/>
    <n v="4900"/>
    <s v="Deposit interest credit"/>
    <s v="DEPOSIT INTEREST CREDI"/>
    <n v="357.76"/>
    <n v="357.76"/>
    <n v="357.76"/>
    <n v="357.76"/>
    <m/>
    <x v="0"/>
    <x v="0"/>
    <x v="0"/>
  </r>
  <r>
    <s v="TXN-00641"/>
    <d v="2024-09-25T00:00:00"/>
    <x v="11"/>
    <x v="2"/>
    <n v="6100"/>
    <s v="Monthly office rent"/>
    <s v="MONTHLY OFFICE RENT"/>
    <n v="-1728.74"/>
    <n v="-1316.02"/>
    <n v="-1728.74"/>
    <n v="1728.74"/>
    <n v="-412.72"/>
    <x v="1"/>
    <x v="1"/>
    <x v="0"/>
  </r>
  <r>
    <s v="TXN-00642"/>
    <d v="2024-05-06T00:00:00"/>
    <x v="5"/>
    <x v="7"/>
    <n v="4900"/>
    <s v="Deposit interest credit"/>
    <s v="DEPOSIT INTEREST CREDI"/>
    <n v="362.04"/>
    <n v="362.04"/>
    <n v="362.04"/>
    <n v="362.04"/>
    <m/>
    <x v="0"/>
    <x v="0"/>
    <x v="0"/>
  </r>
  <r>
    <s v="TXN-00643"/>
    <d v="2024-05-19T00:00:00"/>
    <x v="5"/>
    <x v="4"/>
    <n v="6900"/>
    <s v="Wire transfer fee"/>
    <s v="WIRE TRANSFER FEE"/>
    <n v="-26.76"/>
    <n v="-26.76"/>
    <n v="-26.76"/>
    <n v="26.76"/>
    <m/>
    <x v="0"/>
    <x v="0"/>
    <x v="0"/>
  </r>
  <r>
    <s v="TXN-00644"/>
    <d v="2024-01-07T00:00:00"/>
    <x v="9"/>
    <x v="3"/>
    <n v="6300"/>
    <s v="Printer consumables"/>
    <s v="PRINTER CONSUMABLES"/>
    <n v="-198.46"/>
    <n v="-198.46"/>
    <n v="-198.46"/>
    <n v="198.46"/>
    <m/>
    <x v="0"/>
    <x v="0"/>
    <x v="0"/>
  </r>
  <r>
    <s v="TXN-00645"/>
    <d v="2024-09-13T00:00:00"/>
    <x v="11"/>
    <x v="1"/>
    <n v="6500"/>
    <s v="Print advertising"/>
    <s v="PRINT ADVERTISING"/>
    <n v="-5839.81"/>
    <n v="-5839.81"/>
    <n v="-5839.81"/>
    <n v="5839.81"/>
    <m/>
    <x v="0"/>
    <x v="0"/>
    <x v="0"/>
  </r>
  <r>
    <s v="TXN-00646"/>
    <d v="2024-03-01T00:00:00"/>
    <x v="8"/>
    <x v="9"/>
    <n v="6200"/>
    <s v="Water utility"/>
    <s v="WATER UTILITY"/>
    <n v="-739.34"/>
    <n v="-739.34"/>
    <n v="-739.34"/>
    <n v="739.34"/>
    <m/>
    <x v="0"/>
    <x v="0"/>
    <x v="0"/>
  </r>
  <r>
    <s v="TXN-00647"/>
    <d v="2024-08-28T00:00:00"/>
    <x v="2"/>
    <x v="3"/>
    <n v="6300"/>
    <s v="Office equipment"/>
    <s v="OFFICE EQUIPMENT"/>
    <n v="-454.78"/>
    <n v="-454.78"/>
    <n v="-454.78"/>
    <n v="454.78"/>
    <m/>
    <x v="0"/>
    <x v="0"/>
    <x v="0"/>
  </r>
  <r>
    <s v="TXN-00648"/>
    <d v="2024-09-21T00:00:00"/>
    <x v="11"/>
    <x v="6"/>
    <n v="6400"/>
    <s v="Hotel accommodation"/>
    <s v="HOTEL ACCOMMODATION"/>
    <n v="-1106.93"/>
    <n v="-1106.93"/>
    <n v="-1106.93"/>
    <n v="1106.93"/>
    <m/>
    <x v="0"/>
    <x v="0"/>
    <x v="0"/>
  </r>
  <r>
    <s v="TXN-00649"/>
    <d v="2024-11-04T00:00:00"/>
    <x v="7"/>
    <x v="7"/>
    <n v="4900"/>
    <s v="Interest accrual"/>
    <s v="INTEREST ACCRUAL"/>
    <n v="147.07"/>
    <n v="147.07"/>
    <n v="147.07"/>
    <n v="147.07"/>
    <m/>
    <x v="0"/>
    <x v="0"/>
    <x v="0"/>
  </r>
  <r>
    <s v="TXN-00650"/>
    <d v="2024-09-15T00:00:00"/>
    <x v="11"/>
    <x v="4"/>
    <n v="6900"/>
    <s v="Wire transfer fee"/>
    <s v="WIRE TRANSFER FEE"/>
    <n v="-37.54"/>
    <n v="-37.54"/>
    <n v="-37.54"/>
    <n v="37.54"/>
    <m/>
    <x v="0"/>
    <x v="0"/>
    <x v="0"/>
  </r>
  <r>
    <s v="TXN-00651"/>
    <d v="2024-04-20T00:00:00"/>
    <x v="1"/>
    <x v="3"/>
    <n v="6300"/>
    <s v="Office equipment"/>
    <s v="OFFICE EQUIPMENT"/>
    <n v="-329.95"/>
    <n v="-329.95"/>
    <n v="-329.95"/>
    <n v="329.95"/>
    <m/>
    <x v="0"/>
    <x v="0"/>
    <x v="0"/>
  </r>
  <r>
    <s v="TXN-00652"/>
    <d v="2024-09-26T00:00:00"/>
    <x v="11"/>
    <x v="2"/>
    <n v="6100"/>
    <s v="Monthly office rent"/>
    <s v="MONTHLY OFFICE RENT"/>
    <n v="-4499.33"/>
    <n v="-4499.33"/>
    <n v="-4499.33"/>
    <n v="4499.33"/>
    <m/>
    <x v="0"/>
    <x v="0"/>
    <x v="0"/>
  </r>
  <r>
    <s v="TXN-00653"/>
    <d v="2024-10-28T00:00:00"/>
    <x v="4"/>
    <x v="5"/>
    <n v="6000"/>
    <s v="Payroll transfer"/>
    <s v="PAYROLL TRANSFER"/>
    <n v="-6111.37"/>
    <n v="-6111.37"/>
    <n v="-6111.37"/>
    <n v="6111.37"/>
    <m/>
    <x v="0"/>
    <x v="0"/>
    <x v="0"/>
  </r>
  <r>
    <s v="TXN-00654"/>
    <d v="2024-04-25T00:00:00"/>
    <x v="1"/>
    <x v="4"/>
    <n v="6900"/>
    <s v="Account maintenance fee"/>
    <s v="ACCOUNT MAINTENANCE FE"/>
    <n v="-98.38"/>
    <n v="-98.38"/>
    <n v="-98.38"/>
    <n v="98.38"/>
    <m/>
    <x v="0"/>
    <x v="0"/>
    <x v="0"/>
  </r>
  <r>
    <s v="TXN-00655"/>
    <d v="2024-02-15T00:00:00"/>
    <x v="0"/>
    <x v="6"/>
    <n v="6400"/>
    <s v="Business trip - airfare"/>
    <s v="BUSINESS TRIP - AIRFAR"/>
    <n v="-2736.14"/>
    <n v="-2736.14"/>
    <n v="-2736.14"/>
    <n v="2736.14"/>
    <m/>
    <x v="0"/>
    <x v="0"/>
    <x v="0"/>
  </r>
  <r>
    <s v="TXN-00656"/>
    <d v="2024-11-20T00:00:00"/>
    <x v="7"/>
    <x v="6"/>
    <n v="6400"/>
    <s v="Client dinner"/>
    <s v="CLIENT DINNER"/>
    <n v="-2851.98"/>
    <n v="-2851.98"/>
    <n v="-2851.98"/>
    <n v="2851.98"/>
    <m/>
    <x v="0"/>
    <x v="0"/>
    <x v="0"/>
  </r>
  <r>
    <s v="TXN-00657"/>
    <d v="2024-02-23T00:00:00"/>
    <x v="0"/>
    <x v="1"/>
    <n v="6500"/>
    <s v="Online ad campaign"/>
    <s v="ONLINE AD CAMPAIGN"/>
    <n v="-956.96"/>
    <n v="-956.96"/>
    <n v="-956.96"/>
    <n v="956.96"/>
    <m/>
    <x v="0"/>
    <x v="0"/>
    <x v="0"/>
  </r>
  <r>
    <s v="TXN-00658"/>
    <d v="2024-08-04T00:00:00"/>
    <x v="2"/>
    <x v="2"/>
    <n v="6100"/>
    <s v="Rent payment"/>
    <s v="RENT PAYMENT"/>
    <n v="-3270.12"/>
    <n v="-3270.12"/>
    <n v="-3270.12"/>
    <n v="3270.12"/>
    <m/>
    <x v="0"/>
    <x v="0"/>
    <x v="0"/>
  </r>
  <r>
    <s v="TXN-00659"/>
    <d v="2024-03-27T00:00:00"/>
    <x v="8"/>
    <x v="0"/>
    <n v="4000"/>
    <s v="Customer deposit"/>
    <s v="CUSTOMER DEPOSIT"/>
    <n v="6516.37"/>
    <n v="6516.37"/>
    <n v="6516.37"/>
    <n v="6516.37"/>
    <m/>
    <x v="0"/>
    <x v="0"/>
    <x v="0"/>
  </r>
  <r>
    <s v="TXN-00660"/>
    <d v="2024-02-15T00:00:00"/>
    <x v="0"/>
    <x v="5"/>
    <n v="6000"/>
    <s v="Payroll transfer"/>
    <s v="PAYROLL TRANSFER"/>
    <n v="-1946.79"/>
    <n v="-1946.79"/>
    <n v="-1946.79"/>
    <n v="1946.79"/>
    <m/>
    <x v="0"/>
    <x v="0"/>
    <x v="0"/>
  </r>
  <r>
    <s v="TXN-00661"/>
    <d v="2024-10-10T00:00:00"/>
    <x v="4"/>
    <x v="8"/>
    <n v="5100"/>
    <s v="Contractor fee"/>
    <s v="CONTRACTOR FEE"/>
    <n v="-6932.44"/>
    <n v="-6932.44"/>
    <n v="-6932.44"/>
    <n v="6932.44"/>
    <m/>
    <x v="0"/>
    <x v="0"/>
    <x v="0"/>
  </r>
  <r>
    <s v="TXN-00662"/>
    <d v="2024-02-22T00:00:00"/>
    <x v="0"/>
    <x v="1"/>
    <n v="6500"/>
    <s v="Online ad campaign"/>
    <s v="ONLINE AD CAMPAIGN"/>
    <n v="-3399.35"/>
    <n v="-3399.35"/>
    <n v="-3399.35"/>
    <n v="3399.35"/>
    <m/>
    <x v="0"/>
    <x v="0"/>
    <x v="0"/>
  </r>
  <r>
    <s v="TXN-00663"/>
    <d v="2024-09-01T00:00:00"/>
    <x v="11"/>
    <x v="0"/>
    <n v="4000"/>
    <s v="Invoice payment received"/>
    <s v="INVOICE PAYMENT RECEIV"/>
    <n v="20698.18"/>
    <n v="20698.18"/>
    <n v="20698.18"/>
    <n v="20698.18"/>
    <m/>
    <x v="0"/>
    <x v="0"/>
    <x v="0"/>
  </r>
  <r>
    <s v="TXN-00664"/>
    <d v="2024-09-09T00:00:00"/>
    <x v="11"/>
    <x v="5"/>
    <n v="6000"/>
    <s v="Monthly salary run"/>
    <s v="MONTHLY SALARY RUN"/>
    <n v="-11219.71"/>
    <n v="-11219.71"/>
    <n v="-11219.71"/>
    <n v="11219.71"/>
    <m/>
    <x v="0"/>
    <x v="0"/>
    <x v="1"/>
  </r>
  <r>
    <s v="TXN-00665"/>
    <d v="2024-01-22T00:00:00"/>
    <x v="9"/>
    <x v="6"/>
    <n v="6400"/>
    <s v="Client dinner"/>
    <s v="CLIENT DINNER"/>
    <n v="-3259.14"/>
    <n v="-3259.14"/>
    <n v="-3259.14"/>
    <n v="3259.14"/>
    <m/>
    <x v="0"/>
    <x v="0"/>
    <x v="0"/>
  </r>
  <r>
    <s v="TXN-00666"/>
    <d v="2024-03-04T00:00:00"/>
    <x v="8"/>
    <x v="2"/>
    <n v="6100"/>
    <s v="Monthly office rent"/>
    <s v="MONTHLY OFFICE RENT"/>
    <n v="-892.88"/>
    <n v="-892.88"/>
    <n v="-892.88"/>
    <n v="892.88"/>
    <m/>
    <x v="0"/>
    <x v="0"/>
    <x v="0"/>
  </r>
  <r>
    <s v="TXN-00667"/>
    <d v="2024-10-16T00:00:00"/>
    <x v="4"/>
    <x v="6"/>
    <n v="6400"/>
    <s v="Business trip - airfare"/>
    <s v="BUSINESS TRIP - AIRFAR"/>
    <n v="-3335.6"/>
    <n v="-3335.6"/>
    <n v="-3335.6"/>
    <n v="3335.6"/>
    <m/>
    <x v="0"/>
    <x v="0"/>
    <x v="0"/>
  </r>
  <r>
    <s v="TXN-00668"/>
    <d v="2024-07-04T00:00:00"/>
    <x v="10"/>
    <x v="4"/>
    <n v="6900"/>
    <s v="Card processing fee"/>
    <s v="CARD PROCESSING FEE"/>
    <n v="-6.75"/>
    <n v="-6.75"/>
    <n v="-6.75"/>
    <n v="6.75"/>
    <m/>
    <x v="0"/>
    <x v="0"/>
    <x v="0"/>
  </r>
  <r>
    <s v="TXN-00669"/>
    <d v="2024-02-14T00:00:00"/>
    <x v="0"/>
    <x v="7"/>
    <n v="4900"/>
    <s v="Interest accrual"/>
    <s v="INTEREST ACCRUAL"/>
    <n v="388.23"/>
    <n v="388.23"/>
    <n v="388.23"/>
    <n v="388.23"/>
    <m/>
    <x v="0"/>
    <x v="0"/>
    <x v="0"/>
  </r>
  <r>
    <s v="TXN-00670"/>
    <d v="2024-12-27T00:00:00"/>
    <x v="6"/>
    <x v="8"/>
    <n v="5100"/>
    <s v="Contractor fee"/>
    <s v="CONTRACTOR FEE"/>
    <n v="-13607.35"/>
    <n v="-13.6"/>
    <n v="-13607.35"/>
    <n v="13607.35"/>
    <n v="-13593.75"/>
    <x v="1"/>
    <x v="1"/>
    <x v="0"/>
  </r>
  <r>
    <s v="TXN-00671"/>
    <d v="2024-04-06T00:00:00"/>
    <x v="1"/>
    <x v="7"/>
    <n v="4900"/>
    <s v="Deposit interest credit"/>
    <s v="DEPOSIT INTEREST CREDI"/>
    <n v="222.38"/>
    <n v="222.38"/>
    <n v="222.38"/>
    <n v="222.38"/>
    <m/>
    <x v="0"/>
    <x v="0"/>
    <x v="0"/>
  </r>
  <r>
    <s v="TXN-00672"/>
    <d v="2024-01-02T00:00:00"/>
    <x v="9"/>
    <x v="2"/>
    <n v="6100"/>
    <s v="Rent payment"/>
    <s v="RENT PAYMENT"/>
    <n v="-1206.4100000000001"/>
    <n v="-1206.4100000000001"/>
    <n v="-1206.4100000000001"/>
    <n v="1206.4100000000001"/>
    <m/>
    <x v="0"/>
    <x v="0"/>
    <x v="0"/>
  </r>
  <r>
    <s v="TXN-00673"/>
    <d v="2024-12-03T00:00:00"/>
    <x v="6"/>
    <x v="2"/>
    <n v="6100"/>
    <s v="Monthly office rent"/>
    <s v="MONTHLY OFFICE RENT"/>
    <n v="-3991.91"/>
    <n v="-3991.91"/>
    <n v="-3991.91"/>
    <n v="3991.91"/>
    <m/>
    <x v="0"/>
    <x v="0"/>
    <x v="0"/>
  </r>
  <r>
    <s v="TXN-00674"/>
    <d v="2024-01-07T00:00:00"/>
    <x v="9"/>
    <x v="0"/>
    <n v="4000"/>
    <s v="Product sale"/>
    <s v="PRODUCT SALE"/>
    <n v="15561.05"/>
    <n v="15561.05"/>
    <n v="15561.05"/>
    <n v="15561.05"/>
    <m/>
    <x v="0"/>
    <x v="0"/>
    <x v="0"/>
  </r>
  <r>
    <s v="TXN-00675"/>
    <d v="2024-07-20T00:00:00"/>
    <x v="10"/>
    <x v="2"/>
    <n v="6100"/>
    <s v="Warehouse lease"/>
    <s v="WAREHOUSE LEASE"/>
    <n v="-3773.58"/>
    <n v="-3773.58"/>
    <n v="-3773.58"/>
    <n v="3773.58"/>
    <m/>
    <x v="0"/>
    <x v="0"/>
    <x v="0"/>
  </r>
  <r>
    <s v="TXN-00676"/>
    <d v="2024-12-28T00:00:00"/>
    <x v="6"/>
    <x v="1"/>
    <n v="6500"/>
    <s v="Trade fair booth"/>
    <s v="TRADE FAIR BOOTH"/>
    <n v="-1355.6"/>
    <n v="-1355.6"/>
    <n v="-1355.6"/>
    <n v="1355.6"/>
    <m/>
    <x v="0"/>
    <x v="0"/>
    <x v="0"/>
  </r>
  <r>
    <s v="TXN-00677"/>
    <d v="2024-07-29T00:00:00"/>
    <x v="10"/>
    <x v="6"/>
    <n v="6400"/>
    <s v="Client dinner"/>
    <s v="CLIENT DINNER"/>
    <n v="-336.56"/>
    <n v="-3365.6"/>
    <n v="-336.56"/>
    <n v="336.56"/>
    <n v="3029.04"/>
    <x v="1"/>
    <x v="1"/>
    <x v="0"/>
  </r>
  <r>
    <s v="TXN-00678"/>
    <d v="2024-08-01T00:00:00"/>
    <x v="2"/>
    <x v="0"/>
    <n v="4000"/>
    <s v="Product sale"/>
    <s v="PRODUCT SALE"/>
    <n v="18379.63"/>
    <n v="18379.63"/>
    <n v="18379.63"/>
    <n v="18379.63"/>
    <m/>
    <x v="0"/>
    <x v="0"/>
    <x v="0"/>
  </r>
  <r>
    <s v="TXN-00679"/>
    <d v="2024-05-21T00:00:00"/>
    <x v="5"/>
    <x v="6"/>
    <n v="6400"/>
    <s v="Business trip - airfare"/>
    <s v="BUSINESS TRIP - AIRFAR"/>
    <n v="-1695.84"/>
    <n v="-1695.84"/>
    <n v="-1695.84"/>
    <n v="1695.84"/>
    <m/>
    <x v="0"/>
    <x v="0"/>
    <x v="0"/>
  </r>
  <r>
    <s v="TXN-00680"/>
    <d v="2024-02-16T00:00:00"/>
    <x v="0"/>
    <x v="7"/>
    <n v="4900"/>
    <s v="Interest accrual"/>
    <s v="INTEREST ACCRUAL"/>
    <n v="206.38"/>
    <n v="206.38"/>
    <n v="206.38"/>
    <n v="206.38"/>
    <m/>
    <x v="0"/>
    <x v="0"/>
    <x v="0"/>
  </r>
  <r>
    <s v="TXN-00681"/>
    <d v="2024-07-28T00:00:00"/>
    <x v="10"/>
    <x v="1"/>
    <n v="6500"/>
    <s v="Trade fair booth"/>
    <s v="TRADE FAIR BOOTH"/>
    <n v="-7760.25"/>
    <n v="-7760.25"/>
    <n v="-7760.25"/>
    <n v="7760.25"/>
    <m/>
    <x v="0"/>
    <x v="0"/>
    <x v="0"/>
  </r>
  <r>
    <s v="TXN-00682"/>
    <d v="2024-11-23T00:00:00"/>
    <x v="7"/>
    <x v="8"/>
    <n v="5100"/>
    <s v="Supplier invoice"/>
    <s v="SUPPLIER INVOICE"/>
    <n v="-11050.24"/>
    <n v="-11050.24"/>
    <n v="-11050.24"/>
    <n v="11050.24"/>
    <m/>
    <x v="0"/>
    <x v="0"/>
    <x v="0"/>
  </r>
  <r>
    <s v="TXN-00683"/>
    <d v="2024-02-03T00:00:00"/>
    <x v="0"/>
    <x v="7"/>
    <n v="4900"/>
    <s v="Deposit interest credit"/>
    <s v="DEPOSIT INTEREST CREDI"/>
    <n v="74.05"/>
    <n v="74.05"/>
    <n v="74.05"/>
    <n v="74.05"/>
    <m/>
    <x v="0"/>
    <x v="0"/>
    <x v="0"/>
  </r>
  <r>
    <s v="TXN-00684"/>
    <d v="2024-11-17T00:00:00"/>
    <x v="7"/>
    <x v="7"/>
    <n v="4900"/>
    <s v="Savings interest"/>
    <s v="SAVINGS INTEREST"/>
    <n v="91.73"/>
    <n v="91.73"/>
    <n v="91.73"/>
    <n v="91.73"/>
    <m/>
    <x v="0"/>
    <x v="0"/>
    <x v="0"/>
  </r>
  <r>
    <s v="TXN-00685"/>
    <d v="2024-05-31T00:00:00"/>
    <x v="5"/>
    <x v="8"/>
    <n v="5100"/>
    <s v="Contractor fee"/>
    <s v="CONTRACTOR FEE"/>
    <n v="-14150.01"/>
    <n v="-14150.01"/>
    <n v="-14150.01"/>
    <n v="14150.01"/>
    <m/>
    <x v="0"/>
    <x v="0"/>
    <x v="0"/>
  </r>
  <r>
    <s v="TXN-00686"/>
    <d v="2024-07-14T00:00:00"/>
    <x v="10"/>
    <x v="4"/>
    <n v="6900"/>
    <s v="Wire transfer fee"/>
    <s v="WIRE TRANSFER FEE"/>
    <n v="-111.45"/>
    <n v="-111.45"/>
    <n v="-111.45"/>
    <n v="111.45"/>
    <m/>
    <x v="0"/>
    <x v="0"/>
    <x v="0"/>
  </r>
  <r>
    <s v="TXN-00687"/>
    <d v="2024-03-01T00:00:00"/>
    <x v="8"/>
    <x v="3"/>
    <n v="6300"/>
    <s v="Stationery purchase"/>
    <s v="STATIONERY PURCHASE"/>
    <n v="-776.41"/>
    <n v="-776.41"/>
    <n v="-776.41"/>
    <n v="776.41"/>
    <m/>
    <x v="0"/>
    <x v="0"/>
    <x v="0"/>
  </r>
  <r>
    <s v="TXN-00688"/>
    <d v="2024-08-14T00:00:00"/>
    <x v="2"/>
    <x v="6"/>
    <n v="6400"/>
    <s v="Business trip - airfare"/>
    <s v="BUSINESS TRIP - AIRFAR"/>
    <n v="-1373.45"/>
    <n v="-1373.45"/>
    <n v="-1373.45"/>
    <n v="1373.45"/>
    <m/>
    <x v="0"/>
    <x v="0"/>
    <x v="0"/>
  </r>
  <r>
    <s v="TXN-00689"/>
    <d v="2024-03-07T00:00:00"/>
    <x v="8"/>
    <x v="3"/>
    <n v="6300"/>
    <s v="Stationery purchase"/>
    <s v="STATIONERY PURCHASE"/>
    <n v="-232.7"/>
    <n v="-232.7"/>
    <n v="-232.7"/>
    <n v="232.7"/>
    <m/>
    <x v="0"/>
    <x v="0"/>
    <x v="0"/>
  </r>
  <r>
    <s v="TXN-00690"/>
    <d v="2024-04-09T00:00:00"/>
    <x v="1"/>
    <x v="1"/>
    <n v="6500"/>
    <s v="Print advertising"/>
    <s v="PRINT ADVERTISING"/>
    <n v="-5006.49"/>
    <n v="-5006.49"/>
    <n v="-5006.49"/>
    <n v="5006.49"/>
    <m/>
    <x v="0"/>
    <x v="0"/>
    <x v="0"/>
  </r>
  <r>
    <s v="TXN-00691"/>
    <d v="2024-09-20T00:00:00"/>
    <x v="11"/>
    <x v="7"/>
    <n v="4900"/>
    <s v="Savings interest"/>
    <s v="SAVINGS INTEREST"/>
    <n v="106.87"/>
    <n v="106.87"/>
    <n v="106.87"/>
    <n v="106.87"/>
    <m/>
    <x v="0"/>
    <x v="0"/>
    <x v="0"/>
  </r>
  <r>
    <s v="TXN-00692"/>
    <d v="2024-01-19T00:00:00"/>
    <x v="9"/>
    <x v="1"/>
    <n v="6500"/>
    <s v="Print advertising"/>
    <s v="PRINT ADVERTISING"/>
    <n v="-5589.47"/>
    <n v="-5589.47"/>
    <n v="-5589.47"/>
    <n v="5589.47"/>
    <m/>
    <x v="0"/>
    <x v="0"/>
    <x v="0"/>
  </r>
  <r>
    <s v="TXN-00693"/>
    <d v="2024-06-12T00:00:00"/>
    <x v="3"/>
    <x v="7"/>
    <n v="4900"/>
    <s v="Savings interest"/>
    <s v="SAVINGS INTEREST"/>
    <n v="64.489999999999995"/>
    <n v="64.489999999999995"/>
    <n v="64.489999999999995"/>
    <n v="64.489999999999995"/>
    <m/>
    <x v="0"/>
    <x v="0"/>
    <x v="0"/>
  </r>
  <r>
    <s v="TXN-00694"/>
    <d v="2024-08-05T00:00:00"/>
    <x v="2"/>
    <x v="7"/>
    <n v="4900"/>
    <s v="Interest accrual"/>
    <s v="INTEREST ACCRUAL"/>
    <n v="39.92"/>
    <n v="39.92"/>
    <n v="39.92"/>
    <n v="39.92"/>
    <m/>
    <x v="0"/>
    <x v="0"/>
    <x v="0"/>
  </r>
  <r>
    <s v="TXN-00695"/>
    <d v="2024-02-18T00:00:00"/>
    <x v="0"/>
    <x v="0"/>
    <n v="4000"/>
    <s v="Product sale"/>
    <s v="PRODUCT SALE"/>
    <n v="8823.5300000000007"/>
    <n v="8823.5300000000007"/>
    <n v="8823.5300000000007"/>
    <n v="8823.5300000000007"/>
    <m/>
    <x v="0"/>
    <x v="0"/>
    <x v="0"/>
  </r>
  <r>
    <s v="TXN-00696"/>
    <d v="2024-04-17T00:00:00"/>
    <x v="1"/>
    <x v="5"/>
    <n v="6000"/>
    <s v="Employee wages"/>
    <s v="EMPLOYEE WAGES"/>
    <n v="-2248.0700000000002"/>
    <n v="-2248.0700000000002"/>
    <n v="-2248.0700000000002"/>
    <n v="2248.0700000000002"/>
    <m/>
    <x v="0"/>
    <x v="0"/>
    <x v="0"/>
  </r>
  <r>
    <s v="TXN-00697"/>
    <d v="2024-05-05T00:00:00"/>
    <x v="5"/>
    <x v="1"/>
    <n v="6500"/>
    <s v="Trade fair booth"/>
    <s v="TRADE FAIR BOOTH"/>
    <n v="-6067.1"/>
    <n v="-6067.1"/>
    <n v="-6067.1"/>
    <n v="6067.1"/>
    <m/>
    <x v="0"/>
    <x v="0"/>
    <x v="0"/>
  </r>
  <r>
    <s v="TXN-00698"/>
    <d v="2024-08-30T00:00:00"/>
    <x v="2"/>
    <x v="6"/>
    <n v="6400"/>
    <s v="Client dinner"/>
    <s v="CLIENT DINNER"/>
    <n v="-1055.1199999999999"/>
    <n v="-1055.1199999999999"/>
    <n v="-1055.1199999999999"/>
    <n v="1055.1199999999999"/>
    <m/>
    <x v="0"/>
    <x v="0"/>
    <x v="0"/>
  </r>
  <r>
    <s v="TXN-00699"/>
    <d v="2024-12-22T00:00:00"/>
    <x v="6"/>
    <x v="0"/>
    <n v="4000"/>
    <s v="Customer deposit"/>
    <s v="CUSTOMER DEPOSIT"/>
    <n v="21219.64"/>
    <n v="21219.64"/>
    <n v="21219.64"/>
    <n v="21219.64"/>
    <m/>
    <x v="0"/>
    <x v="0"/>
    <x v="0"/>
  </r>
  <r>
    <s v="TXN-00700"/>
    <d v="2024-11-01T00:00:00"/>
    <x v="7"/>
    <x v="0"/>
    <n v="4000"/>
    <s v="Customer deposit"/>
    <s v="CUSTOMER DEPOSIT"/>
    <n v="13241.76"/>
    <n v="13241.76"/>
    <n v="13241.76"/>
    <n v="13241.76"/>
    <m/>
    <x v="0"/>
    <x v="0"/>
    <x v="0"/>
  </r>
  <r>
    <s v="TXN-00701"/>
    <d v="2024-03-10T00:00:00"/>
    <x v="8"/>
    <x v="6"/>
    <n v="6400"/>
    <s v="Business trip - airfare"/>
    <s v="BUSINESS TRIP - AIRFAR"/>
    <n v="-1606.65"/>
    <n v="-1606.65"/>
    <n v="-1606.65"/>
    <n v="1606.65"/>
    <m/>
    <x v="0"/>
    <x v="0"/>
    <x v="0"/>
  </r>
  <r>
    <s v="TXN-00702"/>
    <d v="2024-01-07T00:00:00"/>
    <x v="9"/>
    <x v="2"/>
    <n v="6100"/>
    <s v="Rent payment"/>
    <s v="RENT PAYMENT"/>
    <n v="-5755.47"/>
    <n v="-5755.47"/>
    <n v="-5755.47"/>
    <n v="5755.47"/>
    <m/>
    <x v="0"/>
    <x v="0"/>
    <x v="0"/>
  </r>
  <r>
    <s v="TXN-00703"/>
    <d v="2024-01-19T00:00:00"/>
    <x v="9"/>
    <x v="8"/>
    <n v="5100"/>
    <s v="Supplier invoice"/>
    <s v="SUPPLIER INVOICE"/>
    <n v="-1915.3"/>
    <n v="-1915.3"/>
    <n v="-1915.3"/>
    <n v="1915.3"/>
    <m/>
    <x v="0"/>
    <x v="0"/>
    <x v="0"/>
  </r>
  <r>
    <s v="TXN-00704"/>
    <d v="2024-08-05T00:00:00"/>
    <x v="2"/>
    <x v="8"/>
    <n v="5100"/>
    <s v="Vendor payment - materials"/>
    <s v="VENDOR PAYMENT - MATER"/>
    <n v="-13299.38"/>
    <n v="-13299.38"/>
    <n v="-13299.38"/>
    <n v="13299.38"/>
    <m/>
    <x v="0"/>
    <x v="0"/>
    <x v="0"/>
  </r>
  <r>
    <s v="TXN-00705"/>
    <d v="2024-02-27T00:00:00"/>
    <x v="0"/>
    <x v="8"/>
    <n v="5100"/>
    <s v="Contractor fee"/>
    <s v="CONTRACTOR FEE"/>
    <n v="-2296.2600000000002"/>
    <n v="-2296.2600000000002"/>
    <n v="-2296.2600000000002"/>
    <n v="2296.2600000000002"/>
    <m/>
    <x v="0"/>
    <x v="0"/>
    <x v="0"/>
  </r>
  <r>
    <s v="TXN-00706"/>
    <d v="2024-03-25T00:00:00"/>
    <x v="8"/>
    <x v="6"/>
    <n v="6400"/>
    <s v="Client dinner"/>
    <s v="CLIENT DINNER"/>
    <n v="-602.20000000000005"/>
    <n v="-602.20000000000005"/>
    <n v="-602.20000000000005"/>
    <n v="602.20000000000005"/>
    <m/>
    <x v="0"/>
    <x v="0"/>
    <x v="0"/>
  </r>
  <r>
    <s v="TXN-00707"/>
    <d v="2024-11-05T00:00:00"/>
    <x v="7"/>
    <x v="0"/>
    <n v="4000"/>
    <s v="Invoice payment received"/>
    <s v="INVOICE PAYMENT RECEIV"/>
    <n v="1660.63"/>
    <n v="1660.63"/>
    <n v="1660.63"/>
    <n v="1660.63"/>
    <m/>
    <x v="0"/>
    <x v="0"/>
    <x v="0"/>
  </r>
  <r>
    <s v="TXN-00708"/>
    <d v="2024-11-14T00:00:00"/>
    <x v="7"/>
    <x v="6"/>
    <n v="6400"/>
    <s v="Hotel accommodation"/>
    <s v="HOTEL ACCOMMODATION"/>
    <n v="-1060.1500000000001"/>
    <n v="-1060.1500000000001"/>
    <n v="-1060.1500000000001"/>
    <n v="1060.1500000000001"/>
    <m/>
    <x v="0"/>
    <x v="0"/>
    <x v="0"/>
  </r>
  <r>
    <s v="TXN-00709"/>
    <d v="2024-11-02T00:00:00"/>
    <x v="7"/>
    <x v="3"/>
    <n v="6300"/>
    <s v="Printer consumables"/>
    <s v="PRINTER CONSUMABLES"/>
    <n v="-408.15"/>
    <n v="-408.15"/>
    <n v="-408.15"/>
    <n v="408.15"/>
    <m/>
    <x v="0"/>
    <x v="0"/>
    <x v="0"/>
  </r>
  <r>
    <s v="TXN-00710"/>
    <d v="2024-04-02T00:00:00"/>
    <x v="1"/>
    <x v="3"/>
    <n v="6300"/>
    <s v="Stationery purchase"/>
    <s v="STATIONERY PURCHASE"/>
    <n v="-384.63"/>
    <n v="-384.63"/>
    <n v="-384.63"/>
    <n v="384.63"/>
    <m/>
    <x v="0"/>
    <x v="0"/>
    <x v="0"/>
  </r>
  <r>
    <s v="TXN-00711"/>
    <d v="2024-08-14T00:00:00"/>
    <x v="2"/>
    <x v="2"/>
    <n v="6100"/>
    <s v="Warehouse lease"/>
    <s v="WAREHOUSE LEASE"/>
    <n v="-2254.11"/>
    <n v="-2254.11"/>
    <n v="-2254.11"/>
    <n v="2254.11"/>
    <m/>
    <x v="0"/>
    <x v="0"/>
    <x v="0"/>
  </r>
  <r>
    <s v="TXN-00712"/>
    <d v="2024-08-10T00:00:00"/>
    <x v="2"/>
    <x v="6"/>
    <n v="6400"/>
    <s v="Client dinner"/>
    <s v="CLIENT DINNER"/>
    <n v="-189.59"/>
    <n v="-189.59"/>
    <n v="-189.59"/>
    <n v="189.59"/>
    <m/>
    <x v="0"/>
    <x v="0"/>
    <x v="0"/>
  </r>
  <r>
    <s v="TXN-00713"/>
    <d v="2024-03-08T00:00:00"/>
    <x v="8"/>
    <x v="1"/>
    <n v="6500"/>
    <s v="Print advertising"/>
    <s v="PRINT ADVERTISING"/>
    <n v="-3083.69"/>
    <n v="-3083.69"/>
    <n v="-3083.69"/>
    <n v="3083.69"/>
    <m/>
    <x v="0"/>
    <x v="0"/>
    <x v="0"/>
  </r>
  <r>
    <s v="TXN-00714"/>
    <d v="2024-07-21T00:00:00"/>
    <x v="10"/>
    <x v="1"/>
    <n v="6500"/>
    <s v="Trade fair booth"/>
    <s v="TRADE FAIR BOOTH"/>
    <n v="-5262.98"/>
    <n v="-5262.98"/>
    <n v="-5262.98"/>
    <n v="5262.98"/>
    <m/>
    <x v="0"/>
    <x v="0"/>
    <x v="0"/>
  </r>
  <r>
    <s v="TXN-00715"/>
    <d v="2024-07-10T00:00:00"/>
    <x v="10"/>
    <x v="7"/>
    <n v="4900"/>
    <s v="Interest accrual"/>
    <s v="INTEREST ACCRUAL"/>
    <n v="10.44"/>
    <n v="10.44"/>
    <n v="10.44"/>
    <n v="10.44"/>
    <m/>
    <x v="0"/>
    <x v="0"/>
    <x v="0"/>
  </r>
  <r>
    <s v="TXN-00716"/>
    <d v="2024-05-24T00:00:00"/>
    <x v="5"/>
    <x v="1"/>
    <n v="6500"/>
    <s v="Online ad campaign"/>
    <s v="ONLINE AD CAMPAIGN"/>
    <n v="-2099.11"/>
    <n v="-2099.11"/>
    <n v="-2099.11"/>
    <n v="2099.11"/>
    <m/>
    <x v="0"/>
    <x v="0"/>
    <x v="0"/>
  </r>
  <r>
    <s v="TXN-00717"/>
    <d v="2024-10-01T00:00:00"/>
    <x v="4"/>
    <x v="6"/>
    <n v="6400"/>
    <s v="Client dinner"/>
    <s v="CLIENT DINNER"/>
    <n v="-1427.73"/>
    <n v="-1427.73"/>
    <n v="-1427.73"/>
    <n v="1427.73"/>
    <m/>
    <x v="0"/>
    <x v="0"/>
    <x v="0"/>
  </r>
  <r>
    <s v="TXN-00718"/>
    <d v="2024-09-04T00:00:00"/>
    <x v="11"/>
    <x v="3"/>
    <n v="6300"/>
    <s v="Printer consumables"/>
    <s v="PRINTER CONSUMABLES"/>
    <n v="-733.07"/>
    <n v="-733.07"/>
    <n v="-733.07"/>
    <n v="733.07"/>
    <m/>
    <x v="0"/>
    <x v="0"/>
    <x v="0"/>
  </r>
  <r>
    <s v="TXN-00719"/>
    <d v="2024-07-13T00:00:00"/>
    <x v="10"/>
    <x v="5"/>
    <n v="6000"/>
    <s v="Monthly salary run"/>
    <s v="MONTHLY SALARY RUN"/>
    <n v="-7069.63"/>
    <n v="-7069.63"/>
    <n v="-7069.63"/>
    <n v="7069.63"/>
    <m/>
    <x v="0"/>
    <x v="0"/>
    <x v="0"/>
  </r>
  <r>
    <s v="TXN-00720"/>
    <d v="2024-09-21T00:00:00"/>
    <x v="11"/>
    <x v="6"/>
    <n v="6400"/>
    <s v="Client dinner"/>
    <s v="CLIENT DINNER"/>
    <n v="-2109.8200000000002"/>
    <n v="-2109.8200000000002"/>
    <n v="-2109.8200000000002"/>
    <n v="2109.8200000000002"/>
    <m/>
    <x v="0"/>
    <x v="0"/>
    <x v="0"/>
  </r>
  <r>
    <s v="TXN-00721"/>
    <d v="2024-10-05T00:00:00"/>
    <x v="4"/>
    <x v="8"/>
    <n v="5100"/>
    <s v="Supplier invoice"/>
    <s v="SUPPLIER INVOICE"/>
    <n v="-7823.97"/>
    <n v="-7823.97"/>
    <n v="-7823.97"/>
    <n v="7823.97"/>
    <m/>
    <x v="0"/>
    <x v="0"/>
    <x v="0"/>
  </r>
  <r>
    <s v="TXN-00722"/>
    <d v="2024-07-25T00:00:00"/>
    <x v="10"/>
    <x v="7"/>
    <n v="4900"/>
    <s v="Deposit interest credit"/>
    <s v="DEPOSIT INTEREST CREDI"/>
    <n v="141.21"/>
    <n v="141.21"/>
    <n v="141.21"/>
    <n v="141.21"/>
    <m/>
    <x v="0"/>
    <x v="0"/>
    <x v="0"/>
  </r>
  <r>
    <s v="TXN-00723"/>
    <d v="2024-04-07T00:00:00"/>
    <x v="1"/>
    <x v="4"/>
    <n v="6900"/>
    <s v="Card processing fee"/>
    <s v="CARD PROCESSING FEE"/>
    <n v="-19.54"/>
    <n v="-19.54"/>
    <n v="-19.54"/>
    <n v="19.54"/>
    <m/>
    <x v="0"/>
    <x v="0"/>
    <x v="1"/>
  </r>
  <r>
    <s v="TXN-00724"/>
    <d v="2024-10-03T00:00:00"/>
    <x v="4"/>
    <x v="8"/>
    <n v="5100"/>
    <s v="Vendor payment - materials"/>
    <s v="VENDOR PAYMENT - MATER"/>
    <n v="-11785.74"/>
    <n v="-11785.74"/>
    <n v="-11785.74"/>
    <n v="11785.74"/>
    <m/>
    <x v="0"/>
    <x v="0"/>
    <x v="0"/>
  </r>
  <r>
    <s v="TXN-00725"/>
    <d v="2024-09-18T00:00:00"/>
    <x v="11"/>
    <x v="1"/>
    <n v="6500"/>
    <s v="Print advertising"/>
    <s v="PRINT ADVERTISING"/>
    <n v="-324.81"/>
    <n v="-324.81"/>
    <n v="-324.81"/>
    <n v="324.81"/>
    <m/>
    <x v="0"/>
    <x v="0"/>
    <x v="0"/>
  </r>
  <r>
    <s v="TXN-00726"/>
    <d v="2024-12-24T00:00:00"/>
    <x v="6"/>
    <x v="8"/>
    <n v="5100"/>
    <s v="Contractor fee"/>
    <s v="CONTRACTOR FEE"/>
    <n v="-9100.32"/>
    <n v="-9100.32"/>
    <n v="-9100.32"/>
    <n v="9100.32"/>
    <m/>
    <x v="0"/>
    <x v="0"/>
    <x v="0"/>
  </r>
  <r>
    <s v="TXN-00727"/>
    <d v="2024-02-24T00:00:00"/>
    <x v="0"/>
    <x v="1"/>
    <n v="6500"/>
    <s v="Online ad campaign"/>
    <s v="ONLINE AD CAMPAIGN"/>
    <n v="-2385.7399999999998"/>
    <n v="-2385.7399999999998"/>
    <n v="-2385.7399999999998"/>
    <n v="2385.7399999999998"/>
    <m/>
    <x v="0"/>
    <x v="0"/>
    <x v="0"/>
  </r>
  <r>
    <s v="TXN-00728"/>
    <d v="2024-06-02T00:00:00"/>
    <x v="3"/>
    <x v="0"/>
    <n v="4000"/>
    <s v="Product sale"/>
    <s v="PRODUCT SALE"/>
    <n v="19795.11"/>
    <n v="19795.11"/>
    <n v="19795.11"/>
    <n v="19795.11"/>
    <m/>
    <x v="0"/>
    <x v="0"/>
    <x v="0"/>
  </r>
  <r>
    <s v="TXN-00729"/>
    <d v="2024-12-03T00:00:00"/>
    <x v="6"/>
    <x v="3"/>
    <n v="6300"/>
    <s v="Printer consumables"/>
    <s v="PRINTER CONSUMABLES"/>
    <n v="-837.66"/>
    <n v="-837.66"/>
    <n v="-837.66"/>
    <n v="837.66"/>
    <m/>
    <x v="0"/>
    <x v="0"/>
    <x v="0"/>
  </r>
  <r>
    <s v="TXN-00730"/>
    <d v="2024-07-06T00:00:00"/>
    <x v="10"/>
    <x v="2"/>
    <n v="6100"/>
    <s v="Warehouse lease"/>
    <s v="WAREHOUSE LEASE"/>
    <n v="-5901.23"/>
    <n v="-5901.23"/>
    <n v="-5901.23"/>
    <n v="5901.23"/>
    <m/>
    <x v="0"/>
    <x v="0"/>
    <x v="0"/>
  </r>
  <r>
    <s v="TXN-00731"/>
    <d v="2024-12-10T00:00:00"/>
    <x v="6"/>
    <x v="1"/>
    <n v="6500"/>
    <s v="Print advertising"/>
    <s v="PRINT ADVERTISING"/>
    <n v="-3642.76"/>
    <n v="-3642.76"/>
    <n v="-3642.76"/>
    <n v="3642.76"/>
    <m/>
    <x v="0"/>
    <x v="0"/>
    <x v="0"/>
  </r>
  <r>
    <s v="TXN-00732"/>
    <d v="2024-01-05T00:00:00"/>
    <x v="9"/>
    <x v="3"/>
    <n v="6300"/>
    <s v="Stationery purchase"/>
    <s v="STATIONERY PURCHASE"/>
    <n v="-501.35"/>
    <n v="-501.35"/>
    <n v="-501.35"/>
    <n v="501.35"/>
    <m/>
    <x v="0"/>
    <x v="0"/>
    <x v="0"/>
  </r>
  <r>
    <s v="TXN-00733"/>
    <d v="2024-01-13T00:00:00"/>
    <x v="9"/>
    <x v="7"/>
    <n v="4900"/>
    <s v="Savings interest"/>
    <s v="SAVINGS INTEREST"/>
    <n v="137.83000000000001"/>
    <n v="137.83000000000001"/>
    <n v="137.83000000000001"/>
    <n v="137.83000000000001"/>
    <m/>
    <x v="0"/>
    <x v="0"/>
    <x v="0"/>
  </r>
  <r>
    <s v="TXN-00734"/>
    <d v="2024-10-17T00:00:00"/>
    <x v="4"/>
    <x v="1"/>
    <n v="6500"/>
    <s v="Online ad campaign"/>
    <s v="ONLINE AD CAMPAIGN"/>
    <n v="-7903.03"/>
    <n v="-7903.03"/>
    <n v="-7903.03"/>
    <n v="7903.03"/>
    <m/>
    <x v="0"/>
    <x v="0"/>
    <x v="0"/>
  </r>
  <r>
    <s v="TXN-00735"/>
    <d v="2024-05-10T00:00:00"/>
    <x v="5"/>
    <x v="5"/>
    <n v="6000"/>
    <s v="Monthly salary run"/>
    <s v="MONTHLY SALARY RUN"/>
    <n v="-6251.33"/>
    <n v="-6251.33"/>
    <n v="-6251.33"/>
    <n v="6251.33"/>
    <m/>
    <x v="0"/>
    <x v="0"/>
    <x v="0"/>
  </r>
  <r>
    <s v="TXN-00736"/>
    <d v="2024-07-08T00:00:00"/>
    <x v="10"/>
    <x v="2"/>
    <n v="6100"/>
    <s v="Monthly office rent"/>
    <s v="MONTHLY OFFICE RENT"/>
    <n v="-5181.8"/>
    <n v="-5181.8"/>
    <n v="-5181.8"/>
    <n v="5181.8"/>
    <m/>
    <x v="0"/>
    <x v="0"/>
    <x v="0"/>
  </r>
  <r>
    <s v="TXN-00737"/>
    <d v="2024-06-05T00:00:00"/>
    <x v="3"/>
    <x v="1"/>
    <n v="6500"/>
    <s v="Trade fair booth"/>
    <s v="TRADE FAIR BOOTH"/>
    <n v="-3916.42"/>
    <n v="-3916.42"/>
    <n v="-3916.42"/>
    <n v="3916.42"/>
    <m/>
    <x v="0"/>
    <x v="0"/>
    <x v="0"/>
  </r>
  <r>
    <s v="TXN-00738"/>
    <d v="2024-05-28T00:00:00"/>
    <x v="5"/>
    <x v="9"/>
    <n v="6200"/>
    <s v="Electricity bill"/>
    <s v="ELECTRICITY BILL"/>
    <n v="-1174.75"/>
    <n v="-1174.75"/>
    <n v="-1174.75"/>
    <n v="1174.75"/>
    <m/>
    <x v="0"/>
    <x v="0"/>
    <x v="0"/>
  </r>
  <r>
    <s v="TXN-00739"/>
    <d v="2024-12-08T00:00:00"/>
    <x v="6"/>
    <x v="1"/>
    <n v="6500"/>
    <s v="Online ad campaign"/>
    <s v="ONLINE AD CAMPAIGN"/>
    <n v="-1177.73"/>
    <n v="-1177.73"/>
    <n v="-1177.73"/>
    <n v="1177.73"/>
    <m/>
    <x v="0"/>
    <x v="0"/>
    <x v="0"/>
  </r>
  <r>
    <s v="TXN-00740"/>
    <d v="2024-02-04T00:00:00"/>
    <x v="0"/>
    <x v="4"/>
    <n v="6900"/>
    <s v="Wire transfer fee"/>
    <s v="WIRE TRANSFER FEE"/>
    <n v="-12.5"/>
    <n v="-12.5"/>
    <n v="-12.5"/>
    <n v="12.5"/>
    <m/>
    <x v="0"/>
    <x v="0"/>
    <x v="0"/>
  </r>
  <r>
    <s v="TXN-00741"/>
    <d v="2024-10-08T00:00:00"/>
    <x v="4"/>
    <x v="4"/>
    <n v="6900"/>
    <s v="Card processing fee"/>
    <s v="CARD PROCESSING FEE"/>
    <n v="-43.54"/>
    <n v="-43.54"/>
    <n v="-43.54"/>
    <n v="43.54"/>
    <m/>
    <x v="0"/>
    <x v="0"/>
    <x v="0"/>
  </r>
  <r>
    <s v="TXN-00742"/>
    <d v="2024-11-20T00:00:00"/>
    <x v="7"/>
    <x v="1"/>
    <n v="6500"/>
    <s v="Print advertising"/>
    <s v="PRINT ADVERTISING"/>
    <n v="-4106.8999999999996"/>
    <n v="-4106.8999999999996"/>
    <n v="-4106.8999999999996"/>
    <n v="4106.8999999999996"/>
    <m/>
    <x v="0"/>
    <x v="0"/>
    <x v="0"/>
  </r>
  <r>
    <s v="TXN-00743"/>
    <d v="2024-08-27T00:00:00"/>
    <x v="2"/>
    <x v="2"/>
    <n v="6100"/>
    <s v="Monthly office rent"/>
    <s v="MONTHLY OFFICE RENT"/>
    <n v="-3003.01"/>
    <n v="-3003.01"/>
    <n v="-3003.01"/>
    <n v="3003.01"/>
    <m/>
    <x v="0"/>
    <x v="0"/>
    <x v="0"/>
  </r>
  <r>
    <s v="TXN-00744"/>
    <d v="2024-05-24T00:00:00"/>
    <x v="5"/>
    <x v="5"/>
    <n v="6000"/>
    <s v="Monthly salary run"/>
    <s v="MONTHLY SALARY RUN"/>
    <n v="-11266.11"/>
    <n v="-11266.11"/>
    <n v="-11266.11"/>
    <n v="11266.11"/>
    <m/>
    <x v="0"/>
    <x v="0"/>
    <x v="0"/>
  </r>
  <r>
    <s v="TXN-00745"/>
    <d v="2024-02-28T00:00:00"/>
    <x v="0"/>
    <x v="1"/>
    <n v="6500"/>
    <s v="Print advertising"/>
    <s v="PRINT ADVERTISING"/>
    <n v="-7773.41"/>
    <n v="-7773.41"/>
    <n v="-7773.41"/>
    <n v="7773.41"/>
    <m/>
    <x v="0"/>
    <x v="0"/>
    <x v="0"/>
  </r>
  <r>
    <s v="TXN-00746"/>
    <d v="2024-09-06T00:00:00"/>
    <x v="11"/>
    <x v="9"/>
    <n v="6200"/>
    <s v="Water utility"/>
    <s v="WATER UTILITY"/>
    <n v="-347.66"/>
    <n v="-347.66"/>
    <n v="-347.66"/>
    <n v="347.66"/>
    <m/>
    <x v="0"/>
    <x v="0"/>
    <x v="0"/>
  </r>
  <r>
    <s v="TXN-00747"/>
    <d v="2024-06-20T00:00:00"/>
    <x v="3"/>
    <x v="6"/>
    <n v="6400"/>
    <s v="Hotel accommodation"/>
    <s v="HOTEL ACCOMMODATION"/>
    <n v="-3019.6"/>
    <n v="-3019.6"/>
    <n v="-3019.6"/>
    <n v="3019.6"/>
    <m/>
    <x v="0"/>
    <x v="0"/>
    <x v="0"/>
  </r>
  <r>
    <s v="TXN-00748"/>
    <d v="2024-02-24T00:00:00"/>
    <x v="0"/>
    <x v="9"/>
    <n v="6200"/>
    <s v="Water utility"/>
    <s v="WATER UTILITY"/>
    <n v="-565.49"/>
    <n v="-565.49"/>
    <n v="-565.49"/>
    <n v="565.49"/>
    <m/>
    <x v="0"/>
    <x v="0"/>
    <x v="0"/>
  </r>
  <r>
    <s v="TXN-00749"/>
    <d v="2024-05-11T00:00:00"/>
    <x v="5"/>
    <x v="9"/>
    <n v="6200"/>
    <s v="Electricity bill"/>
    <s v="ELECTRICITY BILL"/>
    <n v="-1033.8"/>
    <n v="-1033.8"/>
    <n v="-1033.8"/>
    <n v="1033.8"/>
    <m/>
    <x v="0"/>
    <x v="0"/>
    <x v="0"/>
  </r>
  <r>
    <s v="TXN-00750"/>
    <d v="2024-12-16T00:00:00"/>
    <x v="6"/>
    <x v="8"/>
    <n v="5100"/>
    <s v="Supplier invoice"/>
    <s v="SUPPLIER INVOICE"/>
    <n v="-5970.36"/>
    <n v="-5970.36"/>
    <n v="-5970.36"/>
    <n v="5970.36"/>
    <m/>
    <x v="0"/>
    <x v="0"/>
    <x v="0"/>
  </r>
  <r>
    <s v="TXN-00751"/>
    <d v="2024-04-06T00:00:00"/>
    <x v="1"/>
    <x v="7"/>
    <n v="4900"/>
    <s v="Deposit interest credit"/>
    <s v="DEPOSIT INTEREST CREDI"/>
    <n v="390.73"/>
    <n v="390.73"/>
    <n v="390.73"/>
    <n v="390.73"/>
    <m/>
    <x v="0"/>
    <x v="0"/>
    <x v="0"/>
  </r>
  <r>
    <s v="TXN-00752"/>
    <d v="2024-03-06T00:00:00"/>
    <x v="8"/>
    <x v="8"/>
    <n v="5100"/>
    <s v="Vendor payment - materials"/>
    <s v="VENDOR PAYMENT - MATER"/>
    <n v="-2959.95"/>
    <n v="-2959.95"/>
    <n v="-2959.95"/>
    <n v="2959.95"/>
    <m/>
    <x v="0"/>
    <x v="0"/>
    <x v="0"/>
  </r>
  <r>
    <s v="TXN-00753"/>
    <d v="2024-09-05T00:00:00"/>
    <x v="11"/>
    <x v="0"/>
    <n v="4000"/>
    <s v="Product sale"/>
    <s v="PRODUCT SALE"/>
    <n v="1261.21"/>
    <n v="1261.21"/>
    <n v="1261.21"/>
    <n v="1261.21"/>
    <m/>
    <x v="0"/>
    <x v="0"/>
    <x v="0"/>
  </r>
  <r>
    <s v="TXN-00754"/>
    <d v="2024-03-13T00:00:00"/>
    <x v="8"/>
    <x v="7"/>
    <n v="4900"/>
    <s v="Deposit interest credit"/>
    <s v="DEPOSIT INTEREST CREDI"/>
    <n v="159.78"/>
    <n v="159.78"/>
    <n v="159.78"/>
    <n v="159.78"/>
    <m/>
    <x v="0"/>
    <x v="0"/>
    <x v="0"/>
  </r>
  <r>
    <s v="TXN-00755"/>
    <d v="2024-12-01T00:00:00"/>
    <x v="6"/>
    <x v="6"/>
    <n v="6400"/>
    <s v="Client dinner"/>
    <s v="CLIENT DINNER"/>
    <n v="-2405.7199999999998"/>
    <n v="-2405.7199999999998"/>
    <n v="-2405.7199999999998"/>
    <n v="2405.7199999999998"/>
    <m/>
    <x v="0"/>
    <x v="0"/>
    <x v="0"/>
  </r>
  <r>
    <s v="TXN-00756"/>
    <d v="2024-11-09T00:00:00"/>
    <x v="7"/>
    <x v="3"/>
    <n v="6300"/>
    <s v="Stationery purchase"/>
    <s v="STATIONERY PURCHASE"/>
    <n v="-179.56"/>
    <n v="-179.56"/>
    <n v="-179.56"/>
    <n v="179.56"/>
    <m/>
    <x v="0"/>
    <x v="0"/>
    <x v="0"/>
  </r>
  <r>
    <s v="TXN-00757"/>
    <d v="2024-12-24T00:00:00"/>
    <x v="6"/>
    <x v="1"/>
    <n v="6500"/>
    <s v="Trade fair booth"/>
    <s v="TRADE FAIR BOOTH"/>
    <n v="-2218.2800000000002"/>
    <n v="-2218.2800000000002"/>
    <n v="-2218.2800000000002"/>
    <n v="2218.2800000000002"/>
    <m/>
    <x v="0"/>
    <x v="0"/>
    <x v="0"/>
  </r>
  <r>
    <s v="TXN-00758"/>
    <d v="2024-11-29T00:00:00"/>
    <x v="7"/>
    <x v="9"/>
    <n v="6200"/>
    <s v="Internet &amp; telecom"/>
    <s v="INTERNET &amp; TELECOM"/>
    <n v="-458.5"/>
    <n v="-458.5"/>
    <n v="-458.5"/>
    <n v="458.5"/>
    <m/>
    <x v="0"/>
    <x v="0"/>
    <x v="0"/>
  </r>
  <r>
    <s v="TXN-00759"/>
    <d v="2024-03-29T00:00:00"/>
    <x v="8"/>
    <x v="8"/>
    <n v="5100"/>
    <s v="Vendor payment - materials"/>
    <s v="VENDOR PAYMENT - MATER"/>
    <n v="-10807.93"/>
    <n v="-10807.93"/>
    <n v="-10807.93"/>
    <n v="10807.93"/>
    <m/>
    <x v="0"/>
    <x v="0"/>
    <x v="0"/>
  </r>
  <r>
    <s v="TXN-00760"/>
    <d v="2024-03-18T00:00:00"/>
    <x v="8"/>
    <x v="1"/>
    <n v="6500"/>
    <s v="Trade fair booth"/>
    <s v="TRADE FAIR BOOTH"/>
    <n v="-3812.1"/>
    <n v="-3812.1"/>
    <n v="-3812.1"/>
    <n v="3812.1"/>
    <m/>
    <x v="0"/>
    <x v="0"/>
    <x v="0"/>
  </r>
  <r>
    <s v="TXN-00761"/>
    <d v="2024-05-05T00:00:00"/>
    <x v="5"/>
    <x v="8"/>
    <n v="5100"/>
    <s v="Vendor payment - materials"/>
    <s v="VENDOR PAYMENT - MATER"/>
    <n v="-12818.82"/>
    <n v="-12818.82"/>
    <n v="-12818.82"/>
    <n v="12818.82"/>
    <m/>
    <x v="0"/>
    <x v="0"/>
    <x v="0"/>
  </r>
  <r>
    <s v="TXN-00762"/>
    <d v="2024-06-20T00:00:00"/>
    <x v="3"/>
    <x v="6"/>
    <n v="6400"/>
    <s v="Client dinner"/>
    <s v="CLIENT DINNER"/>
    <n v="-2036.07"/>
    <n v="-2036.07"/>
    <n v="-2036.07"/>
    <n v="2036.07"/>
    <m/>
    <x v="0"/>
    <x v="0"/>
    <x v="0"/>
  </r>
  <r>
    <s v="TXN-00763"/>
    <d v="2024-11-17T00:00:00"/>
    <x v="7"/>
    <x v="7"/>
    <n v="4900"/>
    <s v="Deposit interest credit"/>
    <s v="DEPOSIT INTEREST CREDI"/>
    <n v="360.54"/>
    <n v="360.54"/>
    <n v="360.54"/>
    <n v="360.54"/>
    <m/>
    <x v="0"/>
    <x v="0"/>
    <x v="0"/>
  </r>
  <r>
    <s v="TXN-00764"/>
    <d v="2024-09-24T00:00:00"/>
    <x v="11"/>
    <x v="7"/>
    <n v="4900"/>
    <s v="Deposit interest credit"/>
    <s v="DEPOSIT INTEREST CREDI"/>
    <n v="140.35"/>
    <n v="140.35"/>
    <n v="140.35"/>
    <n v="140.35"/>
    <m/>
    <x v="0"/>
    <x v="0"/>
    <x v="0"/>
  </r>
  <r>
    <s v="TXN-00765"/>
    <d v="2024-08-23T00:00:00"/>
    <x v="2"/>
    <x v="9"/>
    <n v="6200"/>
    <s v="Internet &amp; telecom"/>
    <s v="INTERNET &amp; TELECOM"/>
    <n v="-618.79"/>
    <n v="-618.79"/>
    <n v="-618.79"/>
    <n v="618.79"/>
    <m/>
    <x v="0"/>
    <x v="0"/>
    <x v="0"/>
  </r>
  <r>
    <s v="TXN-00766"/>
    <d v="2024-11-16T00:00:00"/>
    <x v="7"/>
    <x v="1"/>
    <n v="6500"/>
    <s v="Online ad campaign"/>
    <s v="ONLINE AD CAMPAIGN"/>
    <n v="-1122.9100000000001"/>
    <n v="-1122.9100000000001"/>
    <n v="-1122.9100000000001"/>
    <n v="1122.9100000000001"/>
    <m/>
    <x v="0"/>
    <x v="0"/>
    <x v="0"/>
  </r>
  <r>
    <s v="TXN-00767"/>
    <d v="2024-08-23T00:00:00"/>
    <x v="2"/>
    <x v="2"/>
    <n v="6100"/>
    <s v="Rent payment"/>
    <s v="RENT PAYMENT"/>
    <n v="-4684.9799999999996"/>
    <n v="-4684.9799999999996"/>
    <n v="-4684.9799999999996"/>
    <n v="4684.9799999999996"/>
    <m/>
    <x v="0"/>
    <x v="0"/>
    <x v="0"/>
  </r>
  <r>
    <s v="TXN-00768"/>
    <d v="2024-05-18T00:00:00"/>
    <x v="5"/>
    <x v="3"/>
    <n v="6300"/>
    <s v="Stationery purchase"/>
    <s v="STATIONERY PURCHASE"/>
    <n v="-135.06"/>
    <n v="-135.06"/>
    <n v="-135.06"/>
    <n v="135.06"/>
    <m/>
    <x v="0"/>
    <x v="0"/>
    <x v="0"/>
  </r>
  <r>
    <s v="TXN-00769"/>
    <d v="2024-05-30T00:00:00"/>
    <x v="5"/>
    <x v="8"/>
    <n v="5100"/>
    <s v="Supplier invoice"/>
    <s v="SUPPLIER INVOICE"/>
    <n v="-14066.23"/>
    <n v="-14066.23"/>
    <n v="-14066.23"/>
    <n v="14066.23"/>
    <m/>
    <x v="0"/>
    <x v="0"/>
    <x v="0"/>
  </r>
  <r>
    <s v="TXN-00770"/>
    <d v="2024-07-07T00:00:00"/>
    <x v="10"/>
    <x v="9"/>
    <n v="6200"/>
    <s v="Internet &amp; telecom"/>
    <s v="INTERNET &amp; TELECOM"/>
    <n v="-747.51"/>
    <n v="-689.45"/>
    <n v="-747.51"/>
    <n v="747.51"/>
    <n v="-58.06"/>
    <x v="1"/>
    <x v="1"/>
    <x v="0"/>
  </r>
  <r>
    <s v="TXN-00771"/>
    <d v="2024-02-02T00:00:00"/>
    <x v="0"/>
    <x v="2"/>
    <n v="6100"/>
    <s v="Monthly office rent"/>
    <s v="MONTHLY OFFICE RENT"/>
    <n v="-4510.6499999999996"/>
    <n v="-4510.6499999999996"/>
    <n v="-4510.6499999999996"/>
    <n v="4510.6499999999996"/>
    <m/>
    <x v="0"/>
    <x v="0"/>
    <x v="0"/>
  </r>
  <r>
    <s v="TXN-00772"/>
    <d v="2024-09-27T00:00:00"/>
    <x v="11"/>
    <x v="7"/>
    <n v="4900"/>
    <s v="Interest accrual"/>
    <s v="INTEREST ACCRUAL"/>
    <n v="397.16"/>
    <n v="397.16"/>
    <n v="397.16"/>
    <n v="397.16"/>
    <m/>
    <x v="0"/>
    <x v="0"/>
    <x v="0"/>
  </r>
  <r>
    <s v="TXN-00773"/>
    <d v="2024-08-26T00:00:00"/>
    <x v="2"/>
    <x v="0"/>
    <n v="4000"/>
    <s v="Customer deposit"/>
    <s v="CUSTOMER DEPOSIT"/>
    <n v="4489.99"/>
    <n v="4489.99"/>
    <n v="4489.99"/>
    <n v="4489.99"/>
    <m/>
    <x v="0"/>
    <x v="0"/>
    <x v="0"/>
  </r>
  <r>
    <s v="TXN-00774"/>
    <d v="2024-09-23T00:00:00"/>
    <x v="11"/>
    <x v="1"/>
    <n v="6500"/>
    <s v="Trade fair booth"/>
    <s v="TRADE FAIR BOOTH"/>
    <n v="-4225.46"/>
    <n v="-4225.46"/>
    <n v="-4225.46"/>
    <n v="4225.46"/>
    <m/>
    <x v="0"/>
    <x v="0"/>
    <x v="0"/>
  </r>
  <r>
    <s v="TXN-00775"/>
    <d v="2024-07-13T00:00:00"/>
    <x v="10"/>
    <x v="4"/>
    <n v="6900"/>
    <s v="Card processing fee"/>
    <s v="CARD PROCESSING FEE"/>
    <n v="-30.8"/>
    <n v="-30.8"/>
    <n v="-30.8"/>
    <n v="30.8"/>
    <m/>
    <x v="0"/>
    <x v="0"/>
    <x v="0"/>
  </r>
  <r>
    <s v="TXN-00776"/>
    <d v="2024-10-12T00:00:00"/>
    <x v="4"/>
    <x v="7"/>
    <n v="4900"/>
    <s v="Savings interest"/>
    <s v="SAVINGS INTEREST"/>
    <n v="247.18"/>
    <n v="247.18"/>
    <n v="247.18"/>
    <n v="247.18"/>
    <m/>
    <x v="0"/>
    <x v="0"/>
    <x v="0"/>
  </r>
  <r>
    <s v="TXN-00777"/>
    <d v="2024-12-12T00:00:00"/>
    <x v="6"/>
    <x v="3"/>
    <n v="6300"/>
    <s v="Printer consumables"/>
    <s v="PRINTER CONSUMABLES"/>
    <n v="-836.35"/>
    <n v="-836.35"/>
    <n v="-836.35"/>
    <n v="836.35"/>
    <m/>
    <x v="0"/>
    <x v="0"/>
    <x v="0"/>
  </r>
  <r>
    <s v="TXN-00778"/>
    <d v="2024-07-27T00:00:00"/>
    <x v="10"/>
    <x v="8"/>
    <n v="5100"/>
    <s v="Supplier invoice"/>
    <s v="SUPPLIER INVOICE"/>
    <n v="-4115.7"/>
    <n v="-4115.7"/>
    <n v="-4115.7"/>
    <n v="4115.7"/>
    <m/>
    <x v="0"/>
    <x v="0"/>
    <x v="0"/>
  </r>
  <r>
    <s v="TXN-00779"/>
    <d v="2024-06-11T00:00:00"/>
    <x v="3"/>
    <x v="5"/>
    <n v="6000"/>
    <s v="Monthly salary run"/>
    <s v="MONTHLY SALARY RUN"/>
    <n v="-2636.62"/>
    <n v="-2636.62"/>
    <n v="-2636.62"/>
    <n v="2636.62"/>
    <m/>
    <x v="0"/>
    <x v="0"/>
    <x v="0"/>
  </r>
  <r>
    <s v="TXN-00780"/>
    <d v="2024-02-08T00:00:00"/>
    <x v="0"/>
    <x v="4"/>
    <n v="6900"/>
    <s v="Account maintenance fee"/>
    <s v="ACCOUNT MAINTENANCE FE"/>
    <n v="-39.840000000000003"/>
    <n v="-39.840000000000003"/>
    <n v="-39.840000000000003"/>
    <n v="39.840000000000003"/>
    <m/>
    <x v="0"/>
    <x v="0"/>
    <x v="0"/>
  </r>
  <r>
    <s v="TXN-00781"/>
    <d v="2024-10-11T00:00:00"/>
    <x v="4"/>
    <x v="4"/>
    <n v="6900"/>
    <s v="Wire transfer fee"/>
    <s v="WIRE TRANSFER FEE"/>
    <n v="-9.76"/>
    <n v="-9.76"/>
    <n v="-9.76"/>
    <n v="9.76"/>
    <m/>
    <x v="0"/>
    <x v="0"/>
    <x v="0"/>
  </r>
  <r>
    <s v="TXN-00782"/>
    <d v="2024-11-25T00:00:00"/>
    <x v="7"/>
    <x v="2"/>
    <n v="6100"/>
    <s v="Monthly office rent"/>
    <s v="MONTHLY OFFICE RENT"/>
    <n v="-2252.65"/>
    <n v="-2252.65"/>
    <n v="-2252.65"/>
    <n v="2252.65"/>
    <m/>
    <x v="0"/>
    <x v="0"/>
    <x v="0"/>
  </r>
  <r>
    <s v="TXN-00783"/>
    <d v="2024-09-12T00:00:00"/>
    <x v="11"/>
    <x v="8"/>
    <n v="5100"/>
    <s v="Supplier invoice"/>
    <s v="SUPPLIER INVOICE"/>
    <n v="-5803.59"/>
    <n v="-5803.59"/>
    <n v="-5803.59"/>
    <n v="5803.59"/>
    <m/>
    <x v="0"/>
    <x v="0"/>
    <x v="0"/>
  </r>
  <r>
    <s v="TXN-00784"/>
    <d v="2024-11-11T00:00:00"/>
    <x v="7"/>
    <x v="8"/>
    <n v="5100"/>
    <s v="Supplier invoice"/>
    <s v="SUPPLIER INVOICE"/>
    <n v="-5900.48"/>
    <n v="-5900.48"/>
    <n v="-5900.48"/>
    <n v="5900.48"/>
    <m/>
    <x v="0"/>
    <x v="0"/>
    <x v="0"/>
  </r>
  <r>
    <s v="TXN-00785"/>
    <d v="2024-11-10T00:00:00"/>
    <x v="7"/>
    <x v="3"/>
    <n v="6300"/>
    <s v="Office equipment"/>
    <s v="OFFICE EQUIPMENT"/>
    <n v="-308.57"/>
    <n v="-308.57"/>
    <n v="-308.57"/>
    <n v="308.57"/>
    <m/>
    <x v="0"/>
    <x v="0"/>
    <x v="0"/>
  </r>
  <r>
    <s v="TXN-00786"/>
    <d v="2024-10-18T00:00:00"/>
    <x v="4"/>
    <x v="6"/>
    <n v="6400"/>
    <s v="Client dinner"/>
    <s v="CLIENT DINNER"/>
    <n v="-386.88"/>
    <n v="-386.88"/>
    <n v="-386.88"/>
    <n v="386.88"/>
    <m/>
    <x v="0"/>
    <x v="0"/>
    <x v="0"/>
  </r>
  <r>
    <s v="TXN-00787"/>
    <d v="2024-07-02T00:00:00"/>
    <x v="10"/>
    <x v="0"/>
    <n v="4000"/>
    <s v="Customer deposit"/>
    <s v="CUSTOMER DEPOSIT"/>
    <n v="5451.8"/>
    <n v="5451.8"/>
    <n v="5451.8"/>
    <n v="5451.8"/>
    <m/>
    <x v="0"/>
    <x v="0"/>
    <x v="0"/>
  </r>
  <r>
    <s v="TXN-00788"/>
    <d v="2024-02-06T00:00:00"/>
    <x v="0"/>
    <x v="2"/>
    <n v="6100"/>
    <s v="Monthly office rent"/>
    <s v="MONTHLY OFFICE RENT"/>
    <n v="-4734.58"/>
    <n v="-4734.58"/>
    <n v="-4734.58"/>
    <n v="4734.58"/>
    <m/>
    <x v="0"/>
    <x v="0"/>
    <x v="0"/>
  </r>
  <r>
    <s v="TXN-00789"/>
    <d v="2024-01-02T00:00:00"/>
    <x v="9"/>
    <x v="6"/>
    <n v="6400"/>
    <s v="Client dinner"/>
    <s v="CLIENT DINNER"/>
    <n v="-3255.56"/>
    <n v="-32555.599999999999"/>
    <n v="-3255.56"/>
    <n v="3255.56"/>
    <n v="29300.04"/>
    <x v="1"/>
    <x v="1"/>
    <x v="0"/>
  </r>
  <r>
    <s v="TXN-00790"/>
    <d v="2024-03-15T00:00:00"/>
    <x v="8"/>
    <x v="0"/>
    <n v="4000"/>
    <s v="Product sale"/>
    <s v="PRODUCT SALE"/>
    <n v="12853.37"/>
    <n v="12853.37"/>
    <n v="12853.37"/>
    <n v="12853.37"/>
    <m/>
    <x v="0"/>
    <x v="0"/>
    <x v="0"/>
  </r>
  <r>
    <s v="TXN-00791"/>
    <d v="2024-06-06T00:00:00"/>
    <x v="3"/>
    <x v="0"/>
    <n v="4000"/>
    <s v="Product sale"/>
    <s v="PRODUCT SALE"/>
    <n v="8207.25"/>
    <n v="8207.25"/>
    <n v="8207.25"/>
    <n v="8207.25"/>
    <m/>
    <x v="0"/>
    <x v="0"/>
    <x v="0"/>
  </r>
  <r>
    <s v="TXN-00792"/>
    <d v="2024-09-28T00:00:00"/>
    <x v="11"/>
    <x v="3"/>
    <n v="6300"/>
    <s v="Printer consumables"/>
    <s v="PRINTER CONSUMABLES"/>
    <n v="-701.07"/>
    <n v="-701.07"/>
    <n v="-701.07"/>
    <n v="701.07"/>
    <m/>
    <x v="0"/>
    <x v="0"/>
    <x v="0"/>
  </r>
  <r>
    <s v="TXN-00793"/>
    <d v="2024-06-15T00:00:00"/>
    <x v="3"/>
    <x v="1"/>
    <n v="6500"/>
    <s v="Online ad campaign"/>
    <s v="ONLINE AD CAMPAIGN"/>
    <n v="-6777.54"/>
    <n v="-6777.54"/>
    <n v="-6777.54"/>
    <n v="6777.54"/>
    <m/>
    <x v="0"/>
    <x v="0"/>
    <x v="0"/>
  </r>
  <r>
    <s v="TXN-00794"/>
    <d v="2024-01-09T00:00:00"/>
    <x v="9"/>
    <x v="4"/>
    <n v="6900"/>
    <s v="Card processing fee"/>
    <s v="CARD PROCESSING FEE"/>
    <n v="-134.85"/>
    <n v="-134.85"/>
    <n v="-134.85"/>
    <n v="134.85"/>
    <m/>
    <x v="0"/>
    <x v="0"/>
    <x v="0"/>
  </r>
  <r>
    <s v="TXN-00795"/>
    <d v="2024-03-17T00:00:00"/>
    <x v="8"/>
    <x v="3"/>
    <n v="6300"/>
    <s v="Stationery purchase"/>
    <s v="STATIONERY PURCHASE"/>
    <n v="-694.85"/>
    <n v="-694.85"/>
    <n v="-694.85"/>
    <n v="694.85"/>
    <m/>
    <x v="0"/>
    <x v="0"/>
    <x v="0"/>
  </r>
  <r>
    <s v="TXN-00796"/>
    <d v="2024-12-23T00:00:00"/>
    <x v="6"/>
    <x v="5"/>
    <n v="6000"/>
    <s v="Payroll transfer"/>
    <s v="PAYROLL TRANSFER"/>
    <n v="-9967.19"/>
    <n v="-9967.19"/>
    <n v="-9967.19"/>
    <n v="9967.19"/>
    <m/>
    <x v="0"/>
    <x v="0"/>
    <x v="0"/>
  </r>
  <r>
    <s v="TXN-00797"/>
    <d v="2024-12-26T00:00:00"/>
    <x v="6"/>
    <x v="7"/>
    <n v="4900"/>
    <s v="Interest accrual"/>
    <s v="INTEREST ACCRUAL"/>
    <n v="372.05"/>
    <n v="372.05"/>
    <n v="372.05"/>
    <n v="372.05"/>
    <m/>
    <x v="0"/>
    <x v="0"/>
    <x v="0"/>
  </r>
  <r>
    <s v="TXN-00798"/>
    <d v="2024-05-17T00:00:00"/>
    <x v="5"/>
    <x v="3"/>
    <n v="6300"/>
    <s v="Stationery purchase"/>
    <s v="STATIONERY PURCHASE"/>
    <n v="-103.02"/>
    <n v="-103.02"/>
    <n v="-103.02"/>
    <n v="103.02"/>
    <m/>
    <x v="0"/>
    <x v="0"/>
    <x v="0"/>
  </r>
  <r>
    <s v="TXN-00799"/>
    <d v="2024-10-20T00:00:00"/>
    <x v="4"/>
    <x v="9"/>
    <n v="6200"/>
    <s v="Internet &amp; telecom"/>
    <s v="INTERNET &amp; TELECOM"/>
    <n v="-935.6"/>
    <n v="-935.6"/>
    <n v="-935.6"/>
    <n v="935.6"/>
    <m/>
    <x v="0"/>
    <x v="0"/>
    <x v="0"/>
  </r>
  <r>
    <s v="TXN-00800"/>
    <d v="2024-09-19T00:00:00"/>
    <x v="11"/>
    <x v="3"/>
    <n v="6300"/>
    <s v="Office equipment"/>
    <s v="OFFICE EQUIPMENT"/>
    <n v="-102.08"/>
    <n v="-102.08"/>
    <n v="-102.08"/>
    <n v="102.08"/>
    <m/>
    <x v="0"/>
    <x v="0"/>
    <x v="0"/>
  </r>
  <r>
    <s v="TXN-00801"/>
    <d v="2024-12-05T00:00:00"/>
    <x v="6"/>
    <x v="0"/>
    <n v="4000"/>
    <s v="Invoice payment received"/>
    <s v="INVOICE PAYMENT RECEIV"/>
    <n v="1337.4"/>
    <n v="1337.4"/>
    <n v="1337.4"/>
    <n v="1337.4"/>
    <m/>
    <x v="0"/>
    <x v="0"/>
    <x v="0"/>
  </r>
  <r>
    <s v="TXN-00802"/>
    <d v="2024-11-19T00:00:00"/>
    <x v="7"/>
    <x v="9"/>
    <n v="6200"/>
    <s v="Water utility"/>
    <s v="WATER UTILITY"/>
    <n v="-935.71"/>
    <n v="-935.71"/>
    <n v="-935.71"/>
    <n v="935.71"/>
    <m/>
    <x v="0"/>
    <x v="0"/>
    <x v="0"/>
  </r>
  <r>
    <s v="TXN-00803"/>
    <d v="2024-08-17T00:00:00"/>
    <x v="2"/>
    <x v="6"/>
    <n v="6400"/>
    <s v="Hotel accommodation"/>
    <s v="HOTEL ACCOMMODATION"/>
    <n v="-2140.2399999999998"/>
    <n v="-2140.2399999999998"/>
    <n v="-2140.2399999999998"/>
    <n v="2140.2399999999998"/>
    <m/>
    <x v="0"/>
    <x v="0"/>
    <x v="0"/>
  </r>
  <r>
    <s v="TXN-00804"/>
    <d v="2024-05-24T00:00:00"/>
    <x v="5"/>
    <x v="7"/>
    <n v="4900"/>
    <s v="Interest accrual"/>
    <s v="INTEREST ACCRUAL"/>
    <n v="343.46"/>
    <n v="343.46"/>
    <n v="343.46"/>
    <n v="343.46"/>
    <m/>
    <x v="0"/>
    <x v="0"/>
    <x v="0"/>
  </r>
  <r>
    <s v="TXN-00805"/>
    <d v="2024-08-16T00:00:00"/>
    <x v="2"/>
    <x v="1"/>
    <n v="6500"/>
    <s v="Trade fair booth"/>
    <s v="TRADE FAIR BOOTH"/>
    <n v="-2316"/>
    <n v="-2316"/>
    <n v="-2316"/>
    <n v="2316"/>
    <m/>
    <x v="0"/>
    <x v="0"/>
    <x v="0"/>
  </r>
  <r>
    <s v="TXN-00806"/>
    <d v="2024-04-26T00:00:00"/>
    <x v="1"/>
    <x v="1"/>
    <n v="6500"/>
    <s v="Online ad campaign"/>
    <s v="ONLINE AD CAMPAIGN"/>
    <n v="-3401.29"/>
    <n v="-3401.29"/>
    <n v="-3401.29"/>
    <n v="3401.29"/>
    <m/>
    <x v="0"/>
    <x v="0"/>
    <x v="0"/>
  </r>
  <r>
    <s v="TXN-00807"/>
    <d v="2024-05-07T00:00:00"/>
    <x v="5"/>
    <x v="6"/>
    <n v="6400"/>
    <s v="Hotel accommodation"/>
    <s v="HOTEL ACCOMMODATION"/>
    <n v="-1612.9"/>
    <n v="-1612.9"/>
    <n v="-1612.9"/>
    <n v="1612.9"/>
    <m/>
    <x v="0"/>
    <x v="0"/>
    <x v="0"/>
  </r>
  <r>
    <s v="TXN-00808"/>
    <d v="2024-08-10T00:00:00"/>
    <x v="2"/>
    <x v="8"/>
    <n v="5100"/>
    <s v="Supplier invoice"/>
    <s v="SUPPLIER INVOICE"/>
    <n v="-4125.16"/>
    <n v="-4125.16"/>
    <n v="-4125.16"/>
    <n v="4125.16"/>
    <m/>
    <x v="0"/>
    <x v="0"/>
    <x v="0"/>
  </r>
  <r>
    <s v="TXN-00809"/>
    <d v="2024-07-27T00:00:00"/>
    <x v="10"/>
    <x v="9"/>
    <n v="6200"/>
    <s v="Internet &amp; telecom"/>
    <s v="INTERNET &amp; TELECOM"/>
    <n v="-538.87"/>
    <n v="-538.87"/>
    <n v="-538.87"/>
    <n v="538.87"/>
    <m/>
    <x v="0"/>
    <x v="0"/>
    <x v="0"/>
  </r>
  <r>
    <s v="TXN-00810"/>
    <d v="2024-07-31T00:00:00"/>
    <x v="10"/>
    <x v="7"/>
    <n v="4900"/>
    <s v="Savings interest"/>
    <s v="SAVINGS INTEREST"/>
    <n v="352.37"/>
    <n v="352.37"/>
    <n v="352.37"/>
    <n v="352.37"/>
    <m/>
    <x v="0"/>
    <x v="0"/>
    <x v="0"/>
  </r>
  <r>
    <s v="TXN-00811"/>
    <d v="2024-05-20T00:00:00"/>
    <x v="5"/>
    <x v="0"/>
    <n v="4000"/>
    <s v="Invoice payment received"/>
    <s v="INVOICE PAYMENT RECEIV"/>
    <n v="22396.71"/>
    <n v="22396.71"/>
    <n v="22396.71"/>
    <n v="22396.71"/>
    <m/>
    <x v="0"/>
    <x v="0"/>
    <x v="0"/>
  </r>
  <r>
    <s v="TXN-00812"/>
    <d v="2024-05-29T00:00:00"/>
    <x v="5"/>
    <x v="4"/>
    <n v="6900"/>
    <s v="Account maintenance fee"/>
    <s v="ACCOUNT MAINTENANCE FE"/>
    <n v="-66.77"/>
    <n v="-66.77"/>
    <n v="-66.77"/>
    <n v="66.77"/>
    <m/>
    <x v="0"/>
    <x v="0"/>
    <x v="0"/>
  </r>
  <r>
    <s v="TXN-00813"/>
    <d v="2024-01-04T00:00:00"/>
    <x v="9"/>
    <x v="2"/>
    <n v="6100"/>
    <s v="Rent payment"/>
    <s v="RENT PAYMENT"/>
    <n v="-3413.06"/>
    <n v="-3413.06"/>
    <n v="-3413.06"/>
    <n v="3413.06"/>
    <m/>
    <x v="0"/>
    <x v="0"/>
    <x v="0"/>
  </r>
  <r>
    <s v="TXN-00814"/>
    <d v="2024-08-07T00:00:00"/>
    <x v="2"/>
    <x v="5"/>
    <n v="6000"/>
    <s v="Monthly salary run"/>
    <s v="MONTHLY SALARY RUN"/>
    <n v="-5886.3"/>
    <n v="-5886.3"/>
    <n v="-5886.3"/>
    <n v="5886.3"/>
    <m/>
    <x v="0"/>
    <x v="0"/>
    <x v="0"/>
  </r>
  <r>
    <s v="TXN-00815"/>
    <d v="2024-07-29T00:00:00"/>
    <x v="10"/>
    <x v="1"/>
    <n v="6500"/>
    <s v="Trade fair booth"/>
    <s v="TRADE FAIR BOOTH"/>
    <n v="-4096.03"/>
    <n v="-4096.03"/>
    <n v="-4096.03"/>
    <n v="4096.03"/>
    <m/>
    <x v="0"/>
    <x v="0"/>
    <x v="0"/>
  </r>
  <r>
    <s v="TXN-00816"/>
    <d v="2024-12-07T00:00:00"/>
    <x v="6"/>
    <x v="4"/>
    <n v="6900"/>
    <s v="Account maintenance fee"/>
    <s v="ACCOUNT MAINTENANCE FE"/>
    <n v="-27.01"/>
    <n v="-27.01"/>
    <n v="-27.01"/>
    <n v="27.01"/>
    <m/>
    <x v="0"/>
    <x v="0"/>
    <x v="0"/>
  </r>
  <r>
    <s v="TXN-00817"/>
    <d v="2024-07-03T00:00:00"/>
    <x v="10"/>
    <x v="0"/>
    <n v="4000"/>
    <s v="Product sale"/>
    <s v="PRODUCT SALE"/>
    <n v="14361.86"/>
    <n v="14361.86"/>
    <n v="14361.86"/>
    <n v="14361.86"/>
    <m/>
    <x v="0"/>
    <x v="0"/>
    <x v="0"/>
  </r>
  <r>
    <s v="TXN-00818"/>
    <d v="2024-06-19T00:00:00"/>
    <x v="3"/>
    <x v="8"/>
    <n v="5100"/>
    <s v="Vendor payment - materials"/>
    <s v="VENDOR PAYMENT - MATER"/>
    <n v="-6318.44"/>
    <n v="-6318.44"/>
    <n v="-6318.44"/>
    <n v="6318.44"/>
    <m/>
    <x v="0"/>
    <x v="0"/>
    <x v="0"/>
  </r>
  <r>
    <s v="TXN-00819"/>
    <d v="2024-01-25T00:00:00"/>
    <x v="9"/>
    <x v="2"/>
    <n v="6100"/>
    <s v="Warehouse lease"/>
    <s v="WAREHOUSE LEASE"/>
    <n v="-2134.9499999999998"/>
    <n v="-2134.9499999999998"/>
    <n v="-2134.9499999999998"/>
    <n v="2134.9499999999998"/>
    <m/>
    <x v="0"/>
    <x v="0"/>
    <x v="0"/>
  </r>
  <r>
    <s v="TXN-00820"/>
    <d v="2024-03-12T00:00:00"/>
    <x v="8"/>
    <x v="7"/>
    <n v="4900"/>
    <s v="Interest accrual"/>
    <s v="INTEREST ACCRUAL"/>
    <n v="388.06"/>
    <n v="388.06"/>
    <n v="388.06"/>
    <n v="388.06"/>
    <m/>
    <x v="0"/>
    <x v="0"/>
    <x v="0"/>
  </r>
  <r>
    <s v="TXN-00821"/>
    <d v="2024-05-03T00:00:00"/>
    <x v="5"/>
    <x v="0"/>
    <n v="4000"/>
    <s v="Invoice payment received"/>
    <s v="INVOICE PAYMENT RECEIV"/>
    <n v="24206.03"/>
    <n v="24206.03"/>
    <n v="24206.03"/>
    <n v="24206.03"/>
    <m/>
    <x v="0"/>
    <x v="0"/>
    <x v="0"/>
  </r>
  <r>
    <s v="TXN-00822"/>
    <d v="2024-05-17T00:00:00"/>
    <x v="5"/>
    <x v="2"/>
    <n v="6100"/>
    <s v="Rent payment"/>
    <s v="RENT PAYMENT"/>
    <n v="-5158.3100000000004"/>
    <n v="-5158.3100000000004"/>
    <n v="-5158.3100000000004"/>
    <n v="5158.3100000000004"/>
    <m/>
    <x v="0"/>
    <x v="0"/>
    <x v="0"/>
  </r>
  <r>
    <s v="TXN-00823"/>
    <d v="2024-05-12T00:00:00"/>
    <x v="5"/>
    <x v="8"/>
    <n v="5100"/>
    <s v="Supplier invoice"/>
    <s v="SUPPLIER INVOICE"/>
    <n v="-7991.61"/>
    <n v="-7991.61"/>
    <n v="-7991.61"/>
    <n v="7991.61"/>
    <m/>
    <x v="0"/>
    <x v="0"/>
    <x v="0"/>
  </r>
  <r>
    <s v="TXN-00824"/>
    <d v="2024-05-23T00:00:00"/>
    <x v="5"/>
    <x v="2"/>
    <n v="6100"/>
    <s v="Monthly office rent"/>
    <s v="MONTHLY OFFICE RENT"/>
    <n v="-1683.89"/>
    <n v="-1683.89"/>
    <n v="-1683.89"/>
    <n v="1683.89"/>
    <m/>
    <x v="0"/>
    <x v="0"/>
    <x v="0"/>
  </r>
  <r>
    <s v="TXN-00825"/>
    <d v="2024-10-07T00:00:00"/>
    <x v="4"/>
    <x v="2"/>
    <n v="6100"/>
    <s v="Monthly office rent"/>
    <s v="MONTHLY OFFICE RENT"/>
    <n v="-3837.64"/>
    <n v="-3837.64"/>
    <n v="-3837.64"/>
    <n v="3837.64"/>
    <m/>
    <x v="0"/>
    <x v="0"/>
    <x v="0"/>
  </r>
  <r>
    <s v="TXN-00826"/>
    <d v="2024-02-17T00:00:00"/>
    <x v="0"/>
    <x v="0"/>
    <n v="4000"/>
    <s v="Product sale"/>
    <s v="PRODUCT SALE"/>
    <n v="6954.51"/>
    <n v="6954.51"/>
    <n v="6954.51"/>
    <n v="6954.51"/>
    <m/>
    <x v="0"/>
    <x v="0"/>
    <x v="0"/>
  </r>
  <r>
    <s v="TXN-00827"/>
    <d v="2024-05-01T00:00:00"/>
    <x v="5"/>
    <x v="2"/>
    <n v="6100"/>
    <s v="Monthly office rent"/>
    <s v="MONTHLY OFFICE RENT"/>
    <n v="-1398.97"/>
    <n v="-1398.97"/>
    <n v="-1398.97"/>
    <n v="1398.97"/>
    <m/>
    <x v="0"/>
    <x v="0"/>
    <x v="0"/>
  </r>
  <r>
    <s v="TXN-00828"/>
    <d v="2024-02-29T00:00:00"/>
    <x v="0"/>
    <x v="4"/>
    <n v="6900"/>
    <s v="Card processing fee"/>
    <s v="CARD PROCESSING FEE"/>
    <n v="-86.76"/>
    <n v="-86.76"/>
    <n v="-86.76"/>
    <n v="86.76"/>
    <m/>
    <x v="0"/>
    <x v="0"/>
    <x v="0"/>
  </r>
  <r>
    <s v="TXN-00829"/>
    <d v="2024-04-22T00:00:00"/>
    <x v="1"/>
    <x v="4"/>
    <n v="6900"/>
    <s v="Wire transfer fee"/>
    <s v="WIRE TRANSFER FEE"/>
    <n v="-13.53"/>
    <n v="228.18"/>
    <n v="-13.53"/>
    <n v="13.53"/>
    <n v="-241.71"/>
    <x v="1"/>
    <x v="1"/>
    <x v="0"/>
  </r>
  <r>
    <s v="TXN-00830"/>
    <d v="2024-09-06T00:00:00"/>
    <x v="11"/>
    <x v="0"/>
    <n v="4000"/>
    <s v="Product sale"/>
    <s v="PRODUCT SALE"/>
    <n v="15147.47"/>
    <n v="15147.47"/>
    <n v="15147.47"/>
    <n v="15147.47"/>
    <m/>
    <x v="0"/>
    <x v="0"/>
    <x v="0"/>
  </r>
  <r>
    <s v="TXN-00831"/>
    <d v="2024-01-18T00:00:00"/>
    <x v="9"/>
    <x v="5"/>
    <n v="6000"/>
    <s v="Monthly salary run"/>
    <s v="MONTHLY SALARY RUN"/>
    <n v="-2209.04"/>
    <n v="-2209.04"/>
    <n v="-2209.04"/>
    <n v="2209.04"/>
    <m/>
    <x v="0"/>
    <x v="0"/>
    <x v="0"/>
  </r>
  <r>
    <s v="TXN-00832"/>
    <d v="2024-05-03T00:00:00"/>
    <x v="5"/>
    <x v="5"/>
    <n v="6000"/>
    <s v="Employee wages"/>
    <s v="EMPLOYEE WAGES"/>
    <n v="-6878.55"/>
    <n v="-6878.55"/>
    <n v="-6878.55"/>
    <n v="6878.55"/>
    <m/>
    <x v="0"/>
    <x v="0"/>
    <x v="0"/>
  </r>
  <r>
    <s v="TXN-00833"/>
    <d v="2024-01-09T00:00:00"/>
    <x v="9"/>
    <x v="3"/>
    <n v="6300"/>
    <s v="Stationery purchase"/>
    <s v="STATIONERY PURCHASE"/>
    <n v="-603.37"/>
    <n v="-603.37"/>
    <n v="-603.37"/>
    <n v="603.37"/>
    <m/>
    <x v="0"/>
    <x v="0"/>
    <x v="0"/>
  </r>
  <r>
    <s v="TXN-00834"/>
    <d v="2024-12-14T00:00:00"/>
    <x v="6"/>
    <x v="8"/>
    <n v="5100"/>
    <s v="Supplier invoice"/>
    <s v="SUPPLIER INVOICE"/>
    <n v="-1956.43"/>
    <n v="-1956.43"/>
    <n v="-1956.43"/>
    <n v="1956.43"/>
    <m/>
    <x v="0"/>
    <x v="0"/>
    <x v="0"/>
  </r>
  <r>
    <s v="TXN-00835"/>
    <d v="2024-09-22T00:00:00"/>
    <x v="11"/>
    <x v="4"/>
    <n v="6900"/>
    <s v="Wire transfer fee"/>
    <s v="WIRE TRANSFER FEE"/>
    <n v="-134.74"/>
    <n v="-134.74"/>
    <n v="-134.74"/>
    <n v="134.74"/>
    <m/>
    <x v="0"/>
    <x v="0"/>
    <x v="0"/>
  </r>
  <r>
    <s v="TXN-00836"/>
    <d v="2024-03-29T00:00:00"/>
    <x v="8"/>
    <x v="1"/>
    <n v="6500"/>
    <s v="Print advertising"/>
    <s v="PRINT ADVERTISING"/>
    <n v="-1609.9"/>
    <n v="-1609.9"/>
    <n v="-1609.9"/>
    <n v="1609.9"/>
    <m/>
    <x v="0"/>
    <x v="0"/>
    <x v="0"/>
  </r>
  <r>
    <s v="TXN-00837"/>
    <d v="2024-03-13T00:00:00"/>
    <x v="8"/>
    <x v="4"/>
    <n v="6900"/>
    <s v="Account maintenance fee"/>
    <s v="ACCOUNT MAINTENANCE FE"/>
    <n v="-90.21"/>
    <n v="-90.21"/>
    <n v="-90.21"/>
    <n v="90.21"/>
    <m/>
    <x v="0"/>
    <x v="0"/>
    <x v="0"/>
  </r>
  <r>
    <s v="TXN-00838"/>
    <d v="2024-02-06T00:00:00"/>
    <x v="0"/>
    <x v="8"/>
    <n v="5100"/>
    <s v="Supplier invoice"/>
    <s v="SUPPLIER INVOICE"/>
    <n v="-10827.32"/>
    <n v="-10827.32"/>
    <n v="-10827.32"/>
    <n v="10827.32"/>
    <m/>
    <x v="0"/>
    <x v="0"/>
    <x v="0"/>
  </r>
  <r>
    <s v="TXN-00839"/>
    <d v="2024-06-21T00:00:00"/>
    <x v="3"/>
    <x v="0"/>
    <n v="4000"/>
    <s v="Customer deposit"/>
    <s v="CUSTOMER DEPOSIT"/>
    <n v="4329.1400000000003"/>
    <n v="4329.1400000000003"/>
    <n v="4329.1400000000003"/>
    <n v="4329.1400000000003"/>
    <m/>
    <x v="0"/>
    <x v="0"/>
    <x v="0"/>
  </r>
  <r>
    <s v="TXN-00840"/>
    <d v="2024-10-02T00:00:00"/>
    <x v="4"/>
    <x v="7"/>
    <n v="4900"/>
    <s v="Savings interest"/>
    <s v="SAVINGS INTEREST"/>
    <n v="46.14"/>
    <n v="46.14"/>
    <n v="46.14"/>
    <n v="46.14"/>
    <m/>
    <x v="0"/>
    <x v="0"/>
    <x v="0"/>
  </r>
  <r>
    <s v="TXN-00841"/>
    <d v="2024-08-01T00:00:00"/>
    <x v="2"/>
    <x v="5"/>
    <n v="6000"/>
    <s v="Employee wages"/>
    <s v="EMPLOYEE WAGES"/>
    <n v="-6281.2"/>
    <n v="-6281.2"/>
    <n v="-6281.2"/>
    <n v="6281.2"/>
    <m/>
    <x v="0"/>
    <x v="0"/>
    <x v="0"/>
  </r>
  <r>
    <s v="TXN-00842"/>
    <d v="2024-11-17T00:00:00"/>
    <x v="7"/>
    <x v="2"/>
    <n v="6100"/>
    <s v="Rent payment"/>
    <s v="RENT PAYMENT"/>
    <n v="-5337.17"/>
    <n v="-5337.17"/>
    <n v="-5337.17"/>
    <n v="5337.17"/>
    <m/>
    <x v="0"/>
    <x v="0"/>
    <x v="1"/>
  </r>
  <r>
    <s v="TXN-00843"/>
    <d v="2024-05-05T00:00:00"/>
    <x v="5"/>
    <x v="7"/>
    <n v="4900"/>
    <s v="Deposit interest credit"/>
    <s v="DEPOSIT INTEREST CREDI"/>
    <n v="369.33"/>
    <n v="369.33"/>
    <n v="369.33"/>
    <n v="369.33"/>
    <m/>
    <x v="0"/>
    <x v="0"/>
    <x v="0"/>
  </r>
  <r>
    <s v="TXN-00844"/>
    <d v="2024-04-11T00:00:00"/>
    <x v="1"/>
    <x v="0"/>
    <n v="4000"/>
    <s v="Customer deposit"/>
    <s v="CUSTOMER DEPOSIT"/>
    <n v="2650.1"/>
    <n v="2650.1"/>
    <n v="2650.1"/>
    <n v="2650.1"/>
    <m/>
    <x v="0"/>
    <x v="0"/>
    <x v="0"/>
  </r>
  <r>
    <s v="TXN-00845"/>
    <d v="2024-06-23T00:00:00"/>
    <x v="3"/>
    <x v="0"/>
    <n v="4000"/>
    <s v="Product sale"/>
    <s v="PRODUCT SALE"/>
    <n v="23275.99"/>
    <n v="23275.99"/>
    <n v="23275.99"/>
    <n v="23275.99"/>
    <m/>
    <x v="0"/>
    <x v="0"/>
    <x v="0"/>
  </r>
  <r>
    <s v="TXN-00846"/>
    <d v="2024-03-14T00:00:00"/>
    <x v="8"/>
    <x v="0"/>
    <n v="4000"/>
    <s v="Invoice payment received"/>
    <s v="INVOICE PAYMENT RECEIV"/>
    <n v="23713.58"/>
    <n v="23713.58"/>
    <n v="23713.58"/>
    <n v="23713.58"/>
    <m/>
    <x v="0"/>
    <x v="0"/>
    <x v="0"/>
  </r>
  <r>
    <s v="TXN-00847"/>
    <d v="2024-12-22T00:00:00"/>
    <x v="6"/>
    <x v="8"/>
    <n v="5100"/>
    <s v="Vendor payment - materials"/>
    <s v="VENDOR PAYMENT - MATER"/>
    <n v="-5456.44"/>
    <n v="-5456.44"/>
    <n v="-5456.44"/>
    <n v="5456.44"/>
    <m/>
    <x v="0"/>
    <x v="0"/>
    <x v="0"/>
  </r>
  <r>
    <s v="TXN-00848"/>
    <d v="2024-03-08T00:00:00"/>
    <x v="8"/>
    <x v="0"/>
    <n v="4000"/>
    <s v="Invoice payment received"/>
    <s v="INVOICE PAYMENT RECEIV"/>
    <n v="11585.03"/>
    <n v="11585.03"/>
    <n v="11585.03"/>
    <n v="11585.03"/>
    <m/>
    <x v="0"/>
    <x v="0"/>
    <x v="0"/>
  </r>
  <r>
    <s v="TXN-00849"/>
    <d v="2024-06-23T00:00:00"/>
    <x v="3"/>
    <x v="4"/>
    <n v="6900"/>
    <s v="Card processing fee"/>
    <s v="CARD PROCESSING FEE"/>
    <n v="-32.56"/>
    <n v="-32.56"/>
    <n v="-32.56"/>
    <n v="32.56"/>
    <m/>
    <x v="0"/>
    <x v="0"/>
    <x v="0"/>
  </r>
  <r>
    <s v="TXN-00850"/>
    <d v="2024-07-09T00:00:00"/>
    <x v="10"/>
    <x v="2"/>
    <n v="6100"/>
    <s v="Warehouse lease"/>
    <s v="WAREHOUSE LEASE"/>
    <n v="-5471.55"/>
    <n v="-5471.55"/>
    <n v="-5471.55"/>
    <n v="5471.55"/>
    <m/>
    <x v="0"/>
    <x v="0"/>
    <x v="0"/>
  </r>
  <r>
    <s v="TXN-00851"/>
    <d v="2024-01-21T00:00:00"/>
    <x v="9"/>
    <x v="7"/>
    <n v="4900"/>
    <s v="Interest accrual"/>
    <s v="INTEREST ACCRUAL"/>
    <n v="283.58"/>
    <n v="283.58"/>
    <n v="283.58"/>
    <n v="283.58"/>
    <m/>
    <x v="0"/>
    <x v="0"/>
    <x v="0"/>
  </r>
  <r>
    <s v="TXN-00852"/>
    <d v="2024-06-19T00:00:00"/>
    <x v="3"/>
    <x v="4"/>
    <n v="6900"/>
    <s v="Account maintenance fee"/>
    <s v="ACCOUNT MAINTENANCE FE"/>
    <n v="-14.74"/>
    <n v="-14.74"/>
    <n v="-14.74"/>
    <n v="14.74"/>
    <m/>
    <x v="0"/>
    <x v="0"/>
    <x v="0"/>
  </r>
  <r>
    <s v="TXN-00853"/>
    <d v="2024-06-14T00:00:00"/>
    <x v="3"/>
    <x v="7"/>
    <n v="4900"/>
    <s v="Savings interest"/>
    <s v="SAVINGS INTEREST"/>
    <n v="263.22000000000003"/>
    <n v="263.22000000000003"/>
    <n v="263.22000000000003"/>
    <n v="263.22000000000003"/>
    <m/>
    <x v="0"/>
    <x v="0"/>
    <x v="0"/>
  </r>
  <r>
    <s v="TXN-00854"/>
    <d v="2024-04-04T00:00:00"/>
    <x v="1"/>
    <x v="5"/>
    <n v="6000"/>
    <s v="Monthly salary run"/>
    <s v="MONTHLY SALARY RUN"/>
    <n v="-5059.67"/>
    <n v="-5059.67"/>
    <n v="-5059.67"/>
    <n v="5059.67"/>
    <m/>
    <x v="0"/>
    <x v="0"/>
    <x v="0"/>
  </r>
  <r>
    <s v="TXN-00855"/>
    <d v="2024-02-16T00:00:00"/>
    <x v="0"/>
    <x v="5"/>
    <n v="6000"/>
    <s v="Payroll transfer"/>
    <s v="PAYROLL TRANSFER"/>
    <n v="-2487.2199999999998"/>
    <n v="-2487.2199999999998"/>
    <n v="-2487.2199999999998"/>
    <n v="2487.2199999999998"/>
    <m/>
    <x v="0"/>
    <x v="0"/>
    <x v="0"/>
  </r>
  <r>
    <s v="TXN-00856"/>
    <d v="2024-01-17T00:00:00"/>
    <x v="9"/>
    <x v="4"/>
    <n v="6900"/>
    <s v="Wire transfer fee"/>
    <s v="WIRE TRANSFER FEE"/>
    <n v="-142.72999999999999"/>
    <n v="-142.72999999999999"/>
    <n v="-142.72999999999999"/>
    <n v="142.72999999999999"/>
    <m/>
    <x v="0"/>
    <x v="0"/>
    <x v="0"/>
  </r>
  <r>
    <s v="TXN-00857"/>
    <d v="2024-01-04T00:00:00"/>
    <x v="9"/>
    <x v="5"/>
    <n v="6000"/>
    <s v="Employee wages"/>
    <s v="EMPLOYEE WAGES"/>
    <n v="-10700.81"/>
    <n v="-10700.81"/>
    <n v="-10700.81"/>
    <n v="10700.81"/>
    <m/>
    <x v="0"/>
    <x v="0"/>
    <x v="0"/>
  </r>
  <r>
    <s v="TXN-00858"/>
    <d v="2024-06-24T00:00:00"/>
    <x v="3"/>
    <x v="0"/>
    <n v="4000"/>
    <s v="Product sale"/>
    <s v="PRODUCT SALE"/>
    <n v="3843.53"/>
    <n v="3843.53"/>
    <n v="3843.53"/>
    <n v="3843.53"/>
    <m/>
    <x v="0"/>
    <x v="0"/>
    <x v="0"/>
  </r>
  <r>
    <s v="TXN-00859"/>
    <d v="2024-02-02T00:00:00"/>
    <x v="0"/>
    <x v="2"/>
    <n v="6100"/>
    <s v="Rent payment"/>
    <s v="RENT PAYMENT"/>
    <n v="-2715.39"/>
    <n v="-2715.39"/>
    <n v="-2715.39"/>
    <n v="2715.39"/>
    <m/>
    <x v="0"/>
    <x v="0"/>
    <x v="0"/>
  </r>
  <r>
    <s v="TXN-00860"/>
    <d v="2024-12-16T00:00:00"/>
    <x v="6"/>
    <x v="4"/>
    <n v="6900"/>
    <s v="Account maintenance fee"/>
    <s v="ACCOUNT MAINTENANCE FE"/>
    <n v="-82.89"/>
    <n v="-82.89"/>
    <n v="-82.89"/>
    <n v="82.89"/>
    <m/>
    <x v="0"/>
    <x v="0"/>
    <x v="0"/>
  </r>
  <r>
    <s v="TXN-00861"/>
    <d v="2024-03-30T00:00:00"/>
    <x v="8"/>
    <x v="7"/>
    <n v="4900"/>
    <s v="Savings interest"/>
    <s v="SAVINGS INTEREST"/>
    <n v="28.95"/>
    <n v="28.95"/>
    <n v="28.95"/>
    <n v="28.95"/>
    <m/>
    <x v="0"/>
    <x v="0"/>
    <x v="0"/>
  </r>
  <r>
    <s v="TXN-00862"/>
    <d v="2024-08-26T00:00:00"/>
    <x v="2"/>
    <x v="7"/>
    <n v="4900"/>
    <s v="Deposit interest credit"/>
    <s v="DEPOSIT INTEREST CREDI"/>
    <n v="150.71"/>
    <n v="150.71"/>
    <n v="150.71"/>
    <n v="150.71"/>
    <m/>
    <x v="0"/>
    <x v="0"/>
    <x v="0"/>
  </r>
  <r>
    <s v="TXN-00863"/>
    <d v="2024-09-02T00:00:00"/>
    <x v="11"/>
    <x v="8"/>
    <n v="5100"/>
    <s v="Vendor payment - materials"/>
    <s v="VENDOR PAYMENT - MATER"/>
    <n v="-5911.64"/>
    <n v="-5911.64"/>
    <n v="-5911.64"/>
    <n v="5911.64"/>
    <m/>
    <x v="0"/>
    <x v="0"/>
    <x v="0"/>
  </r>
  <r>
    <s v="TXN-00864"/>
    <d v="2024-06-29T00:00:00"/>
    <x v="3"/>
    <x v="1"/>
    <n v="6500"/>
    <s v="Online ad campaign"/>
    <s v="ONLINE AD CAMPAIGN"/>
    <n v="-1696.13"/>
    <n v="-1696.13"/>
    <n v="-1696.13"/>
    <n v="1696.13"/>
    <m/>
    <x v="0"/>
    <x v="0"/>
    <x v="0"/>
  </r>
  <r>
    <s v="TXN-00865"/>
    <d v="2024-11-18T00:00:00"/>
    <x v="7"/>
    <x v="4"/>
    <n v="6900"/>
    <s v="Card processing fee"/>
    <s v="CARD PROCESSING FEE"/>
    <n v="-95.91"/>
    <n v="-95.91"/>
    <n v="-95.91"/>
    <n v="95.91"/>
    <m/>
    <x v="0"/>
    <x v="0"/>
    <x v="0"/>
  </r>
  <r>
    <s v="TXN-00866"/>
    <d v="2024-02-10T00:00:00"/>
    <x v="0"/>
    <x v="2"/>
    <n v="6100"/>
    <s v="Monthly office rent"/>
    <s v="MONTHLY OFFICE RENT"/>
    <n v="-2818.4"/>
    <n v="-2818.4"/>
    <n v="-2818.4"/>
    <n v="2818.4"/>
    <m/>
    <x v="0"/>
    <x v="0"/>
    <x v="0"/>
  </r>
  <r>
    <s v="TXN-00867"/>
    <d v="2024-03-26T00:00:00"/>
    <x v="8"/>
    <x v="4"/>
    <n v="6900"/>
    <s v="Account maintenance fee"/>
    <s v="ACCOUNT MAINTENANCE FE"/>
    <n v="-82.42"/>
    <n v="-82.42"/>
    <n v="-82.42"/>
    <n v="82.42"/>
    <m/>
    <x v="0"/>
    <x v="0"/>
    <x v="0"/>
  </r>
  <r>
    <s v="TXN-00868"/>
    <d v="2024-04-02T00:00:00"/>
    <x v="1"/>
    <x v="4"/>
    <n v="6900"/>
    <s v="Wire transfer fee"/>
    <s v="WIRE TRANSFER FEE"/>
    <n v="-116.92"/>
    <n v="-116.92"/>
    <n v="-116.92"/>
    <n v="116.92"/>
    <m/>
    <x v="0"/>
    <x v="0"/>
    <x v="0"/>
  </r>
  <r>
    <s v="TXN-00869"/>
    <d v="2024-02-19T00:00:00"/>
    <x v="0"/>
    <x v="3"/>
    <n v="6300"/>
    <s v="Stationery purchase"/>
    <s v="STATIONERY PURCHASE"/>
    <n v="-537.02"/>
    <n v="-537.02"/>
    <n v="-537.02"/>
    <n v="537.02"/>
    <m/>
    <x v="0"/>
    <x v="0"/>
    <x v="0"/>
  </r>
  <r>
    <s v="TXN-00870"/>
    <d v="2024-04-17T00:00:00"/>
    <x v="1"/>
    <x v="0"/>
    <n v="4000"/>
    <s v="Customer deposit"/>
    <s v="CUSTOMER DEPOSIT"/>
    <n v="24171.96"/>
    <n v="24171.96"/>
    <n v="24171.96"/>
    <n v="24171.96"/>
    <m/>
    <x v="0"/>
    <x v="0"/>
    <x v="0"/>
  </r>
  <r>
    <s v="TXN-00871"/>
    <d v="2024-04-24T00:00:00"/>
    <x v="1"/>
    <x v="3"/>
    <n v="6300"/>
    <s v="Stationery purchase"/>
    <s v="STATIONERY PURCHASE"/>
    <n v="-820.62"/>
    <n v="-521.53"/>
    <n v="-820.62"/>
    <n v="820.62"/>
    <n v="-299.08999999999997"/>
    <x v="1"/>
    <x v="1"/>
    <x v="0"/>
  </r>
  <r>
    <s v="TXN-00872"/>
    <d v="2024-10-06T00:00:00"/>
    <x v="4"/>
    <x v="5"/>
    <n v="6000"/>
    <s v="Payroll transfer"/>
    <s v="PAYROLL TRANSFER"/>
    <n v="-9833.56"/>
    <n v="-9833.56"/>
    <n v="-9833.56"/>
    <n v="9833.56"/>
    <m/>
    <x v="0"/>
    <x v="0"/>
    <x v="0"/>
  </r>
  <r>
    <s v="TXN-00873"/>
    <d v="2024-04-20T00:00:00"/>
    <x v="1"/>
    <x v="8"/>
    <n v="5100"/>
    <s v="Vendor payment - materials"/>
    <s v="VENDOR PAYMENT - MATER"/>
    <n v="-6550.66"/>
    <n v="-6550.66"/>
    <n v="-6550.66"/>
    <n v="6550.66"/>
    <m/>
    <x v="0"/>
    <x v="0"/>
    <x v="0"/>
  </r>
  <r>
    <s v="TXN-00874"/>
    <d v="2024-11-15T00:00:00"/>
    <x v="7"/>
    <x v="8"/>
    <n v="5100"/>
    <s v="Supplier invoice"/>
    <s v="SUPPLIER INVOICE"/>
    <n v="-10535.11"/>
    <n v="-10535.11"/>
    <n v="-10535.11"/>
    <n v="10535.11"/>
    <m/>
    <x v="0"/>
    <x v="0"/>
    <x v="0"/>
  </r>
  <r>
    <s v="TXN-00875"/>
    <d v="2024-10-09T00:00:00"/>
    <x v="4"/>
    <x v="2"/>
    <n v="6100"/>
    <s v="Warehouse lease"/>
    <s v="WAREHOUSE LEASE"/>
    <n v="-3183.56"/>
    <n v="-3183.56"/>
    <n v="-3183.56"/>
    <n v="3183.56"/>
    <m/>
    <x v="0"/>
    <x v="0"/>
    <x v="0"/>
  </r>
  <r>
    <s v="TXN-00876"/>
    <d v="2024-11-25T00:00:00"/>
    <x v="7"/>
    <x v="6"/>
    <n v="6400"/>
    <s v="Hotel accommodation"/>
    <s v="HOTEL ACCOMMODATION"/>
    <n v="-397.33"/>
    <n v="-284.39"/>
    <n v="-397.33"/>
    <n v="397.33"/>
    <n v="-112.94"/>
    <x v="1"/>
    <x v="1"/>
    <x v="0"/>
  </r>
  <r>
    <s v="TXN-00877"/>
    <d v="2024-02-08T00:00:00"/>
    <x v="0"/>
    <x v="6"/>
    <n v="6400"/>
    <s v="Client dinner"/>
    <s v="CLIENT DINNER"/>
    <n v="-512.85"/>
    <n v="-512.85"/>
    <n v="-512.85"/>
    <n v="512.85"/>
    <m/>
    <x v="0"/>
    <x v="0"/>
    <x v="0"/>
  </r>
  <r>
    <s v="TXN-00878"/>
    <d v="2024-12-25T00:00:00"/>
    <x v="6"/>
    <x v="1"/>
    <n v="6500"/>
    <s v="Trade fair booth"/>
    <s v="TRADE FAIR BOOTH"/>
    <n v="-6049.43"/>
    <n v="-6049.43"/>
    <n v="-6049.43"/>
    <n v="6049.43"/>
    <m/>
    <x v="0"/>
    <x v="0"/>
    <x v="0"/>
  </r>
  <r>
    <s v="TXN-00879"/>
    <d v="2024-08-12T00:00:00"/>
    <x v="2"/>
    <x v="6"/>
    <n v="6400"/>
    <s v="Business trip - airfare"/>
    <s v="BUSINESS TRIP - AIRFAR"/>
    <n v="-2554.14"/>
    <n v="-2554.14"/>
    <n v="-2554.14"/>
    <n v="2554.14"/>
    <m/>
    <x v="0"/>
    <x v="0"/>
    <x v="0"/>
  </r>
  <r>
    <s v="TXN-00880"/>
    <d v="2024-12-24T00:00:00"/>
    <x v="6"/>
    <x v="2"/>
    <n v="6100"/>
    <s v="Warehouse lease"/>
    <s v="WAREHOUSE LEASE"/>
    <n v="-5320.68"/>
    <n v="-5320.68"/>
    <n v="-5320.68"/>
    <n v="5320.68"/>
    <m/>
    <x v="0"/>
    <x v="0"/>
    <x v="0"/>
  </r>
  <r>
    <s v="TXN-00881"/>
    <d v="2024-05-09T00:00:00"/>
    <x v="5"/>
    <x v="0"/>
    <n v="4000"/>
    <s v="Customer deposit"/>
    <s v="CUSTOMER DEPOSIT"/>
    <n v="15504.76"/>
    <n v="15504.76"/>
    <n v="15504.76"/>
    <n v="15504.76"/>
    <m/>
    <x v="0"/>
    <x v="0"/>
    <x v="0"/>
  </r>
  <r>
    <s v="TXN-00882"/>
    <d v="2024-12-13T00:00:00"/>
    <x v="6"/>
    <x v="4"/>
    <n v="6900"/>
    <s v="Wire transfer fee"/>
    <s v="WIRE TRANSFER FEE"/>
    <n v="-114.41"/>
    <n v="-114.41"/>
    <n v="-114.41"/>
    <n v="114.41"/>
    <m/>
    <x v="0"/>
    <x v="0"/>
    <x v="0"/>
  </r>
  <r>
    <s v="TXN-00883"/>
    <d v="2024-08-02T00:00:00"/>
    <x v="2"/>
    <x v="3"/>
    <n v="6300"/>
    <s v="Printer consumables"/>
    <s v="PRINTER CONSUMABLES"/>
    <n v="-784.77"/>
    <n v="-784.77"/>
    <n v="-784.77"/>
    <n v="784.77"/>
    <m/>
    <x v="0"/>
    <x v="0"/>
    <x v="0"/>
  </r>
  <r>
    <s v="TXN-00884"/>
    <d v="2024-01-27T00:00:00"/>
    <x v="9"/>
    <x v="8"/>
    <n v="5100"/>
    <s v="Contractor fee"/>
    <s v="CONTRACTOR FEE"/>
    <n v="-739.17"/>
    <n v="-739.17"/>
    <n v="-739.17"/>
    <n v="739.17"/>
    <m/>
    <x v="0"/>
    <x v="0"/>
    <x v="0"/>
  </r>
  <r>
    <s v="TXN-00885"/>
    <d v="2024-05-29T00:00:00"/>
    <x v="5"/>
    <x v="4"/>
    <n v="6900"/>
    <s v="Account maintenance fee"/>
    <s v="ACCOUNT MAINTENANCE FE"/>
    <n v="-36.36"/>
    <n v="-36.36"/>
    <n v="-36.36"/>
    <n v="36.36"/>
    <m/>
    <x v="0"/>
    <x v="0"/>
    <x v="0"/>
  </r>
  <r>
    <s v="TXN-00886"/>
    <d v="2024-02-20T00:00:00"/>
    <x v="0"/>
    <x v="1"/>
    <n v="6500"/>
    <s v="Trade fair booth"/>
    <s v="TRADE FAIR BOOTH"/>
    <n v="-6903.72"/>
    <n v="-6903.72"/>
    <n v="-6903.72"/>
    <n v="6903.72"/>
    <m/>
    <x v="0"/>
    <x v="0"/>
    <x v="0"/>
  </r>
  <r>
    <s v="TXN-00887"/>
    <d v="2024-12-09T00:00:00"/>
    <x v="6"/>
    <x v="0"/>
    <n v="4000"/>
    <s v="Product sale"/>
    <s v="PRODUCT SALE"/>
    <n v="10795.45"/>
    <n v="10795.45"/>
    <n v="10795.45"/>
    <n v="10795.45"/>
    <m/>
    <x v="0"/>
    <x v="0"/>
    <x v="0"/>
  </r>
  <r>
    <s v="TXN-00888"/>
    <d v="2024-04-21T00:00:00"/>
    <x v="1"/>
    <x v="8"/>
    <n v="5100"/>
    <s v="Vendor payment - materials"/>
    <s v="VENDOR PAYMENT - MATER"/>
    <n v="-2983.94"/>
    <n v="-2983.94"/>
    <n v="-2983.94"/>
    <n v="2983.94"/>
    <m/>
    <x v="0"/>
    <x v="0"/>
    <x v="0"/>
  </r>
  <r>
    <s v="TXN-00889"/>
    <d v="2024-03-22T00:00:00"/>
    <x v="8"/>
    <x v="0"/>
    <n v="4000"/>
    <s v="Product sale"/>
    <s v="PRODUCT SALE"/>
    <n v="17742.55"/>
    <n v="17742.55"/>
    <n v="17742.55"/>
    <n v="17742.55"/>
    <m/>
    <x v="0"/>
    <x v="0"/>
    <x v="0"/>
  </r>
  <r>
    <s v="TXN-00890"/>
    <d v="2024-07-20T00:00:00"/>
    <x v="10"/>
    <x v="5"/>
    <n v="6000"/>
    <s v="Payroll transfer"/>
    <s v="PAYROLL TRANSFER"/>
    <n v="-3645.78"/>
    <n v="-3645.78"/>
    <n v="-3645.78"/>
    <n v="3645.78"/>
    <m/>
    <x v="0"/>
    <x v="0"/>
    <x v="0"/>
  </r>
  <r>
    <s v="TXN-00891"/>
    <d v="2024-06-04T00:00:00"/>
    <x v="3"/>
    <x v="0"/>
    <n v="4000"/>
    <s v="Product sale"/>
    <s v="PRODUCT SALE"/>
    <n v="22256.7"/>
    <n v="22256.7"/>
    <n v="22256.7"/>
    <n v="22256.7"/>
    <m/>
    <x v="0"/>
    <x v="0"/>
    <x v="0"/>
  </r>
  <r>
    <s v="TXN-00892"/>
    <d v="2024-02-05T00:00:00"/>
    <x v="0"/>
    <x v="1"/>
    <n v="6500"/>
    <s v="Online ad campaign"/>
    <s v="ONLINE AD CAMPAIGN"/>
    <n v="-6149.05"/>
    <n v="-6149.05"/>
    <n v="-6149.05"/>
    <n v="6149.05"/>
    <m/>
    <x v="0"/>
    <x v="0"/>
    <x v="0"/>
  </r>
  <r>
    <s v="TXN-00893"/>
    <d v="2024-10-25T00:00:00"/>
    <x v="4"/>
    <x v="6"/>
    <n v="6400"/>
    <s v="Business trip - airfare"/>
    <s v="BUSINESS TRIP - AIRFAR"/>
    <n v="-1079.71"/>
    <n v="-1079.71"/>
    <n v="-1079.71"/>
    <n v="1079.71"/>
    <m/>
    <x v="0"/>
    <x v="0"/>
    <x v="0"/>
  </r>
  <r>
    <s v="TXN-00894"/>
    <d v="2024-11-04T00:00:00"/>
    <x v="7"/>
    <x v="7"/>
    <n v="4900"/>
    <s v="Deposit interest credit"/>
    <s v="DEPOSIT INTEREST CREDI"/>
    <n v="388.97"/>
    <n v="388.97"/>
    <n v="388.97"/>
    <n v="388.97"/>
    <m/>
    <x v="0"/>
    <x v="0"/>
    <x v="0"/>
  </r>
  <r>
    <s v="TXN-00895"/>
    <d v="2024-09-28T00:00:00"/>
    <x v="11"/>
    <x v="1"/>
    <n v="6500"/>
    <s v="Online ad campaign"/>
    <s v="ONLINE AD CAMPAIGN"/>
    <n v="-4942.6000000000004"/>
    <n v="-4942.6000000000004"/>
    <n v="-4942.6000000000004"/>
    <n v="4942.6000000000004"/>
    <m/>
    <x v="0"/>
    <x v="0"/>
    <x v="0"/>
  </r>
  <r>
    <s v="TXN-00896"/>
    <d v="2024-08-13T00:00:00"/>
    <x v="2"/>
    <x v="2"/>
    <n v="6100"/>
    <s v="Rent payment"/>
    <s v="RENT PAYMENT"/>
    <n v="-2399.67"/>
    <n v="-2399.67"/>
    <n v="-2399.67"/>
    <n v="2399.67"/>
    <m/>
    <x v="0"/>
    <x v="0"/>
    <x v="0"/>
  </r>
  <r>
    <s v="TXN-00897"/>
    <d v="2024-05-26T00:00:00"/>
    <x v="5"/>
    <x v="6"/>
    <n v="6400"/>
    <s v="Client dinner"/>
    <s v="CLIENT DINNER"/>
    <n v="-215.17"/>
    <n v="-215.17"/>
    <n v="-215.17"/>
    <n v="215.17"/>
    <m/>
    <x v="0"/>
    <x v="0"/>
    <x v="0"/>
  </r>
  <r>
    <s v="TXN-00898"/>
    <d v="2024-07-16T00:00:00"/>
    <x v="10"/>
    <x v="0"/>
    <n v="4000"/>
    <s v="Invoice payment received"/>
    <s v="INVOICE PAYMENT RECEIV"/>
    <n v="18347.810000000001"/>
    <n v="18347.810000000001"/>
    <n v="18347.810000000001"/>
    <n v="18347.810000000001"/>
    <m/>
    <x v="0"/>
    <x v="0"/>
    <x v="1"/>
  </r>
  <r>
    <s v="TXN-00899"/>
    <d v="2024-07-09T00:00:00"/>
    <x v="10"/>
    <x v="0"/>
    <n v="4000"/>
    <s v="Customer deposit"/>
    <s v="CUSTOMER DEPOSIT"/>
    <n v="619"/>
    <n v="619"/>
    <n v="619"/>
    <n v="619"/>
    <m/>
    <x v="0"/>
    <x v="0"/>
    <x v="0"/>
  </r>
  <r>
    <s v="TXN-00900"/>
    <d v="2024-03-01T00:00:00"/>
    <x v="8"/>
    <x v="2"/>
    <n v="6100"/>
    <s v="Monthly office rent"/>
    <s v="MONTHLY OFFICE RENT"/>
    <n v="-4593.37"/>
    <n v="-4593.37"/>
    <n v="-4593.37"/>
    <n v="4593.37"/>
    <m/>
    <x v="0"/>
    <x v="0"/>
    <x v="0"/>
  </r>
  <r>
    <s v="TXN-00901"/>
    <d v="2024-01-30T00:00:00"/>
    <x v="9"/>
    <x v="0"/>
    <n v="4000"/>
    <s v="Product sale"/>
    <s v="PRODUCT SALE"/>
    <n v="19034.32"/>
    <n v="19034.32"/>
    <n v="19034.32"/>
    <n v="19034.32"/>
    <m/>
    <x v="0"/>
    <x v="0"/>
    <x v="0"/>
  </r>
  <r>
    <s v="TXN-00902"/>
    <d v="2024-04-02T00:00:00"/>
    <x v="1"/>
    <x v="0"/>
    <n v="4000"/>
    <s v="Product sale"/>
    <s v="PRODUCT SALE"/>
    <n v="12055.18"/>
    <n v="12055.18"/>
    <n v="12055.18"/>
    <n v="12055.18"/>
    <m/>
    <x v="0"/>
    <x v="0"/>
    <x v="0"/>
  </r>
  <r>
    <s v="TXN-00903"/>
    <d v="2024-06-14T00:00:00"/>
    <x v="3"/>
    <x v="5"/>
    <n v="6000"/>
    <s v="Monthly salary run"/>
    <s v="MONTHLY SALARY RUN"/>
    <n v="-6079.43"/>
    <n v="-6079.43"/>
    <n v="-6079.43"/>
    <n v="6079.43"/>
    <m/>
    <x v="0"/>
    <x v="0"/>
    <x v="0"/>
  </r>
  <r>
    <s v="TXN-00904"/>
    <d v="2024-02-28T00:00:00"/>
    <x v="0"/>
    <x v="4"/>
    <n v="6900"/>
    <s v="Wire transfer fee"/>
    <s v="WIRE TRANSFER FEE"/>
    <n v="-52.07"/>
    <n v="-52.07"/>
    <n v="-52.07"/>
    <n v="52.07"/>
    <m/>
    <x v="0"/>
    <x v="0"/>
    <x v="0"/>
  </r>
  <r>
    <s v="TXN-00905"/>
    <d v="2024-02-08T00:00:00"/>
    <x v="0"/>
    <x v="3"/>
    <n v="6300"/>
    <s v="Office equipment"/>
    <s v="OFFICE EQUIPMENT"/>
    <n v="-399.41"/>
    <n v="-399.41"/>
    <n v="-399.41"/>
    <n v="399.41"/>
    <m/>
    <x v="0"/>
    <x v="0"/>
    <x v="0"/>
  </r>
  <r>
    <s v="TXN-00906"/>
    <d v="2024-11-06T00:00:00"/>
    <x v="7"/>
    <x v="1"/>
    <n v="6500"/>
    <s v="Trade fair booth"/>
    <s v="TRADE FAIR BOOTH"/>
    <n v="-4845.62"/>
    <n v="-4845.62"/>
    <n v="-4845.62"/>
    <n v="4845.62"/>
    <m/>
    <x v="0"/>
    <x v="0"/>
    <x v="0"/>
  </r>
  <r>
    <s v="TXN-00907"/>
    <d v="2024-05-16T00:00:00"/>
    <x v="5"/>
    <x v="3"/>
    <n v="6300"/>
    <s v="Printer consumables"/>
    <s v="PRINTER CONSUMABLES"/>
    <n v="-895.61"/>
    <n v="-895.61"/>
    <n v="-895.61"/>
    <n v="895.61"/>
    <m/>
    <x v="0"/>
    <x v="0"/>
    <x v="0"/>
  </r>
  <r>
    <s v="TXN-00908"/>
    <d v="2024-08-01T00:00:00"/>
    <x v="2"/>
    <x v="8"/>
    <n v="5100"/>
    <s v="Contractor fee"/>
    <s v="CONTRACTOR FEE"/>
    <n v="-1365.4"/>
    <n v="-1365.4"/>
    <n v="-1365.4"/>
    <n v="1365.4"/>
    <m/>
    <x v="0"/>
    <x v="0"/>
    <x v="0"/>
  </r>
  <r>
    <s v="TXN-00909"/>
    <d v="2024-07-10T00:00:00"/>
    <x v="10"/>
    <x v="9"/>
    <n v="6200"/>
    <s v="Water utility"/>
    <s v="WATER UTILITY"/>
    <n v="-257.81"/>
    <n v="-257.81"/>
    <n v="-257.81"/>
    <n v="257.81"/>
    <m/>
    <x v="0"/>
    <x v="0"/>
    <x v="0"/>
  </r>
  <r>
    <s v="TXN-00910"/>
    <d v="2024-09-25T00:00:00"/>
    <x v="11"/>
    <x v="0"/>
    <n v="4000"/>
    <s v="Customer deposit"/>
    <s v="CUSTOMER DEPOSIT"/>
    <n v="9126.9500000000007"/>
    <n v="9126.9500000000007"/>
    <n v="9126.9500000000007"/>
    <n v="9126.9500000000007"/>
    <m/>
    <x v="0"/>
    <x v="0"/>
    <x v="0"/>
  </r>
  <r>
    <s v="TXN-00911"/>
    <d v="2024-09-27T00:00:00"/>
    <x v="11"/>
    <x v="1"/>
    <n v="6500"/>
    <s v="Online ad campaign"/>
    <s v="ONLINE AD CAMPAIGN"/>
    <n v="-1520.12"/>
    <n v="-1520.12"/>
    <n v="-1520.12"/>
    <n v="1520.12"/>
    <m/>
    <x v="0"/>
    <x v="0"/>
    <x v="0"/>
  </r>
  <r>
    <s v="TXN-00912"/>
    <d v="2024-04-18T00:00:00"/>
    <x v="1"/>
    <x v="8"/>
    <n v="5100"/>
    <s v="Supplier invoice"/>
    <s v="SUPPLIER INVOICE"/>
    <n v="-11508.33"/>
    <n v="-11508.33"/>
    <n v="-11508.33"/>
    <n v="11508.33"/>
    <m/>
    <x v="0"/>
    <x v="0"/>
    <x v="0"/>
  </r>
  <r>
    <s v="TXN-00913"/>
    <d v="2024-11-05T00:00:00"/>
    <x v="7"/>
    <x v="9"/>
    <n v="6200"/>
    <s v="Internet &amp; telecom"/>
    <s v="INTERNET &amp; TELECOM"/>
    <n v="-1107.1300000000001"/>
    <n v="-1107.1300000000001"/>
    <n v="-1107.1300000000001"/>
    <n v="1107.1300000000001"/>
    <m/>
    <x v="0"/>
    <x v="0"/>
    <x v="0"/>
  </r>
  <r>
    <s v="TXN-00914"/>
    <d v="2024-05-15T00:00:00"/>
    <x v="5"/>
    <x v="7"/>
    <n v="4900"/>
    <s v="Savings interest"/>
    <s v="SAVINGS INTEREST"/>
    <n v="17.87"/>
    <n v="17.87"/>
    <n v="17.87"/>
    <n v="17.87"/>
    <m/>
    <x v="0"/>
    <x v="0"/>
    <x v="0"/>
  </r>
  <r>
    <s v="TXN-00915"/>
    <d v="2024-10-31T00:00:00"/>
    <x v="4"/>
    <x v="6"/>
    <n v="6400"/>
    <s v="Hotel accommodation"/>
    <s v="HOTEL ACCOMMODATION"/>
    <n v="-1459.2"/>
    <n v="-1459.2"/>
    <n v="-1459.2"/>
    <n v="1459.2"/>
    <m/>
    <x v="0"/>
    <x v="0"/>
    <x v="0"/>
  </r>
  <r>
    <s v="TXN-00916"/>
    <d v="2024-05-27T00:00:00"/>
    <x v="5"/>
    <x v="3"/>
    <n v="6300"/>
    <s v="Stationery purchase"/>
    <s v="STATIONERY PURCHASE"/>
    <n v="-90.64"/>
    <n v="-90.64"/>
    <n v="-90.64"/>
    <n v="90.64"/>
    <m/>
    <x v="0"/>
    <x v="0"/>
    <x v="0"/>
  </r>
  <r>
    <s v="TXN-00917"/>
    <d v="2024-02-10T00:00:00"/>
    <x v="0"/>
    <x v="6"/>
    <n v="6400"/>
    <s v="Business trip - airfare"/>
    <s v="BUSINESS TRIP - AIRFAR"/>
    <n v="-3452.22"/>
    <n v="-3452.22"/>
    <n v="-3452.22"/>
    <n v="3452.22"/>
    <m/>
    <x v="0"/>
    <x v="0"/>
    <x v="0"/>
  </r>
  <r>
    <s v="TXN-00918"/>
    <d v="2024-10-04T00:00:00"/>
    <x v="4"/>
    <x v="1"/>
    <n v="6500"/>
    <s v="Online ad campaign"/>
    <s v="ONLINE AD CAMPAIGN"/>
    <n v="-1790.33"/>
    <n v="-1790.33"/>
    <n v="-1790.33"/>
    <n v="1790.33"/>
    <m/>
    <x v="0"/>
    <x v="0"/>
    <x v="0"/>
  </r>
  <r>
    <s v="TXN-00919"/>
    <d v="2024-01-12T00:00:00"/>
    <x v="9"/>
    <x v="5"/>
    <n v="6000"/>
    <s v="Monthly salary run"/>
    <s v="MONTHLY SALARY RUN"/>
    <n v="-7523.23"/>
    <n v="-7523.23"/>
    <n v="-7523.23"/>
    <n v="7523.23"/>
    <m/>
    <x v="0"/>
    <x v="0"/>
    <x v="0"/>
  </r>
  <r>
    <s v="TXN-00920"/>
    <d v="2024-10-08T00:00:00"/>
    <x v="4"/>
    <x v="2"/>
    <n v="6100"/>
    <s v="Monthly office rent"/>
    <s v="MONTHLY OFFICE RENT"/>
    <n v="-3389.59"/>
    <n v="-3389.59"/>
    <n v="-3389.59"/>
    <n v="3389.59"/>
    <m/>
    <x v="0"/>
    <x v="0"/>
    <x v="0"/>
  </r>
  <r>
    <s v="TXN-00921"/>
    <d v="2024-01-16T00:00:00"/>
    <x v="9"/>
    <x v="4"/>
    <n v="6900"/>
    <s v="Card processing fee"/>
    <s v="CARD PROCESSING FEE"/>
    <n v="-59.63"/>
    <n v="-59.63"/>
    <n v="-59.63"/>
    <n v="59.63"/>
    <m/>
    <x v="0"/>
    <x v="0"/>
    <x v="0"/>
  </r>
  <r>
    <s v="TXN-00922"/>
    <d v="2024-03-16T00:00:00"/>
    <x v="8"/>
    <x v="6"/>
    <n v="6400"/>
    <s v="Client dinner"/>
    <s v="CLIENT DINNER"/>
    <n v="-2907.53"/>
    <n v="-2907.53"/>
    <n v="-2907.53"/>
    <n v="2907.53"/>
    <m/>
    <x v="0"/>
    <x v="0"/>
    <x v="0"/>
  </r>
  <r>
    <s v="TXN-00923"/>
    <d v="2024-08-08T00:00:00"/>
    <x v="2"/>
    <x v="3"/>
    <n v="6300"/>
    <s v="Stationery purchase"/>
    <s v="STATIONERY PURCHASE"/>
    <n v="-396.99"/>
    <n v="-396.99"/>
    <n v="-396.99"/>
    <n v="396.99"/>
    <m/>
    <x v="0"/>
    <x v="0"/>
    <x v="0"/>
  </r>
  <r>
    <s v="TXN-00924"/>
    <d v="2024-12-09T00:00:00"/>
    <x v="6"/>
    <x v="8"/>
    <n v="5100"/>
    <s v="Supplier invoice"/>
    <s v="SUPPLIER INVOICE"/>
    <n v="-10408.48"/>
    <n v="-10408.48"/>
    <n v="-10408.48"/>
    <n v="10408.48"/>
    <m/>
    <x v="0"/>
    <x v="0"/>
    <x v="0"/>
  </r>
  <r>
    <s v="TXN-00925"/>
    <d v="2024-05-29T00:00:00"/>
    <x v="5"/>
    <x v="5"/>
    <n v="6000"/>
    <s v="Monthly salary run"/>
    <s v="MONTHLY SALARY RUN"/>
    <n v="-5380.5"/>
    <n v="-5380.5"/>
    <n v="-5380.5"/>
    <n v="5380.5"/>
    <m/>
    <x v="0"/>
    <x v="0"/>
    <x v="0"/>
  </r>
  <r>
    <s v="TXN-00926"/>
    <d v="2024-02-14T00:00:00"/>
    <x v="0"/>
    <x v="7"/>
    <n v="4900"/>
    <s v="Interest accrual"/>
    <s v="INTEREST ACCRUAL"/>
    <n v="229.26"/>
    <n v="229.26"/>
    <n v="229.26"/>
    <n v="229.26"/>
    <m/>
    <x v="0"/>
    <x v="0"/>
    <x v="0"/>
  </r>
  <r>
    <s v="TXN-00927"/>
    <d v="2024-03-26T00:00:00"/>
    <x v="8"/>
    <x v="6"/>
    <n v="6400"/>
    <s v="Client dinner"/>
    <s v="CLIENT DINNER"/>
    <n v="-662.49"/>
    <n v="-662.49"/>
    <n v="-662.49"/>
    <n v="662.49"/>
    <m/>
    <x v="0"/>
    <x v="0"/>
    <x v="0"/>
  </r>
  <r>
    <s v="TXN-00928"/>
    <d v="2024-11-23T00:00:00"/>
    <x v="7"/>
    <x v="9"/>
    <n v="6200"/>
    <s v="Electricity bill"/>
    <s v="ELECTRICITY BILL"/>
    <n v="-129.51"/>
    <n v="-129.51"/>
    <n v="-129.51"/>
    <n v="129.51"/>
    <m/>
    <x v="0"/>
    <x v="0"/>
    <x v="0"/>
  </r>
  <r>
    <s v="TXN-00929"/>
    <d v="2024-09-22T00:00:00"/>
    <x v="11"/>
    <x v="3"/>
    <n v="6300"/>
    <s v="Printer consumables"/>
    <s v="PRINTER CONSUMABLES"/>
    <n v="-273.49"/>
    <n v="-273.49"/>
    <n v="-273.49"/>
    <n v="273.49"/>
    <m/>
    <x v="0"/>
    <x v="0"/>
    <x v="0"/>
  </r>
  <r>
    <s v="TXN-00930"/>
    <d v="2024-02-06T00:00:00"/>
    <x v="0"/>
    <x v="6"/>
    <n v="6400"/>
    <s v="Hotel accommodation"/>
    <s v="HOTEL ACCOMMODATION"/>
    <n v="-2555.21"/>
    <n v="-2555.21"/>
    <n v="-2555.21"/>
    <n v="2555.21"/>
    <m/>
    <x v="0"/>
    <x v="0"/>
    <x v="0"/>
  </r>
  <r>
    <s v="TXN-00931"/>
    <d v="2024-05-20T00:00:00"/>
    <x v="5"/>
    <x v="6"/>
    <n v="6400"/>
    <s v="Business trip - airfare"/>
    <s v="BUSINESS TRIP - AIRFAR"/>
    <n v="-3029.91"/>
    <n v="-3029.91"/>
    <n v="-3029.91"/>
    <n v="3029.91"/>
    <m/>
    <x v="0"/>
    <x v="0"/>
    <x v="0"/>
  </r>
  <r>
    <s v="TXN-00932"/>
    <d v="2024-04-06T00:00:00"/>
    <x v="1"/>
    <x v="2"/>
    <n v="6100"/>
    <s v="Monthly office rent"/>
    <s v="MONTHLY OFFICE RENT"/>
    <n v="-5144.76"/>
    <n v="-5144.76"/>
    <n v="-5144.76"/>
    <n v="5144.76"/>
    <m/>
    <x v="0"/>
    <x v="0"/>
    <x v="0"/>
  </r>
  <r>
    <s v="TXN-00933"/>
    <d v="2024-03-05T00:00:00"/>
    <x v="8"/>
    <x v="5"/>
    <n v="6000"/>
    <s v="Monthly salary run"/>
    <s v="MONTHLY SALARY RUN"/>
    <n v="-1749.44"/>
    <n v="-1749.44"/>
    <n v="-1749.44"/>
    <n v="1749.44"/>
    <m/>
    <x v="0"/>
    <x v="0"/>
    <x v="0"/>
  </r>
  <r>
    <s v="TXN-00934"/>
    <d v="2024-11-04T00:00:00"/>
    <x v="7"/>
    <x v="2"/>
    <n v="6100"/>
    <s v="Monthly office rent"/>
    <s v="MONTHLY OFFICE RENT"/>
    <n v="-1092.7"/>
    <n v="-1092.7"/>
    <n v="-1092.7"/>
    <n v="1092.7"/>
    <m/>
    <x v="0"/>
    <x v="0"/>
    <x v="0"/>
  </r>
  <r>
    <s v="TXN-00935"/>
    <d v="2024-08-13T00:00:00"/>
    <x v="2"/>
    <x v="3"/>
    <n v="6300"/>
    <s v="Printer consumables"/>
    <s v="PRINTER CONSUMABLES"/>
    <n v="-226.54"/>
    <n v="-226.54"/>
    <n v="-226.54"/>
    <n v="226.54"/>
    <m/>
    <x v="0"/>
    <x v="0"/>
    <x v="0"/>
  </r>
  <r>
    <s v="TXN-00936"/>
    <d v="2024-03-06T00:00:00"/>
    <x v="8"/>
    <x v="7"/>
    <n v="4900"/>
    <s v="Interest accrual"/>
    <s v="INTEREST ACCRUAL"/>
    <n v="221.57"/>
    <n v="221.57"/>
    <n v="221.57"/>
    <n v="221.57"/>
    <m/>
    <x v="0"/>
    <x v="0"/>
    <x v="0"/>
  </r>
  <r>
    <s v="TXN-00937"/>
    <d v="2024-08-25T00:00:00"/>
    <x v="2"/>
    <x v="8"/>
    <n v="5100"/>
    <s v="Contractor fee"/>
    <s v="CONTRACTOR FEE"/>
    <n v="-11973.78"/>
    <n v="-11973.78"/>
    <n v="-11973.78"/>
    <n v="11973.78"/>
    <m/>
    <x v="0"/>
    <x v="0"/>
    <x v="0"/>
  </r>
  <r>
    <s v="TXN-00938"/>
    <d v="2024-05-30T00:00:00"/>
    <x v="5"/>
    <x v="8"/>
    <n v="5100"/>
    <s v="Vendor payment - materials"/>
    <s v="VENDOR PAYMENT - MATER"/>
    <n v="-7435.69"/>
    <n v="-7435.69"/>
    <n v="-7435.69"/>
    <n v="7435.69"/>
    <m/>
    <x v="0"/>
    <x v="0"/>
    <x v="0"/>
  </r>
  <r>
    <s v="TXN-00939"/>
    <d v="2024-01-23T00:00:00"/>
    <x v="9"/>
    <x v="3"/>
    <n v="6300"/>
    <s v="Stationery purchase"/>
    <s v="STATIONERY PURCHASE"/>
    <n v="-890.4"/>
    <n v="-890.4"/>
    <n v="-890.4"/>
    <n v="890.4"/>
    <m/>
    <x v="0"/>
    <x v="0"/>
    <x v="0"/>
  </r>
  <r>
    <s v="TXN-00940"/>
    <d v="2024-06-13T00:00:00"/>
    <x v="3"/>
    <x v="6"/>
    <n v="6400"/>
    <s v="Client dinner"/>
    <s v="CLIENT DINNER"/>
    <n v="-593.44000000000005"/>
    <n v="-593.44000000000005"/>
    <n v="-593.44000000000005"/>
    <n v="593.44000000000005"/>
    <m/>
    <x v="0"/>
    <x v="0"/>
    <x v="0"/>
  </r>
  <r>
    <s v="TXN-00941"/>
    <d v="2024-03-08T00:00:00"/>
    <x v="8"/>
    <x v="2"/>
    <n v="6100"/>
    <s v="Warehouse lease"/>
    <s v="WAREHOUSE LEASE"/>
    <n v="-1069.0999999999999"/>
    <n v="-1069.0999999999999"/>
    <n v="-1069.0999999999999"/>
    <n v="1069.0999999999999"/>
    <m/>
    <x v="0"/>
    <x v="0"/>
    <x v="0"/>
  </r>
  <r>
    <s v="TXN-00942"/>
    <d v="2024-03-30T00:00:00"/>
    <x v="8"/>
    <x v="3"/>
    <n v="6300"/>
    <s v="Office equipment"/>
    <s v="OFFICE EQUIPMENT"/>
    <n v="-440.33"/>
    <n v="-440.33"/>
    <n v="-440.33"/>
    <n v="440.33"/>
    <m/>
    <x v="0"/>
    <x v="0"/>
    <x v="0"/>
  </r>
  <r>
    <s v="TXN-00943"/>
    <d v="2024-11-16T00:00:00"/>
    <x v="7"/>
    <x v="7"/>
    <n v="4900"/>
    <s v="Deposit interest credit"/>
    <s v="DEPOSIT INTEREST CREDI"/>
    <n v="267.76"/>
    <n v="267.76"/>
    <n v="267.76"/>
    <n v="267.76"/>
    <m/>
    <x v="0"/>
    <x v="0"/>
    <x v="0"/>
  </r>
  <r>
    <s v="TXN-00944"/>
    <d v="2024-09-16T00:00:00"/>
    <x v="11"/>
    <x v="3"/>
    <n v="6300"/>
    <s v="Office equipment"/>
    <s v="OFFICE EQUIPMENT"/>
    <n v="-622.99"/>
    <n v="-622.99"/>
    <n v="-622.99"/>
    <n v="622.99"/>
    <m/>
    <x v="0"/>
    <x v="0"/>
    <x v="0"/>
  </r>
  <r>
    <s v="TXN-00945"/>
    <d v="2024-02-18T00:00:00"/>
    <x v="0"/>
    <x v="8"/>
    <n v="5100"/>
    <s v="Contractor fee"/>
    <s v="CONTRACTOR FEE"/>
    <n v="-6394.91"/>
    <n v="-6394.91"/>
    <n v="-6394.91"/>
    <n v="6394.91"/>
    <m/>
    <x v="0"/>
    <x v="0"/>
    <x v="0"/>
  </r>
  <r>
    <s v="TXN-00946"/>
    <d v="2024-11-06T00:00:00"/>
    <x v="7"/>
    <x v="8"/>
    <n v="5100"/>
    <s v="Supplier invoice"/>
    <s v="SUPPLIER INVOICE"/>
    <n v="-5625.4"/>
    <n v="-5625.4"/>
    <n v="-5625.4"/>
    <n v="5625.4"/>
    <m/>
    <x v="0"/>
    <x v="0"/>
    <x v="0"/>
  </r>
  <r>
    <s v="TXN-00947"/>
    <d v="2024-07-28T00:00:00"/>
    <x v="10"/>
    <x v="7"/>
    <n v="4900"/>
    <s v="Savings interest"/>
    <s v="SAVINGS INTEREST"/>
    <n v="187.58"/>
    <n v="187.58"/>
    <n v="187.58"/>
    <n v="187.58"/>
    <m/>
    <x v="0"/>
    <x v="0"/>
    <x v="0"/>
  </r>
  <r>
    <s v="TXN-00948"/>
    <d v="2024-11-15T00:00:00"/>
    <x v="7"/>
    <x v="8"/>
    <n v="5100"/>
    <s v="Vendor payment - materials"/>
    <s v="VENDOR PAYMENT - MATER"/>
    <n v="-5038.1000000000004"/>
    <n v="-5038.1000000000004"/>
    <n v="-5038.1000000000004"/>
    <n v="5038.1000000000004"/>
    <m/>
    <x v="0"/>
    <x v="0"/>
    <x v="0"/>
  </r>
  <r>
    <s v="TXN-00949"/>
    <d v="2024-09-29T00:00:00"/>
    <x v="11"/>
    <x v="7"/>
    <n v="4900"/>
    <s v="Interest accrual"/>
    <s v="INTEREST ACCRUAL"/>
    <n v="104.09"/>
    <n v="104.09"/>
    <n v="104.09"/>
    <n v="104.09"/>
    <m/>
    <x v="0"/>
    <x v="0"/>
    <x v="0"/>
  </r>
  <r>
    <s v="TXN-00950"/>
    <d v="2024-05-03T00:00:00"/>
    <x v="5"/>
    <x v="5"/>
    <n v="6000"/>
    <s v="Monthly salary run"/>
    <s v="MONTHLY SALARY RUN"/>
    <n v="-5333"/>
    <n v="-5333"/>
    <n v="-5333"/>
    <n v="5333"/>
    <m/>
    <x v="0"/>
    <x v="0"/>
    <x v="0"/>
  </r>
  <r>
    <s v="TXN-09001"/>
    <d v="2024-01-17T00:00:00"/>
    <x v="9"/>
    <x v="8"/>
    <n v="5100"/>
    <s v="Vendor payment - materials"/>
    <m/>
    <n v="-11925.61"/>
    <m/>
    <n v="-11925.61"/>
    <n v="11925.61"/>
    <m/>
    <x v="2"/>
    <x v="1"/>
    <x v="0"/>
  </r>
  <r>
    <s v="TXN-09002"/>
    <d v="2024-05-02T00:00:00"/>
    <x v="5"/>
    <x v="8"/>
    <n v="5100"/>
    <s v="Vendor payment - materials"/>
    <m/>
    <n v="-11345.48"/>
    <m/>
    <n v="-11345.48"/>
    <n v="11345.48"/>
    <m/>
    <x v="2"/>
    <x v="1"/>
    <x v="0"/>
  </r>
  <r>
    <s v="TXN-09003"/>
    <d v="2024-09-30T00:00:00"/>
    <x v="11"/>
    <x v="2"/>
    <n v="6100"/>
    <s v="Warehouse lease"/>
    <m/>
    <n v="-4990.0200000000004"/>
    <m/>
    <n v="-4990.0200000000004"/>
    <n v="4990.0200000000004"/>
    <m/>
    <x v="2"/>
    <x v="1"/>
    <x v="0"/>
  </r>
  <r>
    <s v="TXN-09004"/>
    <d v="2024-02-08T00:00:00"/>
    <x v="0"/>
    <x v="2"/>
    <n v="6100"/>
    <s v="Rent payment"/>
    <m/>
    <n v="-2085.79"/>
    <m/>
    <n v="-2085.79"/>
    <n v="2085.79"/>
    <m/>
    <x v="2"/>
    <x v="1"/>
    <x v="0"/>
  </r>
  <r>
    <s v="TXN-09005"/>
    <d v="2024-01-27T00:00:00"/>
    <x v="9"/>
    <x v="8"/>
    <n v="5100"/>
    <s v="Vendor payment - materials"/>
    <m/>
    <n v="-4601.7"/>
    <m/>
    <n v="-4601.7"/>
    <n v="4601.7"/>
    <m/>
    <x v="2"/>
    <x v="1"/>
    <x v="0"/>
  </r>
  <r>
    <s v="TXN-09006"/>
    <d v="2024-11-06T00:00:00"/>
    <x v="7"/>
    <x v="5"/>
    <n v="6000"/>
    <s v="Payroll transfer"/>
    <m/>
    <n v="-4962.75"/>
    <m/>
    <n v="-4962.75"/>
    <n v="4962.75"/>
    <m/>
    <x v="2"/>
    <x v="1"/>
    <x v="0"/>
  </r>
  <r>
    <s v="TXN-09007"/>
    <d v="2024-08-04T00:00:00"/>
    <x v="2"/>
    <x v="5"/>
    <n v="6000"/>
    <s v="Payroll transfer"/>
    <m/>
    <n v="-8659.91"/>
    <m/>
    <n v="-8659.91"/>
    <n v="8659.91"/>
    <m/>
    <x v="2"/>
    <x v="1"/>
    <x v="0"/>
  </r>
  <r>
    <s v="TXN-09008"/>
    <d v="2024-05-05T00:00:00"/>
    <x v="5"/>
    <x v="8"/>
    <n v="5100"/>
    <s v="Contractor fee"/>
    <m/>
    <n v="-14623.94"/>
    <m/>
    <n v="-14623.94"/>
    <n v="14623.94"/>
    <m/>
    <x v="2"/>
    <x v="1"/>
    <x v="0"/>
  </r>
  <r>
    <s v="TXN-09009"/>
    <d v="2024-10-02T00:00:00"/>
    <x v="4"/>
    <x v="5"/>
    <n v="6000"/>
    <s v="Payroll transfer"/>
    <m/>
    <n v="-7143.09"/>
    <m/>
    <n v="-7143.09"/>
    <n v="7143.09"/>
    <m/>
    <x v="2"/>
    <x v="1"/>
    <x v="0"/>
  </r>
  <r>
    <s v="TXN-09010"/>
    <d v="2024-11-04T00:00:00"/>
    <x v="7"/>
    <x v="2"/>
    <n v="6100"/>
    <s v="Warehouse lease"/>
    <m/>
    <n v="-3333"/>
    <m/>
    <n v="-3333"/>
    <n v="3333"/>
    <m/>
    <x v="2"/>
    <x v="1"/>
    <x v="0"/>
  </r>
  <r>
    <s v="TXN-09011"/>
    <d v="2024-05-11T00:00:00"/>
    <x v="5"/>
    <x v="2"/>
    <n v="6100"/>
    <s v="Warehouse lease"/>
    <m/>
    <n v="-2030.85"/>
    <m/>
    <n v="-2030.85"/>
    <n v="2030.85"/>
    <m/>
    <x v="2"/>
    <x v="1"/>
    <x v="0"/>
  </r>
  <r>
    <s v="TXN-09012"/>
    <d v="2024-07-23T00:00:00"/>
    <x v="10"/>
    <x v="2"/>
    <n v="6100"/>
    <s v="Monthly office rent"/>
    <m/>
    <n v="-3543.71"/>
    <m/>
    <n v="-3543.71"/>
    <n v="3543.71"/>
    <m/>
    <x v="2"/>
    <x v="1"/>
    <x v="0"/>
  </r>
  <r>
    <s v="TXN-09013"/>
    <d v="2024-01-04T00:00:00"/>
    <x v="9"/>
    <x v="8"/>
    <n v="5100"/>
    <s v="Supplier invoice"/>
    <m/>
    <n v="-13985.64"/>
    <m/>
    <n v="-13985.64"/>
    <n v="13985.64"/>
    <m/>
    <x v="2"/>
    <x v="1"/>
    <x v="0"/>
  </r>
  <r>
    <s v="TXN-09014"/>
    <d v="2024-04-21T00:00:00"/>
    <x v="1"/>
    <x v="8"/>
    <n v="5100"/>
    <s v="Supplier invoice"/>
    <m/>
    <n v="-2032.89"/>
    <m/>
    <n v="-2032.89"/>
    <n v="2032.89"/>
    <m/>
    <x v="2"/>
    <x v="1"/>
    <x v="0"/>
  </r>
  <r>
    <s v="TXN-09015"/>
    <d v="2024-08-05T00:00:00"/>
    <x v="2"/>
    <x v="5"/>
    <n v="6000"/>
    <s v="Monthly salary run"/>
    <m/>
    <n v="-9535.8700000000008"/>
    <m/>
    <n v="-9535.8700000000008"/>
    <n v="9535.8700000000008"/>
    <m/>
    <x v="2"/>
    <x v="1"/>
    <x v="0"/>
  </r>
  <r>
    <s v="TXN-09016"/>
    <d v="2024-03-12T00:00:00"/>
    <x v="8"/>
    <x v="8"/>
    <n v="5100"/>
    <s v="Supplier invoice"/>
    <m/>
    <n v="-1634.63"/>
    <m/>
    <n v="-1634.63"/>
    <n v="1634.63"/>
    <m/>
    <x v="2"/>
    <x v="1"/>
    <x v="0"/>
  </r>
  <r>
    <s v="TXN-09017"/>
    <d v="2024-12-27T00:00:00"/>
    <x v="6"/>
    <x v="5"/>
    <n v="6000"/>
    <s v="Monthly salary run"/>
    <m/>
    <n v="-9119.86"/>
    <m/>
    <n v="-9119.86"/>
    <n v="9119.86"/>
    <m/>
    <x v="2"/>
    <x v="1"/>
    <x v="0"/>
  </r>
  <r>
    <s v="TXN-09018"/>
    <d v="2024-12-20T00:00:00"/>
    <x v="6"/>
    <x v="8"/>
    <n v="5100"/>
    <s v="Contractor fee"/>
    <m/>
    <n v="-1215.5899999999999"/>
    <m/>
    <n v="-1215.5899999999999"/>
    <n v="1215.5899999999999"/>
    <m/>
    <x v="2"/>
    <x v="1"/>
    <x v="0"/>
  </r>
  <r>
    <s v="TXN-09019"/>
    <d v="2024-04-04T00:00:00"/>
    <x v="1"/>
    <x v="8"/>
    <n v="5100"/>
    <s v="Supplier invoice"/>
    <m/>
    <n v="-9548.1"/>
    <m/>
    <n v="-9548.1"/>
    <n v="9548.1"/>
    <m/>
    <x v="2"/>
    <x v="1"/>
    <x v="0"/>
  </r>
  <r>
    <s v="TXN-09020"/>
    <d v="2024-05-24T00:00:00"/>
    <x v="5"/>
    <x v="8"/>
    <n v="5100"/>
    <s v="Contractor fee"/>
    <m/>
    <n v="-11408.77"/>
    <m/>
    <n v="-11408.77"/>
    <n v="11408.77"/>
    <m/>
    <x v="2"/>
    <x v="1"/>
    <x v="0"/>
  </r>
  <r>
    <s v="TXN-09021"/>
    <d v="2024-03-10T00:00:00"/>
    <x v="8"/>
    <x v="8"/>
    <n v="5100"/>
    <s v="Supplier invoice"/>
    <m/>
    <n v="-10831.59"/>
    <m/>
    <n v="-10831.59"/>
    <n v="10831.59"/>
    <m/>
    <x v="2"/>
    <x v="1"/>
    <x v="0"/>
  </r>
  <r>
    <s v="TXN-09022"/>
    <d v="2024-07-02T00:00:00"/>
    <x v="10"/>
    <x v="2"/>
    <n v="6100"/>
    <s v="Rent payment"/>
    <m/>
    <n v="-3848.12"/>
    <m/>
    <n v="-3848.12"/>
    <n v="3848.12"/>
    <m/>
    <x v="2"/>
    <x v="1"/>
    <x v="0"/>
  </r>
  <r>
    <s v="TXN-09023"/>
    <d v="2024-02-15T00:00:00"/>
    <x v="0"/>
    <x v="8"/>
    <n v="5100"/>
    <s v="Vendor payment - materials"/>
    <m/>
    <n v="-10519.65"/>
    <m/>
    <n v="-10519.65"/>
    <n v="10519.65"/>
    <m/>
    <x v="2"/>
    <x v="1"/>
    <x v="0"/>
  </r>
  <r>
    <s v="TXN-09024"/>
    <d v="2024-05-22T00:00:00"/>
    <x v="5"/>
    <x v="2"/>
    <n v="6100"/>
    <s v="Monthly office rent"/>
    <m/>
    <n v="-5776.25"/>
    <m/>
    <n v="-5776.25"/>
    <n v="5776.25"/>
    <m/>
    <x v="2"/>
    <x v="1"/>
    <x v="0"/>
  </r>
  <r>
    <s v="TXN-09025"/>
    <d v="2024-07-21T00:00:00"/>
    <x v="10"/>
    <x v="8"/>
    <n v="5100"/>
    <s v="Supplier invoice"/>
    <m/>
    <n v="-10032.299999999999"/>
    <m/>
    <n v="-10032.299999999999"/>
    <n v="10032.299999999999"/>
    <m/>
    <x v="2"/>
    <x v="1"/>
    <x v="0"/>
  </r>
  <r>
    <s v="TXN-09501"/>
    <d v="2024-05-27T00:00:00"/>
    <x v="5"/>
    <x v="10"/>
    <s v="N/A"/>
    <m/>
    <s v="DEPOSIT INTEREST CREDI"/>
    <m/>
    <n v="112.9"/>
    <n v="112.9"/>
    <n v="112.9"/>
    <m/>
    <x v="3"/>
    <x v="1"/>
    <x v="0"/>
  </r>
  <r>
    <s v="TXN-09502"/>
    <d v="2024-11-08T00:00:00"/>
    <x v="7"/>
    <x v="10"/>
    <s v="N/A"/>
    <m/>
    <s v="CARD PROCESSING FEE"/>
    <m/>
    <n v="-131.58000000000001"/>
    <n v="-131.58000000000001"/>
    <n v="131.58000000000001"/>
    <m/>
    <x v="3"/>
    <x v="1"/>
    <x v="0"/>
  </r>
  <r>
    <s v="TXN-09503"/>
    <d v="2024-08-02T00:00:00"/>
    <x v="2"/>
    <x v="10"/>
    <s v="N/A"/>
    <m/>
    <s v="WIRE TRANSFER FEE"/>
    <m/>
    <n v="-103.46"/>
    <n v="-103.46"/>
    <n v="103.46"/>
    <m/>
    <x v="3"/>
    <x v="1"/>
    <x v="0"/>
  </r>
  <r>
    <s v="TXN-09504"/>
    <d v="2024-10-03T00:00:00"/>
    <x v="4"/>
    <x v="10"/>
    <s v="N/A"/>
    <m/>
    <s v="DEPOSIT INTEREST CREDI"/>
    <m/>
    <n v="238.95"/>
    <n v="238.95"/>
    <n v="238.95"/>
    <m/>
    <x v="3"/>
    <x v="1"/>
    <x v="0"/>
  </r>
  <r>
    <s v="TXN-09505"/>
    <d v="2024-08-02T00:00:00"/>
    <x v="2"/>
    <x v="10"/>
    <s v="N/A"/>
    <m/>
    <s v="DEPOSIT INTEREST CREDI"/>
    <m/>
    <n v="92.59"/>
    <n v="92.59"/>
    <n v="92.59"/>
    <m/>
    <x v="3"/>
    <x v="1"/>
    <x v="0"/>
  </r>
  <r>
    <s v="TXN-09506"/>
    <d v="2024-05-09T00:00:00"/>
    <x v="5"/>
    <x v="10"/>
    <s v="N/A"/>
    <m/>
    <s v="ACCOUNT MAINTENANCE FE"/>
    <m/>
    <n v="-124.98"/>
    <n v="-124.98"/>
    <n v="124.98"/>
    <m/>
    <x v="3"/>
    <x v="1"/>
    <x v="0"/>
  </r>
  <r>
    <s v="TXN-09507"/>
    <d v="2024-08-29T00:00:00"/>
    <x v="2"/>
    <x v="10"/>
    <s v="N/A"/>
    <m/>
    <s v="INTEREST ACCRUAL"/>
    <m/>
    <n v="239.42"/>
    <n v="239.42"/>
    <n v="239.42"/>
    <m/>
    <x v="3"/>
    <x v="1"/>
    <x v="0"/>
  </r>
  <r>
    <s v="TXN-09508"/>
    <d v="2024-08-15T00:00:00"/>
    <x v="2"/>
    <x v="10"/>
    <s v="N/A"/>
    <m/>
    <s v="CARD PROCESSING FEE"/>
    <m/>
    <n v="-54.1"/>
    <n v="-54.1"/>
    <n v="54.1"/>
    <m/>
    <x v="3"/>
    <x v="1"/>
    <x v="0"/>
  </r>
  <r>
    <s v="TXN-09509"/>
    <d v="2024-09-20T00:00:00"/>
    <x v="11"/>
    <x v="10"/>
    <s v="N/A"/>
    <m/>
    <s v="WIRE TRANSFER FEE"/>
    <m/>
    <n v="-69.709999999999994"/>
    <n v="-69.709999999999994"/>
    <n v="69.709999999999994"/>
    <m/>
    <x v="3"/>
    <x v="1"/>
    <x v="0"/>
  </r>
  <r>
    <s v="TXN-09510"/>
    <d v="2024-03-13T00:00:00"/>
    <x v="8"/>
    <x v="10"/>
    <s v="N/A"/>
    <m/>
    <s v="CARD PROCESSING FEE"/>
    <m/>
    <n v="-109.88"/>
    <n v="-109.88"/>
    <n v="109.88"/>
    <m/>
    <x v="3"/>
    <x v="1"/>
    <x v="0"/>
  </r>
  <r>
    <s v="TXN-09511"/>
    <d v="2024-08-23T00:00:00"/>
    <x v="2"/>
    <x v="10"/>
    <s v="N/A"/>
    <m/>
    <s v="CARD PROCESSING FEE"/>
    <m/>
    <n v="-80.36"/>
    <n v="-80.36"/>
    <n v="80.36"/>
    <m/>
    <x v="3"/>
    <x v="1"/>
    <x v="0"/>
  </r>
  <r>
    <s v="TXN-09512"/>
    <d v="2024-04-14T00:00:00"/>
    <x v="1"/>
    <x v="10"/>
    <s v="N/A"/>
    <m/>
    <s v="DEPOSIT INTEREST CREDI"/>
    <m/>
    <n v="24.9"/>
    <n v="24.9"/>
    <n v="24.9"/>
    <m/>
    <x v="3"/>
    <x v="1"/>
    <x v="0"/>
  </r>
  <r>
    <s v="TXN-09513"/>
    <d v="2024-10-17T00:00:00"/>
    <x v="4"/>
    <x v="10"/>
    <s v="N/A"/>
    <m/>
    <s v="SAVINGS INTEREST"/>
    <m/>
    <n v="61.49"/>
    <n v="61.49"/>
    <n v="61.49"/>
    <m/>
    <x v="3"/>
    <x v="1"/>
    <x v="0"/>
  </r>
  <r>
    <s v="TXN-09514"/>
    <d v="2024-10-21T00:00:00"/>
    <x v="4"/>
    <x v="10"/>
    <s v="N/A"/>
    <m/>
    <s v="WIRE TRANSFER FEE"/>
    <m/>
    <n v="-59.14"/>
    <n v="-59.14"/>
    <n v="59.14"/>
    <m/>
    <x v="3"/>
    <x v="1"/>
    <x v="0"/>
  </r>
  <r>
    <s v="TXN-09515"/>
    <d v="2024-08-16T00:00:00"/>
    <x v="2"/>
    <x v="10"/>
    <s v="N/A"/>
    <m/>
    <s v="ACCOUNT MAINTENANCE FE"/>
    <m/>
    <n v="-141.9"/>
    <n v="-141.9"/>
    <n v="141.9"/>
    <m/>
    <x v="3"/>
    <x v="1"/>
    <x v="0"/>
  </r>
  <r>
    <s v="TXN-09516"/>
    <d v="2024-12-12T00:00:00"/>
    <x v="6"/>
    <x v="10"/>
    <s v="N/A"/>
    <m/>
    <s v="SAVINGS INTEREST"/>
    <m/>
    <n v="97.76"/>
    <n v="97.76"/>
    <n v="97.76"/>
    <m/>
    <x v="3"/>
    <x v="1"/>
    <x v="0"/>
  </r>
  <r>
    <s v="TXN-09517"/>
    <d v="2024-07-16T00:00:00"/>
    <x v="10"/>
    <x v="10"/>
    <s v="N/A"/>
    <m/>
    <s v="SAVINGS INTEREST"/>
    <m/>
    <n v="46.77"/>
    <n v="46.77"/>
    <n v="46.77"/>
    <m/>
    <x v="3"/>
    <x v="1"/>
    <x v="0"/>
  </r>
  <r>
    <s v="TXN-09518"/>
    <d v="2024-01-10T00:00:00"/>
    <x v="9"/>
    <x v="10"/>
    <s v="N/A"/>
    <m/>
    <s v="ACCOUNT MAINTENANCE FE"/>
    <m/>
    <n v="-123.28"/>
    <n v="-123.28"/>
    <n v="123.28"/>
    <m/>
    <x v="3"/>
    <x v="1"/>
    <x v="0"/>
  </r>
  <r>
    <s v="TXN-09519"/>
    <d v="2024-08-11T00:00:00"/>
    <x v="2"/>
    <x v="10"/>
    <s v="N/A"/>
    <m/>
    <s v="WIRE TRANSFER FEE"/>
    <m/>
    <n v="-60.58"/>
    <n v="-60.58"/>
    <n v="60.58"/>
    <m/>
    <x v="3"/>
    <x v="1"/>
    <x v="0"/>
  </r>
  <r>
    <s v="TXN-09520"/>
    <d v="2024-10-11T00:00:00"/>
    <x v="4"/>
    <x v="10"/>
    <s v="N/A"/>
    <m/>
    <s v="CARD PROCESSING FEE"/>
    <m/>
    <n v="-121.39"/>
    <n v="-121.39"/>
    <n v="121.39"/>
    <m/>
    <x v="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49:B62" firstHeaderRow="1" firstDataRow="1" firstDataCol="1" rowPageCount="1" colPageCount="1"/>
  <pivotFields count="15">
    <pivotField dataField="1" showAll="0"/>
    <pivotField numFmtId="164" showAll="0"/>
    <pivotField axis="axisRow" numFmtId="166" showAll="0">
      <items count="13">
        <item x="9"/>
        <item x="0"/>
        <item x="8"/>
        <item x="1"/>
        <item x="5"/>
        <item x="3"/>
        <item x="10"/>
        <item x="2"/>
        <item x="11"/>
        <item x="4"/>
        <item x="7"/>
        <item x="6"/>
        <item t="default"/>
      </items>
    </pivotField>
    <pivotField showAll="0">
      <items count="12">
        <item x="4"/>
        <item x="7"/>
        <item x="1"/>
        <item x="3"/>
        <item x="5"/>
        <item x="2"/>
        <item x="0"/>
        <item x="6"/>
        <item x="10"/>
        <item x="9"/>
        <item x="8"/>
        <item t="default"/>
      </items>
    </pivotField>
    <pivotField showAll="0"/>
    <pivotField showAll="0"/>
    <pivotField showAll="0"/>
    <pivotField showAll="0"/>
    <pivotField showAll="0"/>
    <pivotField numFmtId="165" showAll="0"/>
    <pivotField numFmtId="165" showAll="0"/>
    <pivotField showAll="0"/>
    <pivotField showAll="0"/>
    <pivotField axis="axisPage" showAll="0">
      <items count="3">
        <item x="0"/>
        <item x="1"/>
        <item t="default"/>
      </items>
    </pivotField>
    <pivotField showAll="0"/>
  </pivotFields>
  <rowFields count="1">
    <field x="2"/>
  </rowFields>
  <rowItems count="13">
    <i>
      <x/>
    </i>
    <i>
      <x v="1"/>
    </i>
    <i>
      <x v="2"/>
    </i>
    <i>
      <x v="3"/>
    </i>
    <i>
      <x v="4"/>
    </i>
    <i>
      <x v="5"/>
    </i>
    <i>
      <x v="6"/>
    </i>
    <i>
      <x v="7"/>
    </i>
    <i>
      <x v="8"/>
    </i>
    <i>
      <x v="9"/>
    </i>
    <i>
      <x v="10"/>
    </i>
    <i>
      <x v="11"/>
    </i>
    <i t="grand">
      <x/>
    </i>
  </rowItems>
  <colItems count="1">
    <i/>
  </colItems>
  <pageFields count="1">
    <pageField fld="13" item="1" hier="-1"/>
  </pageFields>
  <dataFields count="1">
    <dataField name="Count of Transaction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7:D40" firstHeaderRow="1" firstDataRow="2" firstDataCol="1"/>
  <pivotFields count="15">
    <pivotField showAll="0"/>
    <pivotField numFmtId="164" showAll="0"/>
    <pivotField numFmtId="166" showAll="0"/>
    <pivotField axis="axisRow" showAll="0" sortType="descending">
      <items count="12">
        <item x="4"/>
        <item x="7"/>
        <item x="1"/>
        <item x="3"/>
        <item x="5"/>
        <item x="2"/>
        <item x="0"/>
        <item x="6"/>
        <item x="10"/>
        <item x="9"/>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dataField="1" numFmtId="165" showAll="0"/>
    <pivotField showAll="0"/>
    <pivotField showAll="0">
      <items count="5">
        <item x="1"/>
        <item x="0"/>
        <item x="3"/>
        <item x="2"/>
        <item t="default"/>
      </items>
    </pivotField>
    <pivotField axis="axisCol" showAll="0">
      <items count="3">
        <item x="0"/>
        <item x="1"/>
        <item t="default"/>
      </items>
    </pivotField>
    <pivotField showAll="0">
      <items count="3">
        <item x="0"/>
        <item h="1" x="1"/>
        <item t="default"/>
      </items>
    </pivotField>
  </pivotFields>
  <rowFields count="1">
    <field x="3"/>
  </rowFields>
  <rowItems count="12">
    <i>
      <x v="6"/>
    </i>
    <i>
      <x v="10"/>
    </i>
    <i>
      <x v="4"/>
    </i>
    <i>
      <x v="2"/>
    </i>
    <i>
      <x v="5"/>
    </i>
    <i>
      <x v="7"/>
    </i>
    <i>
      <x v="3"/>
    </i>
    <i>
      <x v="9"/>
    </i>
    <i>
      <x v="1"/>
    </i>
    <i>
      <x/>
    </i>
    <i>
      <x v="8"/>
    </i>
    <i t="grand">
      <x/>
    </i>
  </rowItems>
  <colFields count="1">
    <field x="13"/>
  </colFields>
  <colItems count="3">
    <i>
      <x/>
    </i>
    <i>
      <x v="1"/>
    </i>
    <i t="grand">
      <x/>
    </i>
  </colItems>
  <dataFields count="1">
    <dataField name="Sum of Abs_Amount" fld="10"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C8" firstHeaderRow="0" firstDataRow="1" firstDataCol="1"/>
  <pivotFields count="15">
    <pivotField dataField="1" showAll="0"/>
    <pivotField numFmtId="164" showAll="0"/>
    <pivotField numFmtId="166" showAll="0"/>
    <pivotField showAll="0">
      <items count="12">
        <item x="4"/>
        <item x="7"/>
        <item x="1"/>
        <item x="3"/>
        <item x="5"/>
        <item x="2"/>
        <item x="0"/>
        <item x="6"/>
        <item x="10"/>
        <item x="9"/>
        <item x="8"/>
        <item t="default"/>
      </items>
    </pivotField>
    <pivotField showAll="0"/>
    <pivotField showAll="0"/>
    <pivotField showAll="0"/>
    <pivotField showAll="0"/>
    <pivotField showAll="0"/>
    <pivotField numFmtId="165" showAll="0"/>
    <pivotField numFmtId="165"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5">
    <i>
      <x v="1"/>
    </i>
    <i>
      <x v="3"/>
    </i>
    <i>
      <x v="2"/>
    </i>
    <i>
      <x/>
    </i>
    <i t="grand">
      <x/>
    </i>
  </rowItems>
  <colFields count="1">
    <field x="-2"/>
  </colFields>
  <colItems count="2">
    <i>
      <x/>
    </i>
    <i i="1">
      <x v="1"/>
    </i>
  </colItems>
  <dataFields count="2">
    <dataField name="Count of Transaction_ID" fld="0" subtotal="count" baseField="0" baseItem="0"/>
    <dataField name="Count of Transaction_ID2" fld="0" subtotal="count" showDataAs="percentOfTotal" baseField="12"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 tabId="5" name="PivotTable1"/>
    <pivotTable tabId="5" name="PivotTable3"/>
  </pivotTables>
  <data>
    <tabular pivotCacheId="1">
      <items count="11">
        <i x="4" s="1"/>
        <i x="7" s="1"/>
        <i x="1" s="1"/>
        <i x="3" s="1"/>
        <i x="5" s="1"/>
        <i x="2" s="1"/>
        <i x="0" s="1"/>
        <i x="6" s="1"/>
        <i x="10"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5" name="PivotTable2"/>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as_Duplicate_ID" sourceName="Has_Duplicate_ID">
  <pivotTables>
    <pivotTable tabId="5" name="PivotTable2"/>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Status" cache="Slicer_Status" caption="Status" rowHeight="241300"/>
  <slicer name="Has_Duplicate_ID" cache="Slicer_Has_Duplicate_ID" caption="Has_Duplicate_ID" rowHeight="241300"/>
</slicers>
</file>

<file path=xl/tables/table1.xml><?xml version="1.0" encoding="utf-8"?>
<table xmlns="http://schemas.openxmlformats.org/spreadsheetml/2006/main" id="2" name="tblGL" displayName="tblGL" ref="A1:G982" totalsRowShown="0">
  <autoFilter ref="A1:G982"/>
  <tableColumns count="7">
    <tableColumn id="1" name="Transaction_ID"/>
    <tableColumn id="2" name="Date"/>
    <tableColumn id="3" name="Description"/>
    <tableColumn id="4" name="Category"/>
    <tableColumn id="5" name="Amount"/>
    <tableColumn id="6" name="Account"/>
    <tableColumn id="7" name="Is_Duplicate"/>
  </tableColumns>
  <tableStyleInfo showFirstColumn="0" showLastColumn="0" showRowStripes="1" showColumnStripes="0"/>
</table>
</file>

<file path=xl/tables/table2.xml><?xml version="1.0" encoding="utf-8"?>
<table xmlns="http://schemas.openxmlformats.org/spreadsheetml/2006/main" id="1" name="tblBank" displayName="tblBank" ref="A1:E975" totalsRowShown="0">
  <autoFilter ref="A1:E975"/>
  <tableColumns count="5">
    <tableColumn id="1" name="Transaction_ID"/>
    <tableColumn id="2" name="Date"/>
    <tableColumn id="3" name="Description"/>
    <tableColumn id="4" name="Amount"/>
    <tableColumn id="5" name="Is_Duplicate"/>
  </tableColumns>
  <tableStyleInfo showFirstColumn="0" showLastColumn="0" showRowStripes="1" showColumnStripes="0"/>
</table>
</file>

<file path=xl/tables/table3.xml><?xml version="1.0" encoding="utf-8"?>
<table xmlns="http://schemas.openxmlformats.org/spreadsheetml/2006/main" id="3" name="tblRecon" displayName="tblRecon" ref="A1:O996" totalsRowShown="0">
  <autoFilter ref="A1:O996">
    <filterColumn colId="13">
      <filters>
        <filter val="Yes"/>
      </filters>
    </filterColumn>
  </autoFilter>
  <tableColumns count="15">
    <tableColumn id="1" name="Transaction_ID"/>
    <tableColumn id="2" name="Date"/>
    <tableColumn id="3" name="Month"/>
    <tableColumn id="4" name="Category"/>
    <tableColumn id="5" name="Account"/>
    <tableColumn id="6" name="Description_GL"/>
    <tableColumn id="7" name="Description_Bank"/>
    <tableColumn id="8" name="Amount_GL"/>
    <tableColumn id="9" name="Amount_Bank"/>
    <tableColumn id="10" name="Amount"/>
    <tableColumn id="11" name="Abs_Amount"/>
    <tableColumn id="12" name="Amount_Diff"/>
    <tableColumn id="13" name="Status"/>
    <tableColumn id="14" name="Is_Exception"/>
    <tableColumn id="15" name="Has_Duplicate_ID"/>
  </tableColumns>
  <tableStyleInfo showFirstColumn="0" showLastColumn="0" showRowStripes="1" showColumnStripes="0"/>
</table>
</file>

<file path=xl/tables/table4.xml><?xml version="1.0" encoding="utf-8"?>
<table xmlns="http://schemas.openxmlformats.org/spreadsheetml/2006/main" id="4" name="tblExceptions" displayName="tblExceptions" ref="A1:R64" totalsRowShown="0">
  <autoFilter ref="A1:R64"/>
  <tableColumns count="18">
    <tableColumn id="1" name="Transaction_ID"/>
    <tableColumn id="2" name="Date"/>
    <tableColumn id="3" name="Category"/>
    <tableColumn id="4" name="Account"/>
    <tableColumn id="5" name="Description_GL"/>
    <tableColumn id="6" name="Description_Bank"/>
    <tableColumn id="7" name="Amount_GL"/>
    <tableColumn id="8" name="Amount_Bank"/>
    <tableColumn id="9" name="Amount"/>
    <tableColumn id="10" name="Abs_Amount"/>
    <tableColumn id="11" name="Amount_Diff"/>
    <tableColumn id="12" name="Abs_Diff"/>
    <tableColumn id="13" name="Status"/>
    <tableColumn id="14" name="Above_Materiality"/>
    <tableColumn id="15" name="Priority"/>
    <tableColumn id="16" name="Assigned_To"/>
    <tableColumn id="17" name="Resolution_Notes"/>
    <tableColumn id="18" name="Resolved"/>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G982"/>
  <sheetViews>
    <sheetView zoomScaleNormal="100" workbookViewId="0">
      <pane ySplit="1" topLeftCell="A2" activePane="bottomLeft" state="frozen"/>
      <selection pane="bottomLeft"/>
    </sheetView>
  </sheetViews>
  <sheetFormatPr defaultColWidth="8.7109375" defaultRowHeight="15" x14ac:dyDescent="0.25"/>
  <cols>
    <col min="1" max="1" width="15" customWidth="1"/>
    <col min="2" max="2" width="12" customWidth="1"/>
    <col min="3" max="3" width="28" customWidth="1"/>
    <col min="4" max="4" width="22" customWidth="1"/>
    <col min="5" max="6" width="11" customWidth="1"/>
    <col min="7" max="7" width="16" customWidth="1"/>
  </cols>
  <sheetData>
    <row r="1" spans="1:7" ht="27.75" customHeight="1" x14ac:dyDescent="0.25">
      <c r="A1" s="1" t="s">
        <v>0</v>
      </c>
      <c r="B1" s="1" t="s">
        <v>1</v>
      </c>
      <c r="C1" s="1" t="s">
        <v>2</v>
      </c>
      <c r="D1" s="1" t="s">
        <v>3</v>
      </c>
      <c r="E1" s="1" t="s">
        <v>4</v>
      </c>
      <c r="F1" s="1" t="s">
        <v>5</v>
      </c>
      <c r="G1" s="1" t="s">
        <v>6</v>
      </c>
    </row>
    <row r="2" spans="1:7" x14ac:dyDescent="0.25">
      <c r="A2" s="2" t="s">
        <v>7</v>
      </c>
      <c r="B2" s="3">
        <v>45611</v>
      </c>
      <c r="C2" s="2" t="s">
        <v>8</v>
      </c>
      <c r="D2" s="2" t="s">
        <v>9</v>
      </c>
      <c r="E2" s="4">
        <v>-2897.44</v>
      </c>
      <c r="F2" s="2">
        <v>6100</v>
      </c>
      <c r="G2" s="2" t="s">
        <v>10</v>
      </c>
    </row>
    <row r="3" spans="1:7" x14ac:dyDescent="0.25">
      <c r="A3" s="2" t="s">
        <v>11</v>
      </c>
      <c r="B3" s="3">
        <v>45328</v>
      </c>
      <c r="C3" s="2" t="s">
        <v>12</v>
      </c>
      <c r="D3" s="2" t="s">
        <v>13</v>
      </c>
      <c r="E3" s="4">
        <v>-2555.21</v>
      </c>
      <c r="F3" s="2">
        <v>6400</v>
      </c>
      <c r="G3" s="2" t="s">
        <v>10</v>
      </c>
    </row>
    <row r="4" spans="1:7" x14ac:dyDescent="0.25">
      <c r="A4" s="2" t="s">
        <v>14</v>
      </c>
      <c r="B4" s="3">
        <v>45607</v>
      </c>
      <c r="C4" s="2" t="s">
        <v>15</v>
      </c>
      <c r="D4" s="2" t="s">
        <v>13</v>
      </c>
      <c r="E4" s="4">
        <v>-747.32</v>
      </c>
      <c r="F4" s="2">
        <v>6400</v>
      </c>
      <c r="G4" s="2" t="s">
        <v>10</v>
      </c>
    </row>
    <row r="5" spans="1:7" x14ac:dyDescent="0.25">
      <c r="A5" s="2" t="s">
        <v>16</v>
      </c>
      <c r="B5" s="3">
        <v>45302</v>
      </c>
      <c r="C5" s="2" t="s">
        <v>17</v>
      </c>
      <c r="D5" s="2" t="s">
        <v>18</v>
      </c>
      <c r="E5" s="4">
        <v>-7889.33</v>
      </c>
      <c r="F5" s="2">
        <v>5100</v>
      </c>
      <c r="G5" s="2" t="s">
        <v>10</v>
      </c>
    </row>
    <row r="6" spans="1:7" x14ac:dyDescent="0.25">
      <c r="A6" s="2" t="s">
        <v>19</v>
      </c>
      <c r="B6" s="3">
        <v>45607</v>
      </c>
      <c r="C6" s="2" t="s">
        <v>17</v>
      </c>
      <c r="D6" s="2" t="s">
        <v>18</v>
      </c>
      <c r="E6" s="4">
        <v>-5900.48</v>
      </c>
      <c r="F6" s="2">
        <v>5100</v>
      </c>
      <c r="G6" s="2" t="s">
        <v>10</v>
      </c>
    </row>
    <row r="7" spans="1:7" x14ac:dyDescent="0.25">
      <c r="A7" s="2" t="s">
        <v>20</v>
      </c>
      <c r="B7" s="3">
        <v>45494</v>
      </c>
      <c r="C7" s="2" t="s">
        <v>21</v>
      </c>
      <c r="D7" s="2" t="s">
        <v>13</v>
      </c>
      <c r="E7" s="4">
        <v>-572.16999999999996</v>
      </c>
      <c r="F7" s="2">
        <v>6400</v>
      </c>
      <c r="G7" s="2" t="s">
        <v>10</v>
      </c>
    </row>
    <row r="8" spans="1:7" x14ac:dyDescent="0.25">
      <c r="A8" s="2" t="s">
        <v>22</v>
      </c>
      <c r="B8" s="3">
        <v>45538</v>
      </c>
      <c r="C8" s="2" t="s">
        <v>23</v>
      </c>
      <c r="D8" s="2" t="s">
        <v>24</v>
      </c>
      <c r="E8" s="4">
        <v>-474.48</v>
      </c>
      <c r="F8" s="2">
        <v>6300</v>
      </c>
      <c r="G8" s="2" t="s">
        <v>10</v>
      </c>
    </row>
    <row r="9" spans="1:7" x14ac:dyDescent="0.25">
      <c r="A9" s="2" t="s">
        <v>25</v>
      </c>
      <c r="B9" s="3">
        <v>45377</v>
      </c>
      <c r="C9" s="2" t="s">
        <v>17</v>
      </c>
      <c r="D9" s="2" t="s">
        <v>18</v>
      </c>
      <c r="E9" s="4">
        <v>-12254.21</v>
      </c>
      <c r="F9" s="2">
        <v>5100</v>
      </c>
      <c r="G9" s="2" t="s">
        <v>10</v>
      </c>
    </row>
    <row r="10" spans="1:7" x14ac:dyDescent="0.25">
      <c r="A10" s="2" t="s">
        <v>26</v>
      </c>
      <c r="B10" s="3">
        <v>45550</v>
      </c>
      <c r="C10" s="2" t="s">
        <v>27</v>
      </c>
      <c r="D10" s="2" t="s">
        <v>28</v>
      </c>
      <c r="E10" s="4">
        <v>-46.95</v>
      </c>
      <c r="F10" s="2">
        <v>6900</v>
      </c>
      <c r="G10" s="2" t="s">
        <v>10</v>
      </c>
    </row>
    <row r="11" spans="1:7" x14ac:dyDescent="0.25">
      <c r="A11" s="2" t="s">
        <v>29</v>
      </c>
      <c r="B11" s="3">
        <v>45613</v>
      </c>
      <c r="C11" s="2" t="s">
        <v>30</v>
      </c>
      <c r="D11" s="2" t="s">
        <v>31</v>
      </c>
      <c r="E11" s="4">
        <v>360.54</v>
      </c>
      <c r="F11" s="2">
        <v>4900</v>
      </c>
      <c r="G11" s="2" t="s">
        <v>10</v>
      </c>
    </row>
    <row r="12" spans="1:7" x14ac:dyDescent="0.25">
      <c r="A12" s="2" t="s">
        <v>32</v>
      </c>
      <c r="B12" s="3">
        <v>45348</v>
      </c>
      <c r="C12" s="2" t="s">
        <v>12</v>
      </c>
      <c r="D12" s="2" t="s">
        <v>13</v>
      </c>
      <c r="E12" s="4">
        <v>-2441.17</v>
      </c>
      <c r="F12" s="2">
        <v>6400</v>
      </c>
      <c r="G12" s="2" t="s">
        <v>10</v>
      </c>
    </row>
    <row r="13" spans="1:7" x14ac:dyDescent="0.25">
      <c r="A13" s="2" t="s">
        <v>33</v>
      </c>
      <c r="B13" s="3">
        <v>45438</v>
      </c>
      <c r="C13" s="2" t="s">
        <v>34</v>
      </c>
      <c r="D13" s="2" t="s">
        <v>35</v>
      </c>
      <c r="E13" s="4">
        <v>13645.92</v>
      </c>
      <c r="F13" s="2">
        <v>4000</v>
      </c>
      <c r="G13" s="2" t="s">
        <v>10</v>
      </c>
    </row>
    <row r="14" spans="1:7" x14ac:dyDescent="0.25">
      <c r="A14" s="2" t="s">
        <v>36</v>
      </c>
      <c r="B14" s="3">
        <v>45352</v>
      </c>
      <c r="C14" s="2" t="s">
        <v>23</v>
      </c>
      <c r="D14" s="2" t="s">
        <v>24</v>
      </c>
      <c r="E14" s="4">
        <v>-776.41</v>
      </c>
      <c r="F14" s="2">
        <v>6300</v>
      </c>
      <c r="G14" s="2" t="s">
        <v>10</v>
      </c>
    </row>
    <row r="15" spans="1:7" x14ac:dyDescent="0.25">
      <c r="A15" s="2" t="s">
        <v>37</v>
      </c>
      <c r="B15" s="3">
        <v>45497</v>
      </c>
      <c r="C15" s="2" t="s">
        <v>38</v>
      </c>
      <c r="D15" s="2" t="s">
        <v>39</v>
      </c>
      <c r="E15" s="4">
        <v>-7517.31</v>
      </c>
      <c r="F15" s="2">
        <v>6500</v>
      </c>
      <c r="G15" s="2" t="s">
        <v>10</v>
      </c>
    </row>
    <row r="16" spans="1:7" x14ac:dyDescent="0.25">
      <c r="A16" s="2" t="s">
        <v>40</v>
      </c>
      <c r="B16" s="3">
        <v>45442</v>
      </c>
      <c r="C16" s="2" t="s">
        <v>17</v>
      </c>
      <c r="D16" s="2" t="s">
        <v>18</v>
      </c>
      <c r="E16" s="4">
        <v>-14066.23</v>
      </c>
      <c r="F16" s="2">
        <v>5100</v>
      </c>
      <c r="G16" s="2" t="s">
        <v>10</v>
      </c>
    </row>
    <row r="17" spans="1:7" x14ac:dyDescent="0.25">
      <c r="A17" s="2" t="s">
        <v>41</v>
      </c>
      <c r="B17" s="3">
        <v>45502</v>
      </c>
      <c r="C17" s="2" t="s">
        <v>42</v>
      </c>
      <c r="D17" s="2" t="s">
        <v>39</v>
      </c>
      <c r="E17" s="4">
        <v>-4096.03</v>
      </c>
      <c r="F17" s="2">
        <v>6500</v>
      </c>
      <c r="G17" s="2" t="s">
        <v>10</v>
      </c>
    </row>
    <row r="18" spans="1:7" x14ac:dyDescent="0.25">
      <c r="A18" s="2" t="s">
        <v>43</v>
      </c>
      <c r="B18" s="3">
        <v>45561</v>
      </c>
      <c r="C18" s="2" t="s">
        <v>44</v>
      </c>
      <c r="D18" s="2" t="s">
        <v>9</v>
      </c>
      <c r="E18" s="4">
        <v>-4499.33</v>
      </c>
      <c r="F18" s="2">
        <v>6100</v>
      </c>
      <c r="G18" s="2" t="s">
        <v>10</v>
      </c>
    </row>
    <row r="19" spans="1:7" x14ac:dyDescent="0.25">
      <c r="A19" s="2" t="s">
        <v>45</v>
      </c>
      <c r="B19" s="3">
        <v>45582</v>
      </c>
      <c r="C19" s="2" t="s">
        <v>38</v>
      </c>
      <c r="D19" s="2" t="s">
        <v>39</v>
      </c>
      <c r="E19" s="4">
        <v>-7903.03</v>
      </c>
      <c r="F19" s="2">
        <v>6500</v>
      </c>
      <c r="G19" s="2" t="s">
        <v>10</v>
      </c>
    </row>
    <row r="20" spans="1:7" x14ac:dyDescent="0.25">
      <c r="A20" s="2" t="s">
        <v>46</v>
      </c>
      <c r="B20" s="3">
        <v>45606</v>
      </c>
      <c r="C20" s="2" t="s">
        <v>17</v>
      </c>
      <c r="D20" s="2" t="s">
        <v>18</v>
      </c>
      <c r="E20" s="4">
        <v>-12213.94</v>
      </c>
      <c r="F20" s="2">
        <v>5100</v>
      </c>
      <c r="G20" s="2" t="s">
        <v>10</v>
      </c>
    </row>
    <row r="21" spans="1:7" x14ac:dyDescent="0.25">
      <c r="A21" s="2" t="s">
        <v>47</v>
      </c>
      <c r="B21" s="3">
        <v>45316</v>
      </c>
      <c r="C21" s="2" t="s">
        <v>48</v>
      </c>
      <c r="D21" s="2" t="s">
        <v>9</v>
      </c>
      <c r="E21" s="4">
        <v>-2134.9499999999998</v>
      </c>
      <c r="F21" s="2">
        <v>6100</v>
      </c>
      <c r="G21" s="2" t="s">
        <v>10</v>
      </c>
    </row>
    <row r="22" spans="1:7" x14ac:dyDescent="0.25">
      <c r="A22" s="2" t="s">
        <v>49</v>
      </c>
      <c r="B22" s="3">
        <v>45485</v>
      </c>
      <c r="C22" s="2" t="s">
        <v>27</v>
      </c>
      <c r="D22" s="2" t="s">
        <v>28</v>
      </c>
      <c r="E22" s="4">
        <v>-108.35</v>
      </c>
      <c r="F22" s="2">
        <v>6900</v>
      </c>
      <c r="G22" s="2" t="s">
        <v>10</v>
      </c>
    </row>
    <row r="23" spans="1:7" x14ac:dyDescent="0.25">
      <c r="A23" s="2" t="s">
        <v>50</v>
      </c>
      <c r="B23" s="3">
        <v>45571</v>
      </c>
      <c r="C23" s="2" t="s">
        <v>51</v>
      </c>
      <c r="D23" s="2" t="s">
        <v>52</v>
      </c>
      <c r="E23" s="4">
        <v>-9833.56</v>
      </c>
      <c r="F23" s="2">
        <v>6000</v>
      </c>
      <c r="G23" s="2" t="s">
        <v>10</v>
      </c>
    </row>
    <row r="24" spans="1:7" x14ac:dyDescent="0.25">
      <c r="A24" s="2" t="s">
        <v>53</v>
      </c>
      <c r="B24" s="3">
        <v>45343</v>
      </c>
      <c r="C24" s="2" t="s">
        <v>48</v>
      </c>
      <c r="D24" s="2" t="s">
        <v>9</v>
      </c>
      <c r="E24" s="4">
        <v>-5623.03</v>
      </c>
      <c r="F24" s="2">
        <v>6100</v>
      </c>
      <c r="G24" s="2" t="s">
        <v>10</v>
      </c>
    </row>
    <row r="25" spans="1:7" x14ac:dyDescent="0.25">
      <c r="A25" s="2" t="s">
        <v>54</v>
      </c>
      <c r="B25" s="3">
        <v>45602</v>
      </c>
      <c r="C25" s="2" t="s">
        <v>38</v>
      </c>
      <c r="D25" s="2" t="s">
        <v>39</v>
      </c>
      <c r="E25" s="4">
        <v>-2710.97</v>
      </c>
      <c r="F25" s="2">
        <v>6500</v>
      </c>
      <c r="G25" s="2" t="s">
        <v>10</v>
      </c>
    </row>
    <row r="26" spans="1:7" x14ac:dyDescent="0.25">
      <c r="A26" s="2" t="s">
        <v>55</v>
      </c>
      <c r="B26" s="3">
        <v>45462</v>
      </c>
      <c r="C26" s="2" t="s">
        <v>56</v>
      </c>
      <c r="D26" s="2" t="s">
        <v>18</v>
      </c>
      <c r="E26" s="4">
        <v>-6318.44</v>
      </c>
      <c r="F26" s="2">
        <v>5100</v>
      </c>
      <c r="G26" s="2" t="s">
        <v>10</v>
      </c>
    </row>
    <row r="27" spans="1:7" x14ac:dyDescent="0.25">
      <c r="A27" s="2" t="s">
        <v>57</v>
      </c>
      <c r="B27" s="3">
        <v>45627</v>
      </c>
      <c r="C27" s="2" t="s">
        <v>58</v>
      </c>
      <c r="D27" s="2" t="s">
        <v>59</v>
      </c>
      <c r="E27" s="4">
        <v>-398.68</v>
      </c>
      <c r="F27" s="2">
        <v>6200</v>
      </c>
      <c r="G27" s="2" t="s">
        <v>10</v>
      </c>
    </row>
    <row r="28" spans="1:7" x14ac:dyDescent="0.25">
      <c r="A28" s="2" t="s">
        <v>60</v>
      </c>
      <c r="B28" s="3">
        <v>45337</v>
      </c>
      <c r="C28" s="2" t="s">
        <v>51</v>
      </c>
      <c r="D28" s="2" t="s">
        <v>52</v>
      </c>
      <c r="E28" s="4">
        <v>-1946.79</v>
      </c>
      <c r="F28" s="2">
        <v>6000</v>
      </c>
      <c r="G28" s="2" t="s">
        <v>10</v>
      </c>
    </row>
    <row r="29" spans="1:7" x14ac:dyDescent="0.25">
      <c r="A29" s="2" t="s">
        <v>61</v>
      </c>
      <c r="B29" s="3">
        <v>45409</v>
      </c>
      <c r="C29" s="2" t="s">
        <v>58</v>
      </c>
      <c r="D29" s="2" t="s">
        <v>59</v>
      </c>
      <c r="E29" s="4">
        <v>-245.17</v>
      </c>
      <c r="F29" s="2">
        <v>6200</v>
      </c>
      <c r="G29" s="2" t="s">
        <v>10</v>
      </c>
    </row>
    <row r="30" spans="1:7" x14ac:dyDescent="0.25">
      <c r="A30" s="2" t="s">
        <v>62</v>
      </c>
      <c r="B30" s="3">
        <v>45356</v>
      </c>
      <c r="C30" s="2" t="s">
        <v>63</v>
      </c>
      <c r="D30" s="2" t="s">
        <v>52</v>
      </c>
      <c r="E30" s="4">
        <v>-1749.44</v>
      </c>
      <c r="F30" s="2">
        <v>6000</v>
      </c>
      <c r="G30" s="2" t="s">
        <v>10</v>
      </c>
    </row>
    <row r="31" spans="1:7" x14ac:dyDescent="0.25">
      <c r="A31" s="2" t="s">
        <v>64</v>
      </c>
      <c r="B31" s="3">
        <v>45615</v>
      </c>
      <c r="C31" s="2" t="s">
        <v>58</v>
      </c>
      <c r="D31" s="2" t="s">
        <v>59</v>
      </c>
      <c r="E31" s="4">
        <v>-935.71</v>
      </c>
      <c r="F31" s="2">
        <v>6200</v>
      </c>
      <c r="G31" s="2" t="s">
        <v>10</v>
      </c>
    </row>
    <row r="32" spans="1:7" x14ac:dyDescent="0.25">
      <c r="A32" s="2" t="s">
        <v>65</v>
      </c>
      <c r="B32" s="3">
        <v>45408</v>
      </c>
      <c r="C32" s="2" t="s">
        <v>38</v>
      </c>
      <c r="D32" s="2" t="s">
        <v>39</v>
      </c>
      <c r="E32" s="4">
        <v>-3401.29</v>
      </c>
      <c r="F32" s="2">
        <v>6500</v>
      </c>
      <c r="G32" s="2" t="s">
        <v>10</v>
      </c>
    </row>
    <row r="33" spans="1:7" x14ac:dyDescent="0.25">
      <c r="A33" s="2" t="s">
        <v>66</v>
      </c>
      <c r="B33" s="3">
        <v>45518</v>
      </c>
      <c r="C33" s="2" t="s">
        <v>67</v>
      </c>
      <c r="D33" s="2" t="s">
        <v>59</v>
      </c>
      <c r="E33" s="4">
        <v>-289.2</v>
      </c>
      <c r="F33" s="2">
        <v>6200</v>
      </c>
      <c r="G33" s="2" t="s">
        <v>10</v>
      </c>
    </row>
    <row r="34" spans="1:7" x14ac:dyDescent="0.25">
      <c r="A34" s="2" t="s">
        <v>68</v>
      </c>
      <c r="B34" s="3">
        <v>45616</v>
      </c>
      <c r="C34" s="2" t="s">
        <v>69</v>
      </c>
      <c r="D34" s="2" t="s">
        <v>39</v>
      </c>
      <c r="E34" s="4">
        <v>-4106.8999999999996</v>
      </c>
      <c r="F34" s="2">
        <v>6500</v>
      </c>
      <c r="G34" s="2" t="s">
        <v>10</v>
      </c>
    </row>
    <row r="35" spans="1:7" x14ac:dyDescent="0.25">
      <c r="A35" s="2" t="s">
        <v>70</v>
      </c>
      <c r="B35" s="3">
        <v>45373</v>
      </c>
      <c r="C35" s="2" t="s">
        <v>71</v>
      </c>
      <c r="D35" s="2" t="s">
        <v>59</v>
      </c>
      <c r="E35" s="4">
        <v>-1004.52</v>
      </c>
      <c r="F35" s="2">
        <v>6200</v>
      </c>
      <c r="G35" s="2" t="s">
        <v>10</v>
      </c>
    </row>
    <row r="36" spans="1:7" x14ac:dyDescent="0.25">
      <c r="A36" s="2" t="s">
        <v>72</v>
      </c>
      <c r="B36" s="3">
        <v>45342</v>
      </c>
      <c r="C36" s="2" t="s">
        <v>12</v>
      </c>
      <c r="D36" s="2" t="s">
        <v>13</v>
      </c>
      <c r="E36" s="4">
        <v>-2680.64</v>
      </c>
      <c r="F36" s="2">
        <v>6400</v>
      </c>
      <c r="G36" s="2" t="s">
        <v>10</v>
      </c>
    </row>
    <row r="37" spans="1:7" x14ac:dyDescent="0.25">
      <c r="A37" s="2" t="s">
        <v>73</v>
      </c>
      <c r="B37" s="3">
        <v>45314</v>
      </c>
      <c r="C37" s="2" t="s">
        <v>23</v>
      </c>
      <c r="D37" s="2" t="s">
        <v>24</v>
      </c>
      <c r="E37" s="4">
        <v>-890.4</v>
      </c>
      <c r="F37" s="2">
        <v>6300</v>
      </c>
      <c r="G37" s="2" t="s">
        <v>10</v>
      </c>
    </row>
    <row r="38" spans="1:7" x14ac:dyDescent="0.25">
      <c r="A38" s="2" t="s">
        <v>74</v>
      </c>
      <c r="B38" s="3">
        <v>45440</v>
      </c>
      <c r="C38" s="2" t="s">
        <v>56</v>
      </c>
      <c r="D38" s="2" t="s">
        <v>18</v>
      </c>
      <c r="E38" s="4">
        <v>-1234.99</v>
      </c>
      <c r="F38" s="2">
        <v>5100</v>
      </c>
      <c r="G38" s="2" t="s">
        <v>10</v>
      </c>
    </row>
    <row r="39" spans="1:7" x14ac:dyDescent="0.25">
      <c r="A39" s="2" t="s">
        <v>75</v>
      </c>
      <c r="B39" s="3">
        <v>45656</v>
      </c>
      <c r="C39" s="2" t="s">
        <v>76</v>
      </c>
      <c r="D39" s="2" t="s">
        <v>28</v>
      </c>
      <c r="E39" s="4">
        <v>-30.57</v>
      </c>
      <c r="F39" s="2">
        <v>6900</v>
      </c>
      <c r="G39" s="2" t="s">
        <v>10</v>
      </c>
    </row>
    <row r="40" spans="1:7" x14ac:dyDescent="0.25">
      <c r="A40" s="2" t="s">
        <v>77</v>
      </c>
      <c r="B40" s="3">
        <v>45559</v>
      </c>
      <c r="C40" s="2" t="s">
        <v>71</v>
      </c>
      <c r="D40" s="2" t="s">
        <v>59</v>
      </c>
      <c r="E40" s="4">
        <v>-1013.37</v>
      </c>
      <c r="F40" s="2">
        <v>6200</v>
      </c>
      <c r="G40" s="2" t="s">
        <v>10</v>
      </c>
    </row>
    <row r="41" spans="1:7" x14ac:dyDescent="0.25">
      <c r="A41" s="2" t="s">
        <v>78</v>
      </c>
      <c r="B41" s="3">
        <v>45455</v>
      </c>
      <c r="C41" s="2" t="s">
        <v>79</v>
      </c>
      <c r="D41" s="2" t="s">
        <v>31</v>
      </c>
      <c r="E41" s="4">
        <v>64.489999999999995</v>
      </c>
      <c r="F41" s="2">
        <v>4900</v>
      </c>
      <c r="G41" s="2" t="s">
        <v>10</v>
      </c>
    </row>
    <row r="42" spans="1:7" x14ac:dyDescent="0.25">
      <c r="A42" s="2" t="s">
        <v>80</v>
      </c>
      <c r="B42" s="3">
        <v>45295</v>
      </c>
      <c r="C42" s="2" t="s">
        <v>81</v>
      </c>
      <c r="D42" s="2" t="s">
        <v>18</v>
      </c>
      <c r="E42" s="4">
        <v>-14882.22</v>
      </c>
      <c r="F42" s="2">
        <v>5100</v>
      </c>
      <c r="G42" s="2" t="s">
        <v>10</v>
      </c>
    </row>
    <row r="43" spans="1:7" x14ac:dyDescent="0.25">
      <c r="A43" s="2" t="s">
        <v>82</v>
      </c>
      <c r="B43" s="3">
        <v>45492</v>
      </c>
      <c r="C43" s="2" t="s">
        <v>42</v>
      </c>
      <c r="D43" s="2" t="s">
        <v>39</v>
      </c>
      <c r="E43" s="4">
        <v>-3861.35</v>
      </c>
      <c r="F43" s="2">
        <v>6500</v>
      </c>
      <c r="G43" s="2" t="s">
        <v>10</v>
      </c>
    </row>
    <row r="44" spans="1:7" x14ac:dyDescent="0.25">
      <c r="A44" s="2" t="s">
        <v>83</v>
      </c>
      <c r="B44" s="3">
        <v>45524</v>
      </c>
      <c r="C44" s="2" t="s">
        <v>34</v>
      </c>
      <c r="D44" s="2" t="s">
        <v>35</v>
      </c>
      <c r="E44" s="4">
        <v>8054.16</v>
      </c>
      <c r="F44" s="2">
        <v>4000</v>
      </c>
      <c r="G44" s="2" t="s">
        <v>10</v>
      </c>
    </row>
    <row r="45" spans="1:7" x14ac:dyDescent="0.25">
      <c r="A45" s="2" t="s">
        <v>84</v>
      </c>
      <c r="B45" s="3">
        <v>45308</v>
      </c>
      <c r="C45" s="2" t="s">
        <v>69</v>
      </c>
      <c r="D45" s="2" t="s">
        <v>39</v>
      </c>
      <c r="E45" s="4">
        <v>-5280.29</v>
      </c>
      <c r="F45" s="2">
        <v>6500</v>
      </c>
      <c r="G45" s="2" t="s">
        <v>10</v>
      </c>
    </row>
    <row r="46" spans="1:7" x14ac:dyDescent="0.25">
      <c r="A46" s="2" t="s">
        <v>85</v>
      </c>
      <c r="B46" s="3">
        <v>45422</v>
      </c>
      <c r="C46" s="2" t="s">
        <v>63</v>
      </c>
      <c r="D46" s="2" t="s">
        <v>52</v>
      </c>
      <c r="E46" s="4">
        <v>-6251.33</v>
      </c>
      <c r="F46" s="2">
        <v>6000</v>
      </c>
      <c r="G46" s="2" t="s">
        <v>10</v>
      </c>
    </row>
    <row r="47" spans="1:7" x14ac:dyDescent="0.25">
      <c r="A47" s="2" t="s">
        <v>86</v>
      </c>
      <c r="B47" s="3">
        <v>45506</v>
      </c>
      <c r="C47" s="2" t="s">
        <v>27</v>
      </c>
      <c r="D47" s="2" t="s">
        <v>28</v>
      </c>
      <c r="E47" s="4">
        <v>-23.71</v>
      </c>
      <c r="F47" s="2">
        <v>6900</v>
      </c>
      <c r="G47" s="2" t="s">
        <v>10</v>
      </c>
    </row>
    <row r="48" spans="1:7" x14ac:dyDescent="0.25">
      <c r="A48" s="2" t="s">
        <v>87</v>
      </c>
      <c r="B48" s="3">
        <v>45509</v>
      </c>
      <c r="C48" s="2" t="s">
        <v>63</v>
      </c>
      <c r="D48" s="2" t="s">
        <v>52</v>
      </c>
      <c r="E48" s="4">
        <v>-9535.8700000000008</v>
      </c>
      <c r="F48" s="2">
        <v>6000</v>
      </c>
      <c r="G48" s="2" t="s">
        <v>10</v>
      </c>
    </row>
    <row r="49" spans="1:7" x14ac:dyDescent="0.25">
      <c r="A49" s="2" t="s">
        <v>88</v>
      </c>
      <c r="B49" s="3">
        <v>45530</v>
      </c>
      <c r="C49" s="2" t="s">
        <v>34</v>
      </c>
      <c r="D49" s="2" t="s">
        <v>35</v>
      </c>
      <c r="E49" s="4">
        <v>4232</v>
      </c>
      <c r="F49" s="2">
        <v>4000</v>
      </c>
      <c r="G49" s="2" t="s">
        <v>10</v>
      </c>
    </row>
    <row r="50" spans="1:7" x14ac:dyDescent="0.25">
      <c r="A50" s="2" t="s">
        <v>89</v>
      </c>
      <c r="B50" s="3">
        <v>45420</v>
      </c>
      <c r="C50" s="2" t="s">
        <v>51</v>
      </c>
      <c r="D50" s="2" t="s">
        <v>52</v>
      </c>
      <c r="E50" s="4">
        <v>-6690.3</v>
      </c>
      <c r="F50" s="2">
        <v>6000</v>
      </c>
      <c r="G50" s="2" t="s">
        <v>10</v>
      </c>
    </row>
    <row r="51" spans="1:7" x14ac:dyDescent="0.25">
      <c r="A51" s="2" t="s">
        <v>90</v>
      </c>
      <c r="B51" s="3">
        <v>45549</v>
      </c>
      <c r="C51" s="2" t="s">
        <v>23</v>
      </c>
      <c r="D51" s="2" t="s">
        <v>24</v>
      </c>
      <c r="E51" s="4">
        <v>-692.91</v>
      </c>
      <c r="F51" s="2">
        <v>6300</v>
      </c>
      <c r="G51" s="2" t="s">
        <v>10</v>
      </c>
    </row>
    <row r="52" spans="1:7" x14ac:dyDescent="0.25">
      <c r="A52" s="2" t="s">
        <v>91</v>
      </c>
      <c r="B52" s="3">
        <v>45415</v>
      </c>
      <c r="C52" s="2" t="s">
        <v>63</v>
      </c>
      <c r="D52" s="2" t="s">
        <v>52</v>
      </c>
      <c r="E52" s="4">
        <v>-5333</v>
      </c>
      <c r="F52" s="2">
        <v>6000</v>
      </c>
      <c r="G52" s="2" t="s">
        <v>10</v>
      </c>
    </row>
    <row r="53" spans="1:7" x14ac:dyDescent="0.25">
      <c r="A53" s="2" t="s">
        <v>92</v>
      </c>
      <c r="B53" s="3">
        <v>45475</v>
      </c>
      <c r="C53" s="2" t="s">
        <v>34</v>
      </c>
      <c r="D53" s="2" t="s">
        <v>35</v>
      </c>
      <c r="E53" s="4">
        <v>10370.549999999999</v>
      </c>
      <c r="F53" s="2">
        <v>4000</v>
      </c>
      <c r="G53" s="2" t="s">
        <v>10</v>
      </c>
    </row>
    <row r="54" spans="1:7" x14ac:dyDescent="0.25">
      <c r="A54" s="2" t="s">
        <v>93</v>
      </c>
      <c r="B54" s="3">
        <v>45403</v>
      </c>
      <c r="C54" s="2" t="s">
        <v>94</v>
      </c>
      <c r="D54" s="2" t="s">
        <v>24</v>
      </c>
      <c r="E54" s="4">
        <v>-95.66</v>
      </c>
      <c r="F54" s="2">
        <v>6300</v>
      </c>
      <c r="G54" s="2" t="s">
        <v>10</v>
      </c>
    </row>
    <row r="55" spans="1:7" x14ac:dyDescent="0.25">
      <c r="A55" s="2" t="s">
        <v>95</v>
      </c>
      <c r="B55" s="3">
        <v>45444</v>
      </c>
      <c r="C55" s="2" t="s">
        <v>23</v>
      </c>
      <c r="D55" s="2" t="s">
        <v>24</v>
      </c>
      <c r="E55" s="4">
        <v>-564.47</v>
      </c>
      <c r="F55" s="2">
        <v>6300</v>
      </c>
      <c r="G55" s="2" t="s">
        <v>10</v>
      </c>
    </row>
    <row r="56" spans="1:7" x14ac:dyDescent="0.25">
      <c r="A56" s="2" t="s">
        <v>96</v>
      </c>
      <c r="B56" s="3">
        <v>45605</v>
      </c>
      <c r="C56" s="2" t="s">
        <v>97</v>
      </c>
      <c r="D56" s="2" t="s">
        <v>52</v>
      </c>
      <c r="E56" s="4">
        <v>-3419.49</v>
      </c>
      <c r="F56" s="2">
        <v>6000</v>
      </c>
      <c r="G56" s="2" t="s">
        <v>10</v>
      </c>
    </row>
    <row r="57" spans="1:7" x14ac:dyDescent="0.25">
      <c r="A57" s="2" t="s">
        <v>98</v>
      </c>
      <c r="B57" s="3">
        <v>45380</v>
      </c>
      <c r="C57" s="2" t="s">
        <v>56</v>
      </c>
      <c r="D57" s="2" t="s">
        <v>18</v>
      </c>
      <c r="E57" s="4">
        <v>-10807.93</v>
      </c>
      <c r="F57" s="2">
        <v>5100</v>
      </c>
      <c r="G57" s="2" t="s">
        <v>10</v>
      </c>
    </row>
    <row r="58" spans="1:7" x14ac:dyDescent="0.25">
      <c r="A58" s="2" t="s">
        <v>99</v>
      </c>
      <c r="B58" s="3">
        <v>45327</v>
      </c>
      <c r="C58" s="2" t="s">
        <v>38</v>
      </c>
      <c r="D58" s="2" t="s">
        <v>39</v>
      </c>
      <c r="E58" s="4">
        <v>-6149.05</v>
      </c>
      <c r="F58" s="2">
        <v>6500</v>
      </c>
      <c r="G58" s="2" t="s">
        <v>10</v>
      </c>
    </row>
    <row r="59" spans="1:7" x14ac:dyDescent="0.25">
      <c r="A59" s="2" t="s">
        <v>100</v>
      </c>
      <c r="B59" s="3">
        <v>45530</v>
      </c>
      <c r="C59" s="2" t="s">
        <v>30</v>
      </c>
      <c r="D59" s="2" t="s">
        <v>31</v>
      </c>
      <c r="E59" s="4">
        <v>150.71</v>
      </c>
      <c r="F59" s="2">
        <v>4900</v>
      </c>
      <c r="G59" s="2" t="s">
        <v>10</v>
      </c>
    </row>
    <row r="60" spans="1:7" x14ac:dyDescent="0.25">
      <c r="A60" s="2" t="s">
        <v>101</v>
      </c>
      <c r="B60" s="3">
        <v>45480</v>
      </c>
      <c r="C60" s="2" t="s">
        <v>67</v>
      </c>
      <c r="D60" s="2" t="s">
        <v>59</v>
      </c>
      <c r="E60" s="4">
        <v>-747.51</v>
      </c>
      <c r="F60" s="2">
        <v>6200</v>
      </c>
      <c r="G60" s="2" t="s">
        <v>10</v>
      </c>
    </row>
    <row r="61" spans="1:7" x14ac:dyDescent="0.25">
      <c r="A61" s="2" t="s">
        <v>102</v>
      </c>
      <c r="B61" s="3">
        <v>45409</v>
      </c>
      <c r="C61" s="2" t="s">
        <v>103</v>
      </c>
      <c r="D61" s="2" t="s">
        <v>35</v>
      </c>
      <c r="E61" s="4">
        <v>12245.72</v>
      </c>
      <c r="F61" s="2">
        <v>4000</v>
      </c>
      <c r="G61" s="2" t="s">
        <v>10</v>
      </c>
    </row>
    <row r="62" spans="1:7" x14ac:dyDescent="0.25">
      <c r="A62" s="2" t="s">
        <v>104</v>
      </c>
      <c r="B62" s="3">
        <v>45631</v>
      </c>
      <c r="C62" s="2" t="s">
        <v>103</v>
      </c>
      <c r="D62" s="2" t="s">
        <v>35</v>
      </c>
      <c r="E62" s="4">
        <v>1337.4</v>
      </c>
      <c r="F62" s="2">
        <v>4000</v>
      </c>
      <c r="G62" s="2" t="s">
        <v>10</v>
      </c>
    </row>
    <row r="63" spans="1:7" x14ac:dyDescent="0.25">
      <c r="A63" s="2" t="s">
        <v>105</v>
      </c>
      <c r="B63" s="3">
        <v>45440</v>
      </c>
      <c r="C63" s="2" t="s">
        <v>79</v>
      </c>
      <c r="D63" s="2" t="s">
        <v>31</v>
      </c>
      <c r="E63" s="4">
        <v>88.85</v>
      </c>
      <c r="F63" s="2">
        <v>4900</v>
      </c>
      <c r="G63" s="2" t="s">
        <v>10</v>
      </c>
    </row>
    <row r="64" spans="1:7" x14ac:dyDescent="0.25">
      <c r="A64" s="2" t="s">
        <v>106</v>
      </c>
      <c r="B64" s="3">
        <v>45432</v>
      </c>
      <c r="C64" s="2" t="s">
        <v>34</v>
      </c>
      <c r="D64" s="2" t="s">
        <v>35</v>
      </c>
      <c r="E64" s="4">
        <v>9032.76</v>
      </c>
      <c r="F64" s="2">
        <v>4000</v>
      </c>
      <c r="G64" s="2" t="s">
        <v>10</v>
      </c>
    </row>
    <row r="65" spans="1:7" x14ac:dyDescent="0.25">
      <c r="A65" s="2" t="s">
        <v>107</v>
      </c>
      <c r="B65" s="3">
        <v>45623</v>
      </c>
      <c r="C65" s="2" t="s">
        <v>103</v>
      </c>
      <c r="D65" s="2" t="s">
        <v>35</v>
      </c>
      <c r="E65" s="4">
        <v>13908.43</v>
      </c>
      <c r="F65" s="2">
        <v>4000</v>
      </c>
      <c r="G65" s="2" t="s">
        <v>10</v>
      </c>
    </row>
    <row r="66" spans="1:7" x14ac:dyDescent="0.25">
      <c r="A66" s="2" t="s">
        <v>108</v>
      </c>
      <c r="B66" s="3">
        <v>45407</v>
      </c>
      <c r="C66" s="2" t="s">
        <v>17</v>
      </c>
      <c r="D66" s="2" t="s">
        <v>18</v>
      </c>
      <c r="E66" s="4">
        <v>-7082.21</v>
      </c>
      <c r="F66" s="2">
        <v>5100</v>
      </c>
      <c r="G66" s="2" t="s">
        <v>10</v>
      </c>
    </row>
    <row r="67" spans="1:7" x14ac:dyDescent="0.25">
      <c r="A67" s="2" t="s">
        <v>109</v>
      </c>
      <c r="B67" s="3">
        <v>45587</v>
      </c>
      <c r="C67" s="2" t="s">
        <v>44</v>
      </c>
      <c r="D67" s="2" t="s">
        <v>9</v>
      </c>
      <c r="E67" s="4">
        <v>-2379.7399999999998</v>
      </c>
      <c r="F67" s="2">
        <v>6100</v>
      </c>
      <c r="G67" s="2" t="s">
        <v>10</v>
      </c>
    </row>
    <row r="68" spans="1:7" x14ac:dyDescent="0.25">
      <c r="A68" s="2" t="s">
        <v>110</v>
      </c>
      <c r="B68" s="3">
        <v>45293</v>
      </c>
      <c r="C68" s="2" t="s">
        <v>8</v>
      </c>
      <c r="D68" s="2" t="s">
        <v>9</v>
      </c>
      <c r="E68" s="4">
        <v>-1206.4100000000001</v>
      </c>
      <c r="F68" s="2">
        <v>6100</v>
      </c>
      <c r="G68" s="2" t="s">
        <v>10</v>
      </c>
    </row>
    <row r="69" spans="1:7" x14ac:dyDescent="0.25">
      <c r="A69" s="2" t="s">
        <v>111</v>
      </c>
      <c r="B69" s="3">
        <v>45498</v>
      </c>
      <c r="C69" s="2" t="s">
        <v>21</v>
      </c>
      <c r="D69" s="2" t="s">
        <v>13</v>
      </c>
      <c r="E69" s="4">
        <v>-159.44</v>
      </c>
      <c r="F69" s="2">
        <v>6400</v>
      </c>
      <c r="G69" s="2" t="s">
        <v>10</v>
      </c>
    </row>
    <row r="70" spans="1:7" x14ac:dyDescent="0.25">
      <c r="A70" s="2" t="s">
        <v>112</v>
      </c>
      <c r="B70" s="3">
        <v>45483</v>
      </c>
      <c r="C70" s="2" t="s">
        <v>8</v>
      </c>
      <c r="D70" s="2" t="s">
        <v>9</v>
      </c>
      <c r="E70" s="4">
        <v>-937.97</v>
      </c>
      <c r="F70" s="2">
        <v>6100</v>
      </c>
      <c r="G70" s="2" t="s">
        <v>10</v>
      </c>
    </row>
    <row r="71" spans="1:7" x14ac:dyDescent="0.25">
      <c r="A71" s="2" t="s">
        <v>113</v>
      </c>
      <c r="B71" s="3">
        <v>45597</v>
      </c>
      <c r="C71" s="2" t="s">
        <v>71</v>
      </c>
      <c r="D71" s="2" t="s">
        <v>59</v>
      </c>
      <c r="E71" s="4">
        <v>-1039.72</v>
      </c>
      <c r="F71" s="2">
        <v>6200</v>
      </c>
      <c r="G71" s="2" t="s">
        <v>10</v>
      </c>
    </row>
    <row r="72" spans="1:7" x14ac:dyDescent="0.25">
      <c r="A72" s="2" t="s">
        <v>114</v>
      </c>
      <c r="B72" s="3">
        <v>45359</v>
      </c>
      <c r="C72" s="2" t="s">
        <v>76</v>
      </c>
      <c r="D72" s="2" t="s">
        <v>28</v>
      </c>
      <c r="E72" s="4">
        <v>-115.2</v>
      </c>
      <c r="F72" s="2">
        <v>6900</v>
      </c>
      <c r="G72" s="2" t="s">
        <v>10</v>
      </c>
    </row>
    <row r="73" spans="1:7" x14ac:dyDescent="0.25">
      <c r="A73" s="2" t="s">
        <v>115</v>
      </c>
      <c r="B73" s="3">
        <v>45455</v>
      </c>
      <c r="C73" s="2" t="s">
        <v>116</v>
      </c>
      <c r="D73" s="2" t="s">
        <v>35</v>
      </c>
      <c r="E73" s="4">
        <v>10914.5</v>
      </c>
      <c r="F73" s="2">
        <v>4000</v>
      </c>
      <c r="G73" s="2" t="s">
        <v>10</v>
      </c>
    </row>
    <row r="74" spans="1:7" x14ac:dyDescent="0.25">
      <c r="A74" s="2" t="s">
        <v>117</v>
      </c>
      <c r="B74" s="3">
        <v>45401</v>
      </c>
      <c r="C74" s="2" t="s">
        <v>23</v>
      </c>
      <c r="D74" s="2" t="s">
        <v>24</v>
      </c>
      <c r="E74" s="4">
        <v>-380.84</v>
      </c>
      <c r="F74" s="2">
        <v>6300</v>
      </c>
      <c r="G74" s="2" t="s">
        <v>10</v>
      </c>
    </row>
    <row r="75" spans="1:7" x14ac:dyDescent="0.25">
      <c r="A75" s="2" t="s">
        <v>118</v>
      </c>
      <c r="B75" s="3">
        <v>45518</v>
      </c>
      <c r="C75" s="2" t="s">
        <v>27</v>
      </c>
      <c r="D75" s="2" t="s">
        <v>28</v>
      </c>
      <c r="E75" s="4">
        <v>-36.450000000000003</v>
      </c>
      <c r="F75" s="2">
        <v>6900</v>
      </c>
      <c r="G75" s="2" t="s">
        <v>10</v>
      </c>
    </row>
    <row r="76" spans="1:7" x14ac:dyDescent="0.25">
      <c r="A76" s="2" t="s">
        <v>119</v>
      </c>
      <c r="B76" s="3">
        <v>45346</v>
      </c>
      <c r="C76" s="2" t="s">
        <v>38</v>
      </c>
      <c r="D76" s="2" t="s">
        <v>39</v>
      </c>
      <c r="E76" s="4">
        <v>-2385.7399999999998</v>
      </c>
      <c r="F76" s="2">
        <v>6500</v>
      </c>
      <c r="G76" s="2" t="s">
        <v>10</v>
      </c>
    </row>
    <row r="77" spans="1:7" x14ac:dyDescent="0.25">
      <c r="A77" s="2" t="s">
        <v>120</v>
      </c>
      <c r="B77" s="3">
        <v>45333</v>
      </c>
      <c r="C77" s="2" t="s">
        <v>58</v>
      </c>
      <c r="D77" s="2" t="s">
        <v>59</v>
      </c>
      <c r="E77" s="4">
        <v>-897.06</v>
      </c>
      <c r="F77" s="2">
        <v>6200</v>
      </c>
      <c r="G77" s="2" t="s">
        <v>10</v>
      </c>
    </row>
    <row r="78" spans="1:7" x14ac:dyDescent="0.25">
      <c r="A78" s="2" t="s">
        <v>121</v>
      </c>
      <c r="B78" s="3">
        <v>45298</v>
      </c>
      <c r="C78" s="2" t="s">
        <v>116</v>
      </c>
      <c r="D78" s="2" t="s">
        <v>35</v>
      </c>
      <c r="E78" s="4">
        <v>15561.05</v>
      </c>
      <c r="F78" s="2">
        <v>4000</v>
      </c>
      <c r="G78" s="2" t="s">
        <v>10</v>
      </c>
    </row>
    <row r="79" spans="1:7" x14ac:dyDescent="0.25">
      <c r="A79" s="2" t="s">
        <v>122</v>
      </c>
      <c r="B79" s="3">
        <v>45544</v>
      </c>
      <c r="C79" s="2" t="s">
        <v>63</v>
      </c>
      <c r="D79" s="2" t="s">
        <v>52</v>
      </c>
      <c r="E79" s="4">
        <v>-11219.71</v>
      </c>
      <c r="F79" s="2">
        <v>6000</v>
      </c>
      <c r="G79" s="2" t="s">
        <v>123</v>
      </c>
    </row>
    <row r="80" spans="1:7" x14ac:dyDescent="0.25">
      <c r="A80" s="2" t="s">
        <v>124</v>
      </c>
      <c r="B80" s="3">
        <v>45319</v>
      </c>
      <c r="C80" s="2" t="s">
        <v>42</v>
      </c>
      <c r="D80" s="2" t="s">
        <v>39</v>
      </c>
      <c r="E80" s="4">
        <v>-3211.99</v>
      </c>
      <c r="F80" s="2">
        <v>6500</v>
      </c>
      <c r="G80" s="2" t="s">
        <v>10</v>
      </c>
    </row>
    <row r="81" spans="1:7" x14ac:dyDescent="0.25">
      <c r="A81" s="2" t="s">
        <v>125</v>
      </c>
      <c r="B81" s="3">
        <v>45457</v>
      </c>
      <c r="C81" s="2" t="s">
        <v>63</v>
      </c>
      <c r="D81" s="2" t="s">
        <v>52</v>
      </c>
      <c r="E81" s="4">
        <v>-6079.43</v>
      </c>
      <c r="F81" s="2">
        <v>6000</v>
      </c>
      <c r="G81" s="2" t="s">
        <v>10</v>
      </c>
    </row>
    <row r="82" spans="1:7" x14ac:dyDescent="0.25">
      <c r="A82" s="2" t="s">
        <v>126</v>
      </c>
      <c r="B82" s="3">
        <v>45446</v>
      </c>
      <c r="C82" s="2" t="s">
        <v>127</v>
      </c>
      <c r="D82" s="2" t="s">
        <v>24</v>
      </c>
      <c r="E82" s="4">
        <v>-840.95</v>
      </c>
      <c r="F82" s="2">
        <v>6300</v>
      </c>
      <c r="G82" s="2" t="s">
        <v>10</v>
      </c>
    </row>
    <row r="83" spans="1:7" x14ac:dyDescent="0.25">
      <c r="A83" s="2" t="s">
        <v>128</v>
      </c>
      <c r="B83" s="3">
        <v>45307</v>
      </c>
      <c r="C83" s="2" t="s">
        <v>27</v>
      </c>
      <c r="D83" s="2" t="s">
        <v>28</v>
      </c>
      <c r="E83" s="4">
        <v>-114.09</v>
      </c>
      <c r="F83" s="2">
        <v>6900</v>
      </c>
      <c r="G83" s="2" t="s">
        <v>10</v>
      </c>
    </row>
    <row r="84" spans="1:7" x14ac:dyDescent="0.25">
      <c r="A84" s="2" t="s">
        <v>129</v>
      </c>
      <c r="B84" s="3">
        <v>45504</v>
      </c>
      <c r="C84" s="2" t="s">
        <v>79</v>
      </c>
      <c r="D84" s="2" t="s">
        <v>31</v>
      </c>
      <c r="E84" s="4">
        <v>352.37</v>
      </c>
      <c r="F84" s="2">
        <v>4900</v>
      </c>
      <c r="G84" s="2" t="s">
        <v>10</v>
      </c>
    </row>
    <row r="85" spans="1:7" x14ac:dyDescent="0.25">
      <c r="A85" s="2" t="s">
        <v>130</v>
      </c>
      <c r="B85" s="3">
        <v>45425</v>
      </c>
      <c r="C85" s="2" t="s">
        <v>17</v>
      </c>
      <c r="D85" s="2" t="s">
        <v>18</v>
      </c>
      <c r="E85" s="4">
        <v>-12003.16</v>
      </c>
      <c r="F85" s="2">
        <v>5100</v>
      </c>
      <c r="G85" s="2" t="s">
        <v>10</v>
      </c>
    </row>
    <row r="86" spans="1:7" x14ac:dyDescent="0.25">
      <c r="A86" s="2" t="s">
        <v>131</v>
      </c>
      <c r="B86" s="3">
        <v>45309</v>
      </c>
      <c r="C86" s="2" t="s">
        <v>51</v>
      </c>
      <c r="D86" s="2" t="s">
        <v>52</v>
      </c>
      <c r="E86" s="4">
        <v>-8047.24</v>
      </c>
      <c r="F86" s="2">
        <v>6000</v>
      </c>
      <c r="G86" s="2" t="s">
        <v>10</v>
      </c>
    </row>
    <row r="87" spans="1:7" x14ac:dyDescent="0.25">
      <c r="A87" s="2" t="s">
        <v>132</v>
      </c>
      <c r="B87" s="3">
        <v>45648</v>
      </c>
      <c r="C87" s="2" t="s">
        <v>56</v>
      </c>
      <c r="D87" s="2" t="s">
        <v>18</v>
      </c>
      <c r="E87" s="4">
        <v>-5456.44</v>
      </c>
      <c r="F87" s="2">
        <v>5100</v>
      </c>
      <c r="G87" s="2" t="s">
        <v>10</v>
      </c>
    </row>
    <row r="88" spans="1:7" x14ac:dyDescent="0.25">
      <c r="A88" s="2" t="s">
        <v>133</v>
      </c>
      <c r="B88" s="3">
        <v>45480</v>
      </c>
      <c r="C88" s="2" t="s">
        <v>97</v>
      </c>
      <c r="D88" s="2" t="s">
        <v>52</v>
      </c>
      <c r="E88" s="4">
        <v>-4663.8599999999997</v>
      </c>
      <c r="F88" s="2">
        <v>6000</v>
      </c>
      <c r="G88" s="2" t="s">
        <v>10</v>
      </c>
    </row>
    <row r="89" spans="1:7" x14ac:dyDescent="0.25">
      <c r="A89" s="2" t="s">
        <v>134</v>
      </c>
      <c r="B89" s="3">
        <v>45523</v>
      </c>
      <c r="C89" s="2" t="s">
        <v>27</v>
      </c>
      <c r="D89" s="2" t="s">
        <v>28</v>
      </c>
      <c r="E89" s="4">
        <v>-13.01</v>
      </c>
      <c r="F89" s="2">
        <v>6900</v>
      </c>
      <c r="G89" s="2" t="s">
        <v>10</v>
      </c>
    </row>
    <row r="90" spans="1:7" x14ac:dyDescent="0.25">
      <c r="A90" s="2" t="s">
        <v>135</v>
      </c>
      <c r="B90" s="3">
        <v>45415</v>
      </c>
      <c r="C90" s="2" t="s">
        <v>44</v>
      </c>
      <c r="D90" s="2" t="s">
        <v>9</v>
      </c>
      <c r="E90" s="4">
        <v>-2998.22</v>
      </c>
      <c r="F90" s="2">
        <v>6100</v>
      </c>
      <c r="G90" s="2" t="s">
        <v>10</v>
      </c>
    </row>
    <row r="91" spans="1:7" x14ac:dyDescent="0.25">
      <c r="A91" s="2" t="s">
        <v>136</v>
      </c>
      <c r="B91" s="3">
        <v>45456</v>
      </c>
      <c r="C91" s="2" t="s">
        <v>69</v>
      </c>
      <c r="D91" s="2" t="s">
        <v>39</v>
      </c>
      <c r="E91" s="4">
        <v>-4909.45</v>
      </c>
      <c r="F91" s="2">
        <v>6500</v>
      </c>
      <c r="G91" s="2" t="s">
        <v>10</v>
      </c>
    </row>
    <row r="92" spans="1:7" x14ac:dyDescent="0.25">
      <c r="A92" s="2" t="s">
        <v>137</v>
      </c>
      <c r="B92" s="3">
        <v>45538</v>
      </c>
      <c r="C92" s="2" t="s">
        <v>127</v>
      </c>
      <c r="D92" s="2" t="s">
        <v>24</v>
      </c>
      <c r="E92" s="4">
        <v>-162.51</v>
      </c>
      <c r="F92" s="2">
        <v>6300</v>
      </c>
      <c r="G92" s="2" t="s">
        <v>10</v>
      </c>
    </row>
    <row r="93" spans="1:7" x14ac:dyDescent="0.25">
      <c r="A93" s="2" t="s">
        <v>138</v>
      </c>
      <c r="B93" s="3">
        <v>45501</v>
      </c>
      <c r="C93" s="2" t="s">
        <v>42</v>
      </c>
      <c r="D93" s="2" t="s">
        <v>39</v>
      </c>
      <c r="E93" s="4">
        <v>-7760.25</v>
      </c>
      <c r="F93" s="2">
        <v>6500</v>
      </c>
      <c r="G93" s="2" t="s">
        <v>10</v>
      </c>
    </row>
    <row r="94" spans="1:7" x14ac:dyDescent="0.25">
      <c r="A94" s="2" t="s">
        <v>139</v>
      </c>
      <c r="B94" s="3">
        <v>45486</v>
      </c>
      <c r="C94" s="2" t="s">
        <v>38</v>
      </c>
      <c r="D94" s="2" t="s">
        <v>39</v>
      </c>
      <c r="E94" s="4">
        <v>-6820.38</v>
      </c>
      <c r="F94" s="2">
        <v>6500</v>
      </c>
      <c r="G94" s="2" t="s">
        <v>10</v>
      </c>
    </row>
    <row r="95" spans="1:7" x14ac:dyDescent="0.25">
      <c r="A95" s="2" t="s">
        <v>140</v>
      </c>
      <c r="B95" s="3">
        <v>45371</v>
      </c>
      <c r="C95" s="2" t="s">
        <v>42</v>
      </c>
      <c r="D95" s="2" t="s">
        <v>39</v>
      </c>
      <c r="E95" s="4">
        <v>-2137.5</v>
      </c>
      <c r="F95" s="2">
        <v>6500</v>
      </c>
      <c r="G95" s="2" t="s">
        <v>10</v>
      </c>
    </row>
    <row r="96" spans="1:7" x14ac:dyDescent="0.25">
      <c r="A96" s="2" t="s">
        <v>141</v>
      </c>
      <c r="B96" s="3">
        <v>45600</v>
      </c>
      <c r="C96" s="2" t="s">
        <v>30</v>
      </c>
      <c r="D96" s="2" t="s">
        <v>31</v>
      </c>
      <c r="E96" s="4">
        <v>388.97</v>
      </c>
      <c r="F96" s="2">
        <v>4900</v>
      </c>
      <c r="G96" s="2" t="s">
        <v>10</v>
      </c>
    </row>
    <row r="97" spans="1:7" x14ac:dyDescent="0.25">
      <c r="A97" s="2" t="s">
        <v>142</v>
      </c>
      <c r="B97" s="3">
        <v>45505</v>
      </c>
      <c r="C97" s="2" t="s">
        <v>116</v>
      </c>
      <c r="D97" s="2" t="s">
        <v>35</v>
      </c>
      <c r="E97" s="4">
        <v>18379.63</v>
      </c>
      <c r="F97" s="2">
        <v>4000</v>
      </c>
      <c r="G97" s="2" t="s">
        <v>10</v>
      </c>
    </row>
    <row r="98" spans="1:7" x14ac:dyDescent="0.25">
      <c r="A98" s="2" t="s">
        <v>143</v>
      </c>
      <c r="B98" s="3">
        <v>45638</v>
      </c>
      <c r="C98" s="2" t="s">
        <v>127</v>
      </c>
      <c r="D98" s="2" t="s">
        <v>24</v>
      </c>
      <c r="E98" s="4">
        <v>-836.35</v>
      </c>
      <c r="F98" s="2">
        <v>6300</v>
      </c>
      <c r="G98" s="2" t="s">
        <v>10</v>
      </c>
    </row>
    <row r="99" spans="1:7" x14ac:dyDescent="0.25">
      <c r="A99" s="2" t="s">
        <v>144</v>
      </c>
      <c r="B99" s="3">
        <v>45583</v>
      </c>
      <c r="C99" s="2" t="s">
        <v>21</v>
      </c>
      <c r="D99" s="2" t="s">
        <v>13</v>
      </c>
      <c r="E99" s="4">
        <v>-386.88</v>
      </c>
      <c r="F99" s="2">
        <v>6400</v>
      </c>
      <c r="G99" s="2" t="s">
        <v>10</v>
      </c>
    </row>
    <row r="100" spans="1:7" x14ac:dyDescent="0.25">
      <c r="A100" s="2" t="s">
        <v>145</v>
      </c>
      <c r="B100" s="3">
        <v>45639</v>
      </c>
      <c r="C100" s="2" t="s">
        <v>146</v>
      </c>
      <c r="D100" s="2" t="s">
        <v>31</v>
      </c>
      <c r="E100" s="4">
        <v>313.05</v>
      </c>
      <c r="F100" s="2">
        <v>4900</v>
      </c>
      <c r="G100" s="2" t="s">
        <v>10</v>
      </c>
    </row>
    <row r="101" spans="1:7" x14ac:dyDescent="0.25">
      <c r="A101" s="2" t="s">
        <v>147</v>
      </c>
      <c r="B101" s="3">
        <v>45346</v>
      </c>
      <c r="C101" s="2" t="s">
        <v>34</v>
      </c>
      <c r="D101" s="2" t="s">
        <v>35</v>
      </c>
      <c r="E101" s="4">
        <v>5948.01</v>
      </c>
      <c r="F101" s="2">
        <v>4000</v>
      </c>
      <c r="G101" s="2" t="s">
        <v>10</v>
      </c>
    </row>
    <row r="102" spans="1:7" x14ac:dyDescent="0.25">
      <c r="A102" s="2" t="s">
        <v>148</v>
      </c>
      <c r="B102" s="3">
        <v>45632</v>
      </c>
      <c r="C102" s="2" t="s">
        <v>56</v>
      </c>
      <c r="D102" s="2" t="s">
        <v>18</v>
      </c>
      <c r="E102" s="4">
        <v>-11115.22</v>
      </c>
      <c r="F102" s="2">
        <v>5100</v>
      </c>
      <c r="G102" s="2" t="s">
        <v>10</v>
      </c>
    </row>
    <row r="103" spans="1:7" x14ac:dyDescent="0.25">
      <c r="A103" s="2" t="s">
        <v>149</v>
      </c>
      <c r="B103" s="3">
        <v>45421</v>
      </c>
      <c r="C103" s="2" t="s">
        <v>34</v>
      </c>
      <c r="D103" s="2" t="s">
        <v>35</v>
      </c>
      <c r="E103" s="4">
        <v>15504.76</v>
      </c>
      <c r="F103" s="2">
        <v>4000</v>
      </c>
      <c r="G103" s="2" t="s">
        <v>10</v>
      </c>
    </row>
    <row r="104" spans="1:7" x14ac:dyDescent="0.25">
      <c r="A104" s="2" t="s">
        <v>150</v>
      </c>
      <c r="B104" s="3">
        <v>45562</v>
      </c>
      <c r="C104" s="2" t="s">
        <v>127</v>
      </c>
      <c r="D104" s="2" t="s">
        <v>24</v>
      </c>
      <c r="E104" s="4">
        <v>-207.51</v>
      </c>
      <c r="F104" s="2">
        <v>6300</v>
      </c>
      <c r="G104" s="2" t="s">
        <v>10</v>
      </c>
    </row>
    <row r="105" spans="1:7" x14ac:dyDescent="0.25">
      <c r="A105" s="2" t="s">
        <v>151</v>
      </c>
      <c r="B105" s="3">
        <v>45642</v>
      </c>
      <c r="C105" s="2" t="s">
        <v>56</v>
      </c>
      <c r="D105" s="2" t="s">
        <v>18</v>
      </c>
      <c r="E105" s="4">
        <v>-4585.2299999999996</v>
      </c>
      <c r="F105" s="2">
        <v>5100</v>
      </c>
      <c r="G105" s="2" t="s">
        <v>123</v>
      </c>
    </row>
    <row r="106" spans="1:7" x14ac:dyDescent="0.25">
      <c r="A106" s="2" t="s">
        <v>152</v>
      </c>
      <c r="B106" s="3">
        <v>45395</v>
      </c>
      <c r="C106" s="2" t="s">
        <v>81</v>
      </c>
      <c r="D106" s="2" t="s">
        <v>18</v>
      </c>
      <c r="E106" s="4">
        <v>-13196.58</v>
      </c>
      <c r="F106" s="2">
        <v>5100</v>
      </c>
      <c r="G106" s="2" t="s">
        <v>10</v>
      </c>
    </row>
    <row r="107" spans="1:7" x14ac:dyDescent="0.25">
      <c r="A107" s="2" t="s">
        <v>153</v>
      </c>
      <c r="B107" s="3">
        <v>45481</v>
      </c>
      <c r="C107" s="2" t="s">
        <v>48</v>
      </c>
      <c r="D107" s="2" t="s">
        <v>9</v>
      </c>
      <c r="E107" s="4">
        <v>-1454.2</v>
      </c>
      <c r="F107" s="2">
        <v>6100</v>
      </c>
      <c r="G107" s="2" t="s">
        <v>10</v>
      </c>
    </row>
    <row r="108" spans="1:7" x14ac:dyDescent="0.25">
      <c r="A108" s="2" t="s">
        <v>154</v>
      </c>
      <c r="B108" s="3">
        <v>45462</v>
      </c>
      <c r="C108" s="2" t="s">
        <v>76</v>
      </c>
      <c r="D108" s="2" t="s">
        <v>28</v>
      </c>
      <c r="E108" s="4">
        <v>-14.74</v>
      </c>
      <c r="F108" s="2">
        <v>6900</v>
      </c>
      <c r="G108" s="2" t="s">
        <v>10</v>
      </c>
    </row>
    <row r="109" spans="1:7" x14ac:dyDescent="0.25">
      <c r="A109" s="2" t="s">
        <v>155</v>
      </c>
      <c r="B109" s="3">
        <v>45293</v>
      </c>
      <c r="C109" s="2" t="s">
        <v>56</v>
      </c>
      <c r="D109" s="2" t="s">
        <v>18</v>
      </c>
      <c r="E109" s="4">
        <v>-6579.93</v>
      </c>
      <c r="F109" s="2">
        <v>5100</v>
      </c>
      <c r="G109" s="2" t="s">
        <v>10</v>
      </c>
    </row>
    <row r="110" spans="1:7" x14ac:dyDescent="0.25">
      <c r="A110" s="2" t="s">
        <v>156</v>
      </c>
      <c r="B110" s="3">
        <v>45559</v>
      </c>
      <c r="C110" s="2" t="s">
        <v>81</v>
      </c>
      <c r="D110" s="2" t="s">
        <v>18</v>
      </c>
      <c r="E110" s="4">
        <v>-5136.54</v>
      </c>
      <c r="F110" s="2">
        <v>5100</v>
      </c>
      <c r="G110" s="2" t="s">
        <v>10</v>
      </c>
    </row>
    <row r="111" spans="1:7" x14ac:dyDescent="0.25">
      <c r="A111" s="2" t="s">
        <v>157</v>
      </c>
      <c r="B111" s="3">
        <v>45599</v>
      </c>
      <c r="C111" s="2" t="s">
        <v>51</v>
      </c>
      <c r="D111" s="2" t="s">
        <v>52</v>
      </c>
      <c r="E111" s="4">
        <v>-3042.07</v>
      </c>
      <c r="F111" s="2">
        <v>6000</v>
      </c>
      <c r="G111" s="2" t="s">
        <v>10</v>
      </c>
    </row>
    <row r="112" spans="1:7" x14ac:dyDescent="0.25">
      <c r="A112" s="2" t="s">
        <v>158</v>
      </c>
      <c r="B112" s="3">
        <v>45480</v>
      </c>
      <c r="C112" s="2" t="s">
        <v>94</v>
      </c>
      <c r="D112" s="2" t="s">
        <v>24</v>
      </c>
      <c r="E112" s="4">
        <v>-68.34</v>
      </c>
      <c r="F112" s="2">
        <v>6300</v>
      </c>
      <c r="G112" s="2" t="s">
        <v>10</v>
      </c>
    </row>
    <row r="113" spans="1:7" x14ac:dyDescent="0.25">
      <c r="A113" s="2" t="s">
        <v>159</v>
      </c>
      <c r="B113" s="3">
        <v>45621</v>
      </c>
      <c r="C113" s="2" t="s">
        <v>56</v>
      </c>
      <c r="D113" s="2" t="s">
        <v>18</v>
      </c>
      <c r="E113" s="4">
        <v>-14488.16</v>
      </c>
      <c r="F113" s="2">
        <v>5100</v>
      </c>
      <c r="G113" s="2" t="s">
        <v>10</v>
      </c>
    </row>
    <row r="114" spans="1:7" x14ac:dyDescent="0.25">
      <c r="A114" s="2" t="s">
        <v>160</v>
      </c>
      <c r="B114" s="3">
        <v>45656</v>
      </c>
      <c r="C114" s="2" t="s">
        <v>56</v>
      </c>
      <c r="D114" s="2" t="s">
        <v>18</v>
      </c>
      <c r="E114" s="4">
        <v>-2381.9</v>
      </c>
      <c r="F114" s="2">
        <v>5100</v>
      </c>
      <c r="G114" s="2" t="s">
        <v>10</v>
      </c>
    </row>
    <row r="115" spans="1:7" x14ac:dyDescent="0.25">
      <c r="A115" s="2" t="s">
        <v>161</v>
      </c>
      <c r="B115" s="3">
        <v>45529</v>
      </c>
      <c r="C115" s="2" t="s">
        <v>15</v>
      </c>
      <c r="D115" s="2" t="s">
        <v>13</v>
      </c>
      <c r="E115" s="4">
        <v>-402.46</v>
      </c>
      <c r="F115" s="2">
        <v>6400</v>
      </c>
      <c r="G115" s="2" t="s">
        <v>10</v>
      </c>
    </row>
    <row r="116" spans="1:7" x14ac:dyDescent="0.25">
      <c r="A116" s="2" t="s">
        <v>162</v>
      </c>
      <c r="B116" s="3">
        <v>45448</v>
      </c>
      <c r="C116" s="2" t="s">
        <v>23</v>
      </c>
      <c r="D116" s="2" t="s">
        <v>24</v>
      </c>
      <c r="E116" s="4">
        <v>-801.43</v>
      </c>
      <c r="F116" s="2">
        <v>6300</v>
      </c>
      <c r="G116" s="2" t="s">
        <v>10</v>
      </c>
    </row>
    <row r="117" spans="1:7" x14ac:dyDescent="0.25">
      <c r="A117" s="2" t="s">
        <v>163</v>
      </c>
      <c r="B117" s="3">
        <v>45338</v>
      </c>
      <c r="C117" s="2" t="s">
        <v>146</v>
      </c>
      <c r="D117" s="2" t="s">
        <v>31</v>
      </c>
      <c r="E117" s="4">
        <v>206.38</v>
      </c>
      <c r="F117" s="2">
        <v>4900</v>
      </c>
      <c r="G117" s="2" t="s">
        <v>10</v>
      </c>
    </row>
    <row r="118" spans="1:7" x14ac:dyDescent="0.25">
      <c r="A118" s="2" t="s">
        <v>164</v>
      </c>
      <c r="B118" s="3">
        <v>45612</v>
      </c>
      <c r="C118" s="2" t="s">
        <v>81</v>
      </c>
      <c r="D118" s="2" t="s">
        <v>18</v>
      </c>
      <c r="E118" s="4">
        <v>-5721.3</v>
      </c>
      <c r="F118" s="2">
        <v>5100</v>
      </c>
      <c r="G118" s="2" t="s">
        <v>10</v>
      </c>
    </row>
    <row r="119" spans="1:7" x14ac:dyDescent="0.25">
      <c r="A119" s="2" t="s">
        <v>165</v>
      </c>
      <c r="B119" s="3">
        <v>45402</v>
      </c>
      <c r="C119" s="2" t="s">
        <v>67</v>
      </c>
      <c r="D119" s="2" t="s">
        <v>59</v>
      </c>
      <c r="E119" s="4">
        <v>-660.99</v>
      </c>
      <c r="F119" s="2">
        <v>6200</v>
      </c>
      <c r="G119" s="2" t="s">
        <v>10</v>
      </c>
    </row>
    <row r="120" spans="1:7" x14ac:dyDescent="0.25">
      <c r="A120" s="2" t="s">
        <v>166</v>
      </c>
      <c r="B120" s="3">
        <v>45613</v>
      </c>
      <c r="C120" s="2" t="s">
        <v>79</v>
      </c>
      <c r="D120" s="2" t="s">
        <v>31</v>
      </c>
      <c r="E120" s="4">
        <v>91.73</v>
      </c>
      <c r="F120" s="2">
        <v>4900</v>
      </c>
      <c r="G120" s="2" t="s">
        <v>10</v>
      </c>
    </row>
    <row r="121" spans="1:7" x14ac:dyDescent="0.25">
      <c r="A121" s="2" t="s">
        <v>167</v>
      </c>
      <c r="B121" s="3">
        <v>45496</v>
      </c>
      <c r="C121" s="2" t="s">
        <v>21</v>
      </c>
      <c r="D121" s="2" t="s">
        <v>13</v>
      </c>
      <c r="E121" s="4">
        <v>-1024.6300000000001</v>
      </c>
      <c r="F121" s="2">
        <v>6400</v>
      </c>
      <c r="G121" s="2" t="s">
        <v>10</v>
      </c>
    </row>
    <row r="122" spans="1:7" x14ac:dyDescent="0.25">
      <c r="A122" s="2" t="s">
        <v>168</v>
      </c>
      <c r="B122" s="3">
        <v>45463</v>
      </c>
      <c r="C122" s="2" t="s">
        <v>51</v>
      </c>
      <c r="D122" s="2" t="s">
        <v>52</v>
      </c>
      <c r="E122" s="4">
        <v>-7998.62</v>
      </c>
      <c r="F122" s="2">
        <v>6000</v>
      </c>
      <c r="G122" s="2" t="s">
        <v>10</v>
      </c>
    </row>
    <row r="123" spans="1:7" x14ac:dyDescent="0.25">
      <c r="A123" s="2" t="s">
        <v>169</v>
      </c>
      <c r="B123" s="3">
        <v>45509</v>
      </c>
      <c r="C123" s="2" t="s">
        <v>56</v>
      </c>
      <c r="D123" s="2" t="s">
        <v>18</v>
      </c>
      <c r="E123" s="4">
        <v>-13299.38</v>
      </c>
      <c r="F123" s="2">
        <v>5100</v>
      </c>
      <c r="G123" s="2" t="s">
        <v>10</v>
      </c>
    </row>
    <row r="124" spans="1:7" x14ac:dyDescent="0.25">
      <c r="A124" s="2" t="s">
        <v>170</v>
      </c>
      <c r="B124" s="3">
        <v>45599</v>
      </c>
      <c r="C124" s="2" t="s">
        <v>94</v>
      </c>
      <c r="D124" s="2" t="s">
        <v>24</v>
      </c>
      <c r="E124" s="4">
        <v>-359.13</v>
      </c>
      <c r="F124" s="2">
        <v>6300</v>
      </c>
      <c r="G124" s="2" t="s">
        <v>10</v>
      </c>
    </row>
    <row r="125" spans="1:7" x14ac:dyDescent="0.25">
      <c r="A125" s="2" t="s">
        <v>171</v>
      </c>
      <c r="B125" s="3">
        <v>45506</v>
      </c>
      <c r="C125" s="2" t="s">
        <v>127</v>
      </c>
      <c r="D125" s="2" t="s">
        <v>24</v>
      </c>
      <c r="E125" s="4">
        <v>-50.9</v>
      </c>
      <c r="F125" s="2">
        <v>6300</v>
      </c>
      <c r="G125" s="2" t="s">
        <v>10</v>
      </c>
    </row>
    <row r="126" spans="1:7" x14ac:dyDescent="0.25">
      <c r="A126" s="2" t="s">
        <v>172</v>
      </c>
      <c r="B126" s="3">
        <v>45623</v>
      </c>
      <c r="C126" s="2" t="s">
        <v>71</v>
      </c>
      <c r="D126" s="2" t="s">
        <v>59</v>
      </c>
      <c r="E126" s="4">
        <v>-547.39</v>
      </c>
      <c r="F126" s="2">
        <v>6200</v>
      </c>
      <c r="G126" s="2" t="s">
        <v>10</v>
      </c>
    </row>
    <row r="127" spans="1:7" x14ac:dyDescent="0.25">
      <c r="A127" s="2" t="s">
        <v>173</v>
      </c>
      <c r="B127" s="3">
        <v>45435</v>
      </c>
      <c r="C127" s="2" t="s">
        <v>81</v>
      </c>
      <c r="D127" s="2" t="s">
        <v>18</v>
      </c>
      <c r="E127" s="4">
        <v>-3615.05</v>
      </c>
      <c r="F127" s="2">
        <v>5100</v>
      </c>
      <c r="G127" s="2" t="s">
        <v>10</v>
      </c>
    </row>
    <row r="128" spans="1:7" x14ac:dyDescent="0.25">
      <c r="A128" s="2" t="s">
        <v>174</v>
      </c>
      <c r="B128" s="3">
        <v>45500</v>
      </c>
      <c r="C128" s="2" t="s">
        <v>67</v>
      </c>
      <c r="D128" s="2" t="s">
        <v>59</v>
      </c>
      <c r="E128" s="4">
        <v>-538.87</v>
      </c>
      <c r="F128" s="2">
        <v>6200</v>
      </c>
      <c r="G128" s="2" t="s">
        <v>10</v>
      </c>
    </row>
    <row r="129" spans="1:7" x14ac:dyDescent="0.25">
      <c r="A129" s="2" t="s">
        <v>175</v>
      </c>
      <c r="B129" s="3">
        <v>45486</v>
      </c>
      <c r="C129" s="2" t="s">
        <v>63</v>
      </c>
      <c r="D129" s="2" t="s">
        <v>52</v>
      </c>
      <c r="E129" s="4">
        <v>-7069.63</v>
      </c>
      <c r="F129" s="2">
        <v>6000</v>
      </c>
      <c r="G129" s="2" t="s">
        <v>10</v>
      </c>
    </row>
    <row r="130" spans="1:7" x14ac:dyDescent="0.25">
      <c r="A130" s="2" t="s">
        <v>176</v>
      </c>
      <c r="B130" s="3">
        <v>45516</v>
      </c>
      <c r="C130" s="2" t="s">
        <v>44</v>
      </c>
      <c r="D130" s="2" t="s">
        <v>9</v>
      </c>
      <c r="E130" s="4">
        <v>-5688.1</v>
      </c>
      <c r="F130" s="2">
        <v>6100</v>
      </c>
      <c r="G130" s="2" t="s">
        <v>10</v>
      </c>
    </row>
    <row r="131" spans="1:7" x14ac:dyDescent="0.25">
      <c r="A131" s="2" t="s">
        <v>177</v>
      </c>
      <c r="B131" s="3">
        <v>45492</v>
      </c>
      <c r="C131" s="2" t="s">
        <v>127</v>
      </c>
      <c r="D131" s="2" t="s">
        <v>24</v>
      </c>
      <c r="E131" s="4">
        <v>-675.78</v>
      </c>
      <c r="F131" s="2">
        <v>6300</v>
      </c>
      <c r="G131" s="2" t="s">
        <v>10</v>
      </c>
    </row>
    <row r="132" spans="1:7" x14ac:dyDescent="0.25">
      <c r="A132" s="2" t="s">
        <v>178</v>
      </c>
      <c r="B132" s="3">
        <v>45508</v>
      </c>
      <c r="C132" s="2" t="s">
        <v>51</v>
      </c>
      <c r="D132" s="2" t="s">
        <v>52</v>
      </c>
      <c r="E132" s="4">
        <v>-8659.91</v>
      </c>
      <c r="F132" s="2">
        <v>6000</v>
      </c>
      <c r="G132" s="2" t="s">
        <v>10</v>
      </c>
    </row>
    <row r="133" spans="1:7" x14ac:dyDescent="0.25">
      <c r="A133" s="2" t="s">
        <v>179</v>
      </c>
      <c r="B133" s="3">
        <v>45627</v>
      </c>
      <c r="C133" s="2" t="s">
        <v>21</v>
      </c>
      <c r="D133" s="2" t="s">
        <v>13</v>
      </c>
      <c r="E133" s="4">
        <v>-2405.7199999999998</v>
      </c>
      <c r="F133" s="2">
        <v>6400</v>
      </c>
      <c r="G133" s="2" t="s">
        <v>10</v>
      </c>
    </row>
    <row r="134" spans="1:7" x14ac:dyDescent="0.25">
      <c r="A134" s="2" t="s">
        <v>180</v>
      </c>
      <c r="B134" s="3">
        <v>45476</v>
      </c>
      <c r="C134" s="2" t="s">
        <v>30</v>
      </c>
      <c r="D134" s="2" t="s">
        <v>31</v>
      </c>
      <c r="E134" s="4">
        <v>50.55</v>
      </c>
      <c r="F134" s="2">
        <v>4900</v>
      </c>
      <c r="G134" s="2" t="s">
        <v>10</v>
      </c>
    </row>
    <row r="135" spans="1:7" x14ac:dyDescent="0.25">
      <c r="A135" s="2" t="s">
        <v>181</v>
      </c>
      <c r="B135" s="3">
        <v>45381</v>
      </c>
      <c r="C135" s="2" t="s">
        <v>17</v>
      </c>
      <c r="D135" s="2" t="s">
        <v>18</v>
      </c>
      <c r="E135" s="4">
        <v>-12381.99</v>
      </c>
      <c r="F135" s="2">
        <v>5100</v>
      </c>
      <c r="G135" s="2" t="s">
        <v>10</v>
      </c>
    </row>
    <row r="136" spans="1:7" x14ac:dyDescent="0.25">
      <c r="A136" s="2" t="s">
        <v>182</v>
      </c>
      <c r="B136" s="3">
        <v>45298</v>
      </c>
      <c r="C136" s="2" t="s">
        <v>48</v>
      </c>
      <c r="D136" s="2" t="s">
        <v>9</v>
      </c>
      <c r="E136" s="4">
        <v>-5150.3900000000003</v>
      </c>
      <c r="F136" s="2">
        <v>6100</v>
      </c>
      <c r="G136" s="2" t="s">
        <v>10</v>
      </c>
    </row>
    <row r="137" spans="1:7" x14ac:dyDescent="0.25">
      <c r="A137" s="2" t="s">
        <v>183</v>
      </c>
      <c r="B137" s="3">
        <v>45599</v>
      </c>
      <c r="C137" s="2" t="s">
        <v>56</v>
      </c>
      <c r="D137" s="2" t="s">
        <v>18</v>
      </c>
      <c r="E137" s="4">
        <v>-14303.25</v>
      </c>
      <c r="F137" s="2">
        <v>5100</v>
      </c>
      <c r="G137" s="2" t="s">
        <v>10</v>
      </c>
    </row>
    <row r="138" spans="1:7" x14ac:dyDescent="0.25">
      <c r="A138" s="2" t="s">
        <v>184</v>
      </c>
      <c r="B138" s="3">
        <v>45525</v>
      </c>
      <c r="C138" s="2" t="s">
        <v>56</v>
      </c>
      <c r="D138" s="2" t="s">
        <v>18</v>
      </c>
      <c r="E138" s="4">
        <v>-7611.34</v>
      </c>
      <c r="F138" s="2">
        <v>5100</v>
      </c>
      <c r="G138" s="2" t="s">
        <v>10</v>
      </c>
    </row>
    <row r="139" spans="1:7" x14ac:dyDescent="0.25">
      <c r="A139" s="2" t="s">
        <v>185</v>
      </c>
      <c r="B139" s="3">
        <v>45324</v>
      </c>
      <c r="C139" s="2" t="s">
        <v>44</v>
      </c>
      <c r="D139" s="2" t="s">
        <v>9</v>
      </c>
      <c r="E139" s="4">
        <v>-4510.6499999999996</v>
      </c>
      <c r="F139" s="2">
        <v>6100</v>
      </c>
      <c r="G139" s="2" t="s">
        <v>10</v>
      </c>
    </row>
    <row r="140" spans="1:7" x14ac:dyDescent="0.25">
      <c r="A140" s="2" t="s">
        <v>186</v>
      </c>
      <c r="B140" s="3">
        <v>45579</v>
      </c>
      <c r="C140" s="2" t="s">
        <v>17</v>
      </c>
      <c r="D140" s="2" t="s">
        <v>18</v>
      </c>
      <c r="E140" s="4">
        <v>-13037.87</v>
      </c>
      <c r="F140" s="2">
        <v>5100</v>
      </c>
      <c r="G140" s="2" t="s">
        <v>10</v>
      </c>
    </row>
    <row r="141" spans="1:7" x14ac:dyDescent="0.25">
      <c r="A141" s="2" t="s">
        <v>187</v>
      </c>
      <c r="B141" s="3">
        <v>45542</v>
      </c>
      <c r="C141" s="2" t="s">
        <v>38</v>
      </c>
      <c r="D141" s="2" t="s">
        <v>39</v>
      </c>
      <c r="E141" s="4">
        <v>-6357.29</v>
      </c>
      <c r="F141" s="2">
        <v>6500</v>
      </c>
      <c r="G141" s="2" t="s">
        <v>10</v>
      </c>
    </row>
    <row r="142" spans="1:7" x14ac:dyDescent="0.25">
      <c r="A142" s="2" t="s">
        <v>188</v>
      </c>
      <c r="B142" s="3">
        <v>45634</v>
      </c>
      <c r="C142" s="2" t="s">
        <v>17</v>
      </c>
      <c r="D142" s="2" t="s">
        <v>18</v>
      </c>
      <c r="E142" s="4">
        <v>-7941.74</v>
      </c>
      <c r="F142" s="2">
        <v>5100</v>
      </c>
      <c r="G142" s="2" t="s">
        <v>10</v>
      </c>
    </row>
    <row r="143" spans="1:7" x14ac:dyDescent="0.25">
      <c r="A143" s="2" t="s">
        <v>189</v>
      </c>
      <c r="B143" s="3">
        <v>45447</v>
      </c>
      <c r="C143" s="2" t="s">
        <v>146</v>
      </c>
      <c r="D143" s="2" t="s">
        <v>31</v>
      </c>
      <c r="E143" s="4">
        <v>284.72000000000003</v>
      </c>
      <c r="F143" s="2">
        <v>4900</v>
      </c>
      <c r="G143" s="2" t="s">
        <v>10</v>
      </c>
    </row>
    <row r="144" spans="1:7" x14ac:dyDescent="0.25">
      <c r="A144" s="2" t="s">
        <v>190</v>
      </c>
      <c r="B144" s="3">
        <v>45372</v>
      </c>
      <c r="C144" s="2" t="s">
        <v>23</v>
      </c>
      <c r="D144" s="2" t="s">
        <v>24</v>
      </c>
      <c r="E144" s="4">
        <v>-458.18</v>
      </c>
      <c r="F144" s="2">
        <v>6300</v>
      </c>
      <c r="G144" s="2" t="s">
        <v>10</v>
      </c>
    </row>
    <row r="145" spans="1:7" x14ac:dyDescent="0.25">
      <c r="A145" s="2" t="s">
        <v>191</v>
      </c>
      <c r="B145" s="3">
        <v>45564</v>
      </c>
      <c r="C145" s="2" t="s">
        <v>146</v>
      </c>
      <c r="D145" s="2" t="s">
        <v>31</v>
      </c>
      <c r="E145" s="4">
        <v>104.09</v>
      </c>
      <c r="F145" s="2">
        <v>4900</v>
      </c>
      <c r="G145" s="2" t="s">
        <v>10</v>
      </c>
    </row>
    <row r="146" spans="1:7" x14ac:dyDescent="0.25">
      <c r="A146" s="2" t="s">
        <v>192</v>
      </c>
      <c r="B146" s="3">
        <v>45332</v>
      </c>
      <c r="C146" s="2" t="s">
        <v>34</v>
      </c>
      <c r="D146" s="2" t="s">
        <v>35</v>
      </c>
      <c r="E146" s="4">
        <v>24073.9</v>
      </c>
      <c r="F146" s="2">
        <v>4000</v>
      </c>
      <c r="G146" s="2" t="s">
        <v>10</v>
      </c>
    </row>
    <row r="147" spans="1:7" x14ac:dyDescent="0.25">
      <c r="A147" s="2" t="s">
        <v>193</v>
      </c>
      <c r="B147" s="3">
        <v>45479</v>
      </c>
      <c r="C147" s="2" t="s">
        <v>51</v>
      </c>
      <c r="D147" s="2" t="s">
        <v>52</v>
      </c>
      <c r="E147" s="4">
        <v>-9080.02</v>
      </c>
      <c r="F147" s="2">
        <v>6000</v>
      </c>
      <c r="G147" s="2" t="s">
        <v>10</v>
      </c>
    </row>
    <row r="148" spans="1:7" x14ac:dyDescent="0.25">
      <c r="A148" s="2" t="s">
        <v>194</v>
      </c>
      <c r="B148" s="3">
        <v>45574</v>
      </c>
      <c r="C148" s="2" t="s">
        <v>195</v>
      </c>
      <c r="D148" s="2" t="s">
        <v>28</v>
      </c>
      <c r="E148" s="4">
        <v>-107.23</v>
      </c>
      <c r="F148" s="2">
        <v>6900</v>
      </c>
      <c r="G148" s="2" t="s">
        <v>10</v>
      </c>
    </row>
    <row r="149" spans="1:7" x14ac:dyDescent="0.25">
      <c r="A149" s="2" t="s">
        <v>196</v>
      </c>
      <c r="B149" s="3">
        <v>45646</v>
      </c>
      <c r="C149" s="2" t="s">
        <v>51</v>
      </c>
      <c r="D149" s="2" t="s">
        <v>52</v>
      </c>
      <c r="E149" s="4">
        <v>-2819.47</v>
      </c>
      <c r="F149" s="2">
        <v>6000</v>
      </c>
      <c r="G149" s="2" t="s">
        <v>10</v>
      </c>
    </row>
    <row r="150" spans="1:7" x14ac:dyDescent="0.25">
      <c r="A150" s="2" t="s">
        <v>197</v>
      </c>
      <c r="B150" s="3">
        <v>45308</v>
      </c>
      <c r="C150" s="2" t="s">
        <v>56</v>
      </c>
      <c r="D150" s="2" t="s">
        <v>18</v>
      </c>
      <c r="E150" s="4">
        <v>-11925.61</v>
      </c>
      <c r="F150" s="2">
        <v>5100</v>
      </c>
      <c r="G150" s="2" t="s">
        <v>10</v>
      </c>
    </row>
    <row r="151" spans="1:7" x14ac:dyDescent="0.25">
      <c r="A151" s="2" t="s">
        <v>198</v>
      </c>
      <c r="B151" s="3">
        <v>45602</v>
      </c>
      <c r="C151" s="2" t="s">
        <v>15</v>
      </c>
      <c r="D151" s="2" t="s">
        <v>13</v>
      </c>
      <c r="E151" s="4">
        <v>-2292.9899999999998</v>
      </c>
      <c r="F151" s="2">
        <v>6400</v>
      </c>
      <c r="G151" s="2" t="s">
        <v>10</v>
      </c>
    </row>
    <row r="152" spans="1:7" x14ac:dyDescent="0.25">
      <c r="A152" s="2" t="s">
        <v>199</v>
      </c>
      <c r="B152" s="3">
        <v>45377</v>
      </c>
      <c r="C152" s="2" t="s">
        <v>44</v>
      </c>
      <c r="D152" s="2" t="s">
        <v>9</v>
      </c>
      <c r="E152" s="4">
        <v>-3610.48</v>
      </c>
      <c r="F152" s="2">
        <v>6100</v>
      </c>
      <c r="G152" s="2" t="s">
        <v>10</v>
      </c>
    </row>
    <row r="153" spans="1:7" x14ac:dyDescent="0.25">
      <c r="A153" s="2" t="s">
        <v>200</v>
      </c>
      <c r="B153" s="3">
        <v>45452</v>
      </c>
      <c r="C153" s="2" t="s">
        <v>12</v>
      </c>
      <c r="D153" s="2" t="s">
        <v>13</v>
      </c>
      <c r="E153" s="4">
        <v>-1017.54</v>
      </c>
      <c r="F153" s="2">
        <v>6400</v>
      </c>
      <c r="G153" s="2" t="s">
        <v>10</v>
      </c>
    </row>
    <row r="154" spans="1:7" x14ac:dyDescent="0.25">
      <c r="A154" s="2" t="s">
        <v>201</v>
      </c>
      <c r="B154" s="3">
        <v>45354</v>
      </c>
      <c r="C154" s="2" t="s">
        <v>116</v>
      </c>
      <c r="D154" s="2" t="s">
        <v>35</v>
      </c>
      <c r="E154" s="4">
        <v>1444.28</v>
      </c>
      <c r="F154" s="2">
        <v>4000</v>
      </c>
      <c r="G154" s="2" t="s">
        <v>10</v>
      </c>
    </row>
    <row r="155" spans="1:7" x14ac:dyDescent="0.25">
      <c r="A155" s="2" t="s">
        <v>202</v>
      </c>
      <c r="B155" s="3">
        <v>45316</v>
      </c>
      <c r="C155" s="2" t="s">
        <v>8</v>
      </c>
      <c r="D155" s="2" t="s">
        <v>9</v>
      </c>
      <c r="E155" s="4">
        <v>-3347.09</v>
      </c>
      <c r="F155" s="2">
        <v>6100</v>
      </c>
      <c r="G155" s="2" t="s">
        <v>10</v>
      </c>
    </row>
    <row r="156" spans="1:7" x14ac:dyDescent="0.25">
      <c r="A156" s="2" t="s">
        <v>203</v>
      </c>
      <c r="B156" s="3">
        <v>45534</v>
      </c>
      <c r="C156" s="2" t="s">
        <v>21</v>
      </c>
      <c r="D156" s="2" t="s">
        <v>13</v>
      </c>
      <c r="E156" s="4">
        <v>-1055.1199999999999</v>
      </c>
      <c r="F156" s="2">
        <v>6400</v>
      </c>
      <c r="G156" s="2" t="s">
        <v>10</v>
      </c>
    </row>
    <row r="157" spans="1:7" x14ac:dyDescent="0.25">
      <c r="A157" s="2" t="s">
        <v>204</v>
      </c>
      <c r="B157" s="3">
        <v>45363</v>
      </c>
      <c r="C157" s="2" t="s">
        <v>146</v>
      </c>
      <c r="D157" s="2" t="s">
        <v>31</v>
      </c>
      <c r="E157" s="4">
        <v>388.06</v>
      </c>
      <c r="F157" s="2">
        <v>4900</v>
      </c>
      <c r="G157" s="2" t="s">
        <v>10</v>
      </c>
    </row>
    <row r="158" spans="1:7" x14ac:dyDescent="0.25">
      <c r="A158" s="2" t="s">
        <v>205</v>
      </c>
      <c r="B158" s="3">
        <v>45351</v>
      </c>
      <c r="C158" s="2" t="s">
        <v>21</v>
      </c>
      <c r="D158" s="2" t="s">
        <v>13</v>
      </c>
      <c r="E158" s="4">
        <v>-255.85</v>
      </c>
      <c r="F158" s="2">
        <v>6400</v>
      </c>
      <c r="G158" s="2" t="s">
        <v>10</v>
      </c>
    </row>
    <row r="159" spans="1:7" x14ac:dyDescent="0.25">
      <c r="A159" s="2" t="s">
        <v>206</v>
      </c>
      <c r="B159" s="3">
        <v>45309</v>
      </c>
      <c r="C159" s="2" t="s">
        <v>27</v>
      </c>
      <c r="D159" s="2" t="s">
        <v>28</v>
      </c>
      <c r="E159" s="4">
        <v>-142.58000000000001</v>
      </c>
      <c r="F159" s="2">
        <v>6900</v>
      </c>
      <c r="G159" s="2" t="s">
        <v>10</v>
      </c>
    </row>
    <row r="160" spans="1:7" x14ac:dyDescent="0.25">
      <c r="A160" s="2" t="s">
        <v>207</v>
      </c>
      <c r="B160" s="3">
        <v>45406</v>
      </c>
      <c r="C160" s="2" t="s">
        <v>23</v>
      </c>
      <c r="D160" s="2" t="s">
        <v>24</v>
      </c>
      <c r="E160" s="4">
        <v>-820.62</v>
      </c>
      <c r="F160" s="2">
        <v>6300</v>
      </c>
      <c r="G160" s="2" t="s">
        <v>10</v>
      </c>
    </row>
    <row r="161" spans="1:7" x14ac:dyDescent="0.25">
      <c r="A161" s="2" t="s">
        <v>208</v>
      </c>
      <c r="B161" s="3">
        <v>45342</v>
      </c>
      <c r="C161" s="2" t="s">
        <v>97</v>
      </c>
      <c r="D161" s="2" t="s">
        <v>52</v>
      </c>
      <c r="E161" s="4">
        <v>-4090.61</v>
      </c>
      <c r="F161" s="2">
        <v>6000</v>
      </c>
      <c r="G161" s="2" t="s">
        <v>10</v>
      </c>
    </row>
    <row r="162" spans="1:7" x14ac:dyDescent="0.25">
      <c r="A162" s="2" t="s">
        <v>209</v>
      </c>
      <c r="B162" s="3">
        <v>45455</v>
      </c>
      <c r="C162" s="2" t="s">
        <v>69</v>
      </c>
      <c r="D162" s="2" t="s">
        <v>39</v>
      </c>
      <c r="E162" s="4">
        <v>-1834.13</v>
      </c>
      <c r="F162" s="2">
        <v>6500</v>
      </c>
      <c r="G162" s="2" t="s">
        <v>10</v>
      </c>
    </row>
    <row r="163" spans="1:7" x14ac:dyDescent="0.25">
      <c r="A163" s="2" t="s">
        <v>210</v>
      </c>
      <c r="B163" s="3">
        <v>45517</v>
      </c>
      <c r="C163" s="2" t="s">
        <v>127</v>
      </c>
      <c r="D163" s="2" t="s">
        <v>24</v>
      </c>
      <c r="E163" s="4">
        <v>-226.54</v>
      </c>
      <c r="F163" s="2">
        <v>6300</v>
      </c>
      <c r="G163" s="2" t="s">
        <v>10</v>
      </c>
    </row>
    <row r="164" spans="1:7" x14ac:dyDescent="0.25">
      <c r="A164" s="2" t="s">
        <v>211</v>
      </c>
      <c r="B164" s="3">
        <v>45621</v>
      </c>
      <c r="C164" s="2" t="s">
        <v>44</v>
      </c>
      <c r="D164" s="2" t="s">
        <v>9</v>
      </c>
      <c r="E164" s="4">
        <v>-2252.65</v>
      </c>
      <c r="F164" s="2">
        <v>6100</v>
      </c>
      <c r="G164" s="2" t="s">
        <v>10</v>
      </c>
    </row>
    <row r="165" spans="1:7" x14ac:dyDescent="0.25">
      <c r="A165" s="2" t="s">
        <v>212</v>
      </c>
      <c r="B165" s="3">
        <v>45648</v>
      </c>
      <c r="C165" s="2" t="s">
        <v>34</v>
      </c>
      <c r="D165" s="2" t="s">
        <v>35</v>
      </c>
      <c r="E165" s="4">
        <v>21219.64</v>
      </c>
      <c r="F165" s="2">
        <v>4000</v>
      </c>
      <c r="G165" s="2" t="s">
        <v>10</v>
      </c>
    </row>
    <row r="166" spans="1:7" x14ac:dyDescent="0.25">
      <c r="A166" s="2" t="s">
        <v>213</v>
      </c>
      <c r="B166" s="3">
        <v>45468</v>
      </c>
      <c r="C166" s="2" t="s">
        <v>103</v>
      </c>
      <c r="D166" s="2" t="s">
        <v>35</v>
      </c>
      <c r="E166" s="4">
        <v>1854.13</v>
      </c>
      <c r="F166" s="2">
        <v>4000</v>
      </c>
      <c r="G166" s="2" t="s">
        <v>10</v>
      </c>
    </row>
    <row r="167" spans="1:7" x14ac:dyDescent="0.25">
      <c r="A167" s="2" t="s">
        <v>214</v>
      </c>
      <c r="B167" s="3">
        <v>45355</v>
      </c>
      <c r="C167" s="2" t="s">
        <v>94</v>
      </c>
      <c r="D167" s="2" t="s">
        <v>24</v>
      </c>
      <c r="E167" s="4">
        <v>-410.67</v>
      </c>
      <c r="F167" s="2">
        <v>6300</v>
      </c>
      <c r="G167" s="2" t="s">
        <v>10</v>
      </c>
    </row>
    <row r="168" spans="1:7" x14ac:dyDescent="0.25">
      <c r="A168" s="2" t="s">
        <v>215</v>
      </c>
      <c r="B168" s="3">
        <v>45379</v>
      </c>
      <c r="C168" s="2" t="s">
        <v>97</v>
      </c>
      <c r="D168" s="2" t="s">
        <v>52</v>
      </c>
      <c r="E168" s="4">
        <v>-6292.24</v>
      </c>
      <c r="F168" s="2">
        <v>6000</v>
      </c>
      <c r="G168" s="2" t="s">
        <v>10</v>
      </c>
    </row>
    <row r="169" spans="1:7" x14ac:dyDescent="0.25">
      <c r="A169" s="2" t="s">
        <v>216</v>
      </c>
      <c r="B169" s="3">
        <v>45418</v>
      </c>
      <c r="C169" s="2" t="s">
        <v>76</v>
      </c>
      <c r="D169" s="2" t="s">
        <v>28</v>
      </c>
      <c r="E169" s="4">
        <v>-43.38</v>
      </c>
      <c r="F169" s="2">
        <v>6900</v>
      </c>
      <c r="G169" s="2" t="s">
        <v>10</v>
      </c>
    </row>
    <row r="170" spans="1:7" x14ac:dyDescent="0.25">
      <c r="A170" s="2" t="s">
        <v>217</v>
      </c>
      <c r="B170" s="3">
        <v>45494</v>
      </c>
      <c r="C170" s="2" t="s">
        <v>34</v>
      </c>
      <c r="D170" s="2" t="s">
        <v>35</v>
      </c>
      <c r="E170" s="4">
        <v>14027.99</v>
      </c>
      <c r="F170" s="2">
        <v>4000</v>
      </c>
      <c r="G170" s="2" t="s">
        <v>10</v>
      </c>
    </row>
    <row r="171" spans="1:7" x14ac:dyDescent="0.25">
      <c r="A171" s="2" t="s">
        <v>218</v>
      </c>
      <c r="B171" s="3">
        <v>45412</v>
      </c>
      <c r="C171" s="2" t="s">
        <v>30</v>
      </c>
      <c r="D171" s="2" t="s">
        <v>31</v>
      </c>
      <c r="E171" s="4">
        <v>147.5</v>
      </c>
      <c r="F171" s="2">
        <v>4900</v>
      </c>
      <c r="G171" s="2" t="s">
        <v>10</v>
      </c>
    </row>
    <row r="172" spans="1:7" x14ac:dyDescent="0.25">
      <c r="A172" s="2" t="s">
        <v>219</v>
      </c>
      <c r="B172" s="3">
        <v>45426</v>
      </c>
      <c r="C172" s="2" t="s">
        <v>71</v>
      </c>
      <c r="D172" s="2" t="s">
        <v>59</v>
      </c>
      <c r="E172" s="4">
        <v>-754.05</v>
      </c>
      <c r="F172" s="2">
        <v>6200</v>
      </c>
      <c r="G172" s="2" t="s">
        <v>10</v>
      </c>
    </row>
    <row r="173" spans="1:7" x14ac:dyDescent="0.25">
      <c r="A173" s="2" t="s">
        <v>220</v>
      </c>
      <c r="B173" s="3">
        <v>45629</v>
      </c>
      <c r="C173" s="2" t="s">
        <v>8</v>
      </c>
      <c r="D173" s="2" t="s">
        <v>9</v>
      </c>
      <c r="E173" s="4">
        <v>-3626.18</v>
      </c>
      <c r="F173" s="2">
        <v>6100</v>
      </c>
      <c r="G173" s="2" t="s">
        <v>10</v>
      </c>
    </row>
    <row r="174" spans="1:7" x14ac:dyDescent="0.25">
      <c r="A174" s="2" t="s">
        <v>221</v>
      </c>
      <c r="B174" s="3">
        <v>45652</v>
      </c>
      <c r="C174" s="2" t="s">
        <v>146</v>
      </c>
      <c r="D174" s="2" t="s">
        <v>31</v>
      </c>
      <c r="E174" s="4">
        <v>372.05</v>
      </c>
      <c r="F174" s="2">
        <v>4900</v>
      </c>
      <c r="G174" s="2" t="s">
        <v>10</v>
      </c>
    </row>
    <row r="175" spans="1:7" x14ac:dyDescent="0.25">
      <c r="A175" s="2" t="s">
        <v>222</v>
      </c>
      <c r="B175" s="3">
        <v>45602</v>
      </c>
      <c r="C175" s="2" t="s">
        <v>146</v>
      </c>
      <c r="D175" s="2" t="s">
        <v>31</v>
      </c>
      <c r="E175" s="4">
        <v>163.5</v>
      </c>
      <c r="F175" s="2">
        <v>4900</v>
      </c>
      <c r="G175" s="2" t="s">
        <v>10</v>
      </c>
    </row>
    <row r="176" spans="1:7" x14ac:dyDescent="0.25">
      <c r="A176" s="2" t="s">
        <v>223</v>
      </c>
      <c r="B176" s="3">
        <v>45587</v>
      </c>
      <c r="C176" s="2" t="s">
        <v>38</v>
      </c>
      <c r="D176" s="2" t="s">
        <v>39</v>
      </c>
      <c r="E176" s="4">
        <v>-7588.15</v>
      </c>
      <c r="F176" s="2">
        <v>6500</v>
      </c>
      <c r="G176" s="2" t="s">
        <v>10</v>
      </c>
    </row>
    <row r="177" spans="1:7" x14ac:dyDescent="0.25">
      <c r="A177" s="2" t="s">
        <v>224</v>
      </c>
      <c r="B177" s="3">
        <v>45488</v>
      </c>
      <c r="C177" s="2" t="s">
        <v>71</v>
      </c>
      <c r="D177" s="2" t="s">
        <v>59</v>
      </c>
      <c r="E177" s="4">
        <v>-296.20999999999998</v>
      </c>
      <c r="F177" s="2">
        <v>6200</v>
      </c>
      <c r="G177" s="2" t="s">
        <v>10</v>
      </c>
    </row>
    <row r="178" spans="1:7" x14ac:dyDescent="0.25">
      <c r="A178" s="2" t="s">
        <v>225</v>
      </c>
      <c r="B178" s="3">
        <v>45305</v>
      </c>
      <c r="C178" s="2" t="s">
        <v>94</v>
      </c>
      <c r="D178" s="2" t="s">
        <v>24</v>
      </c>
      <c r="E178" s="4">
        <v>-668.14</v>
      </c>
      <c r="F178" s="2">
        <v>6300</v>
      </c>
      <c r="G178" s="2" t="s">
        <v>10</v>
      </c>
    </row>
    <row r="179" spans="1:7" x14ac:dyDescent="0.25">
      <c r="A179" s="2" t="s">
        <v>226</v>
      </c>
      <c r="B179" s="3">
        <v>45546</v>
      </c>
      <c r="C179" s="2" t="s">
        <v>81</v>
      </c>
      <c r="D179" s="2" t="s">
        <v>18</v>
      </c>
      <c r="E179" s="4">
        <v>-11295.65</v>
      </c>
      <c r="F179" s="2">
        <v>5100</v>
      </c>
      <c r="G179" s="2" t="s">
        <v>10</v>
      </c>
    </row>
    <row r="180" spans="1:7" x14ac:dyDescent="0.25">
      <c r="A180" s="2" t="s">
        <v>227</v>
      </c>
      <c r="B180" s="3">
        <v>45494</v>
      </c>
      <c r="C180" s="2" t="s">
        <v>12</v>
      </c>
      <c r="D180" s="2" t="s">
        <v>13</v>
      </c>
      <c r="E180" s="4">
        <v>-3417.57</v>
      </c>
      <c r="F180" s="2">
        <v>6400</v>
      </c>
      <c r="G180" s="2" t="s">
        <v>10</v>
      </c>
    </row>
    <row r="181" spans="1:7" x14ac:dyDescent="0.25">
      <c r="A181" s="2" t="s">
        <v>228</v>
      </c>
      <c r="B181" s="3">
        <v>45354</v>
      </c>
      <c r="C181" s="2" t="s">
        <v>51</v>
      </c>
      <c r="D181" s="2" t="s">
        <v>52</v>
      </c>
      <c r="E181" s="4">
        <v>-9698.7999999999993</v>
      </c>
      <c r="F181" s="2">
        <v>6000</v>
      </c>
      <c r="G181" s="2" t="s">
        <v>10</v>
      </c>
    </row>
    <row r="182" spans="1:7" x14ac:dyDescent="0.25">
      <c r="A182" s="2" t="s">
        <v>229</v>
      </c>
      <c r="B182" s="3">
        <v>45585</v>
      </c>
      <c r="C182" s="2" t="s">
        <v>42</v>
      </c>
      <c r="D182" s="2" t="s">
        <v>39</v>
      </c>
      <c r="E182" s="4">
        <v>-6325.2</v>
      </c>
      <c r="F182" s="2">
        <v>6500</v>
      </c>
      <c r="G182" s="2" t="s">
        <v>10</v>
      </c>
    </row>
    <row r="183" spans="1:7" x14ac:dyDescent="0.25">
      <c r="A183" s="2" t="s">
        <v>230</v>
      </c>
      <c r="B183" s="3">
        <v>45556</v>
      </c>
      <c r="C183" s="2" t="s">
        <v>56</v>
      </c>
      <c r="D183" s="2" t="s">
        <v>18</v>
      </c>
      <c r="E183" s="4">
        <v>-3384.64</v>
      </c>
      <c r="F183" s="2">
        <v>5100</v>
      </c>
      <c r="G183" s="2" t="s">
        <v>10</v>
      </c>
    </row>
    <row r="184" spans="1:7" x14ac:dyDescent="0.25">
      <c r="A184" s="2" t="s">
        <v>231</v>
      </c>
      <c r="B184" s="3">
        <v>45625</v>
      </c>
      <c r="C184" s="2" t="s">
        <v>67</v>
      </c>
      <c r="D184" s="2" t="s">
        <v>59</v>
      </c>
      <c r="E184" s="4">
        <v>-458.5</v>
      </c>
      <c r="F184" s="2">
        <v>6200</v>
      </c>
      <c r="G184" s="2" t="s">
        <v>10</v>
      </c>
    </row>
    <row r="185" spans="1:7" x14ac:dyDescent="0.25">
      <c r="A185" s="2" t="s">
        <v>232</v>
      </c>
      <c r="B185" s="3">
        <v>45432</v>
      </c>
      <c r="C185" s="2" t="s">
        <v>15</v>
      </c>
      <c r="D185" s="2" t="s">
        <v>13</v>
      </c>
      <c r="E185" s="4">
        <v>-3029.91</v>
      </c>
      <c r="F185" s="2">
        <v>6400</v>
      </c>
      <c r="G185" s="2" t="s">
        <v>10</v>
      </c>
    </row>
    <row r="186" spans="1:7" x14ac:dyDescent="0.25">
      <c r="A186" s="2" t="s">
        <v>233</v>
      </c>
      <c r="B186" s="3">
        <v>45432</v>
      </c>
      <c r="C186" s="2" t="s">
        <v>103</v>
      </c>
      <c r="D186" s="2" t="s">
        <v>35</v>
      </c>
      <c r="E186" s="4">
        <v>22396.71</v>
      </c>
      <c r="F186" s="2">
        <v>4000</v>
      </c>
      <c r="G186" s="2" t="s">
        <v>10</v>
      </c>
    </row>
    <row r="187" spans="1:7" x14ac:dyDescent="0.25">
      <c r="A187" s="2" t="s">
        <v>234</v>
      </c>
      <c r="B187" s="3">
        <v>45356</v>
      </c>
      <c r="C187" s="2" t="s">
        <v>51</v>
      </c>
      <c r="D187" s="2" t="s">
        <v>52</v>
      </c>
      <c r="E187" s="4">
        <v>-11294.19</v>
      </c>
      <c r="F187" s="2">
        <v>6000</v>
      </c>
      <c r="G187" s="2" t="s">
        <v>10</v>
      </c>
    </row>
    <row r="188" spans="1:7" x14ac:dyDescent="0.25">
      <c r="A188" s="2" t="s">
        <v>235</v>
      </c>
      <c r="B188" s="3">
        <v>45351</v>
      </c>
      <c r="C188" s="2" t="s">
        <v>195</v>
      </c>
      <c r="D188" s="2" t="s">
        <v>28</v>
      </c>
      <c r="E188" s="4">
        <v>-86.76</v>
      </c>
      <c r="F188" s="2">
        <v>6900</v>
      </c>
      <c r="G188" s="2" t="s">
        <v>10</v>
      </c>
    </row>
    <row r="189" spans="1:7" x14ac:dyDescent="0.25">
      <c r="A189" s="2" t="s">
        <v>236</v>
      </c>
      <c r="B189" s="3">
        <v>45393</v>
      </c>
      <c r="C189" s="2" t="s">
        <v>21</v>
      </c>
      <c r="D189" s="2" t="s">
        <v>13</v>
      </c>
      <c r="E189" s="4">
        <v>-2060.1</v>
      </c>
      <c r="F189" s="2">
        <v>6400</v>
      </c>
      <c r="G189" s="2" t="s">
        <v>10</v>
      </c>
    </row>
    <row r="190" spans="1:7" x14ac:dyDescent="0.25">
      <c r="A190" s="2" t="s">
        <v>237</v>
      </c>
      <c r="B190" s="3">
        <v>45523</v>
      </c>
      <c r="C190" s="2" t="s">
        <v>12</v>
      </c>
      <c r="D190" s="2" t="s">
        <v>13</v>
      </c>
      <c r="E190" s="4">
        <v>-3065.36</v>
      </c>
      <c r="F190" s="2">
        <v>6400</v>
      </c>
      <c r="G190" s="2" t="s">
        <v>10</v>
      </c>
    </row>
    <row r="191" spans="1:7" x14ac:dyDescent="0.25">
      <c r="A191" s="2" t="s">
        <v>238</v>
      </c>
      <c r="B191" s="3">
        <v>45408</v>
      </c>
      <c r="C191" s="2" t="s">
        <v>146</v>
      </c>
      <c r="D191" s="2" t="s">
        <v>31</v>
      </c>
      <c r="E191" s="4">
        <v>220.59</v>
      </c>
      <c r="F191" s="2">
        <v>4900</v>
      </c>
      <c r="G191" s="2" t="s">
        <v>10</v>
      </c>
    </row>
    <row r="192" spans="1:7" x14ac:dyDescent="0.25">
      <c r="A192" s="2" t="s">
        <v>239</v>
      </c>
      <c r="B192" s="3">
        <v>45467</v>
      </c>
      <c r="C192" s="2" t="s">
        <v>116</v>
      </c>
      <c r="D192" s="2" t="s">
        <v>35</v>
      </c>
      <c r="E192" s="4">
        <v>3843.53</v>
      </c>
      <c r="F192" s="2">
        <v>4000</v>
      </c>
      <c r="G192" s="2" t="s">
        <v>10</v>
      </c>
    </row>
    <row r="193" spans="1:7" x14ac:dyDescent="0.25">
      <c r="A193" s="2" t="s">
        <v>240</v>
      </c>
      <c r="B193" s="3">
        <v>45643</v>
      </c>
      <c r="C193" s="2" t="s">
        <v>76</v>
      </c>
      <c r="D193" s="2" t="s">
        <v>28</v>
      </c>
      <c r="E193" s="4">
        <v>-33.299999999999997</v>
      </c>
      <c r="F193" s="2">
        <v>6900</v>
      </c>
      <c r="G193" s="2" t="s">
        <v>10</v>
      </c>
    </row>
    <row r="194" spans="1:7" x14ac:dyDescent="0.25">
      <c r="A194" s="2" t="s">
        <v>241</v>
      </c>
      <c r="B194" s="3">
        <v>45427</v>
      </c>
      <c r="C194" s="2" t="s">
        <v>67</v>
      </c>
      <c r="D194" s="2" t="s">
        <v>59</v>
      </c>
      <c r="E194" s="4">
        <v>-173.51</v>
      </c>
      <c r="F194" s="2">
        <v>6200</v>
      </c>
      <c r="G194" s="2" t="s">
        <v>10</v>
      </c>
    </row>
    <row r="195" spans="1:7" x14ac:dyDescent="0.25">
      <c r="A195" s="2" t="s">
        <v>242</v>
      </c>
      <c r="B195" s="3">
        <v>45400</v>
      </c>
      <c r="C195" s="2" t="s">
        <v>17</v>
      </c>
      <c r="D195" s="2" t="s">
        <v>18</v>
      </c>
      <c r="E195" s="4">
        <v>-11508.33</v>
      </c>
      <c r="F195" s="2">
        <v>5100</v>
      </c>
      <c r="G195" s="2" t="s">
        <v>10</v>
      </c>
    </row>
    <row r="196" spans="1:7" x14ac:dyDescent="0.25">
      <c r="A196" s="2" t="s">
        <v>243</v>
      </c>
      <c r="B196" s="3">
        <v>45498</v>
      </c>
      <c r="C196" s="2" t="s">
        <v>71</v>
      </c>
      <c r="D196" s="2" t="s">
        <v>59</v>
      </c>
      <c r="E196" s="4">
        <v>-110.46</v>
      </c>
      <c r="F196" s="2">
        <v>6200</v>
      </c>
      <c r="G196" s="2" t="s">
        <v>10</v>
      </c>
    </row>
    <row r="197" spans="1:7" x14ac:dyDescent="0.25">
      <c r="A197" s="2" t="s">
        <v>244</v>
      </c>
      <c r="B197" s="3">
        <v>45502</v>
      </c>
      <c r="C197" s="2" t="s">
        <v>21</v>
      </c>
      <c r="D197" s="2" t="s">
        <v>13</v>
      </c>
      <c r="E197" s="4">
        <v>-336.56</v>
      </c>
      <c r="F197" s="2">
        <v>6400</v>
      </c>
      <c r="G197" s="2" t="s">
        <v>10</v>
      </c>
    </row>
    <row r="198" spans="1:7" x14ac:dyDescent="0.25">
      <c r="A198" s="2" t="s">
        <v>245</v>
      </c>
      <c r="B198" s="3">
        <v>45423</v>
      </c>
      <c r="C198" s="2" t="s">
        <v>27</v>
      </c>
      <c r="D198" s="2" t="s">
        <v>28</v>
      </c>
      <c r="E198" s="4">
        <v>-113.69</v>
      </c>
      <c r="F198" s="2">
        <v>6900</v>
      </c>
      <c r="G198" s="2" t="s">
        <v>10</v>
      </c>
    </row>
    <row r="199" spans="1:7" x14ac:dyDescent="0.25">
      <c r="A199" s="2" t="s">
        <v>246</v>
      </c>
      <c r="B199" s="3">
        <v>45349</v>
      </c>
      <c r="C199" s="2" t="s">
        <v>81</v>
      </c>
      <c r="D199" s="2" t="s">
        <v>18</v>
      </c>
      <c r="E199" s="4">
        <v>-2296.2600000000002</v>
      </c>
      <c r="F199" s="2">
        <v>5100</v>
      </c>
      <c r="G199" s="2" t="s">
        <v>10</v>
      </c>
    </row>
    <row r="200" spans="1:7" x14ac:dyDescent="0.25">
      <c r="A200" s="2" t="s">
        <v>247</v>
      </c>
      <c r="B200" s="3">
        <v>45560</v>
      </c>
      <c r="C200" s="2" t="s">
        <v>44</v>
      </c>
      <c r="D200" s="2" t="s">
        <v>9</v>
      </c>
      <c r="E200" s="4">
        <v>-1728.74</v>
      </c>
      <c r="F200" s="2">
        <v>6100</v>
      </c>
      <c r="G200" s="2" t="s">
        <v>10</v>
      </c>
    </row>
    <row r="201" spans="1:7" x14ac:dyDescent="0.25">
      <c r="A201" s="2" t="s">
        <v>248</v>
      </c>
      <c r="B201" s="3">
        <v>45305</v>
      </c>
      <c r="C201" s="2" t="s">
        <v>127</v>
      </c>
      <c r="D201" s="2" t="s">
        <v>24</v>
      </c>
      <c r="E201" s="4">
        <v>-184.77</v>
      </c>
      <c r="F201" s="2">
        <v>6300</v>
      </c>
      <c r="G201" s="2" t="s">
        <v>10</v>
      </c>
    </row>
    <row r="202" spans="1:7" x14ac:dyDescent="0.25">
      <c r="A202" s="2" t="s">
        <v>249</v>
      </c>
      <c r="B202" s="3">
        <v>45512</v>
      </c>
      <c r="C202" s="2" t="s">
        <v>103</v>
      </c>
      <c r="D202" s="2" t="s">
        <v>35</v>
      </c>
      <c r="E202" s="4">
        <v>18701.2</v>
      </c>
      <c r="F202" s="2">
        <v>4000</v>
      </c>
      <c r="G202" s="2" t="s">
        <v>10</v>
      </c>
    </row>
    <row r="203" spans="1:7" x14ac:dyDescent="0.25">
      <c r="A203" s="2" t="s">
        <v>250</v>
      </c>
      <c r="B203" s="3">
        <v>45506</v>
      </c>
      <c r="C203" s="2" t="s">
        <v>97</v>
      </c>
      <c r="D203" s="2" t="s">
        <v>52</v>
      </c>
      <c r="E203" s="4">
        <v>-7023.64</v>
      </c>
      <c r="F203" s="2">
        <v>6000</v>
      </c>
      <c r="G203" s="2" t="s">
        <v>10</v>
      </c>
    </row>
    <row r="204" spans="1:7" x14ac:dyDescent="0.25">
      <c r="A204" s="2" t="s">
        <v>251</v>
      </c>
      <c r="B204" s="3">
        <v>45450</v>
      </c>
      <c r="C204" s="2" t="s">
        <v>48</v>
      </c>
      <c r="D204" s="2" t="s">
        <v>9</v>
      </c>
      <c r="E204" s="4">
        <v>-4891.84</v>
      </c>
      <c r="F204" s="2">
        <v>6100</v>
      </c>
      <c r="G204" s="2" t="s">
        <v>10</v>
      </c>
    </row>
    <row r="205" spans="1:7" x14ac:dyDescent="0.25">
      <c r="A205" s="2" t="s">
        <v>252</v>
      </c>
      <c r="B205" s="3">
        <v>45626</v>
      </c>
      <c r="C205" s="2" t="s">
        <v>79</v>
      </c>
      <c r="D205" s="2" t="s">
        <v>31</v>
      </c>
      <c r="E205" s="4">
        <v>306.45</v>
      </c>
      <c r="F205" s="2">
        <v>4900</v>
      </c>
      <c r="G205" s="2" t="s">
        <v>10</v>
      </c>
    </row>
    <row r="206" spans="1:7" x14ac:dyDescent="0.25">
      <c r="A206" s="2" t="s">
        <v>253</v>
      </c>
      <c r="B206" s="3">
        <v>45444</v>
      </c>
      <c r="C206" s="2" t="s">
        <v>30</v>
      </c>
      <c r="D206" s="2" t="s">
        <v>31</v>
      </c>
      <c r="E206" s="4">
        <v>285.45999999999998</v>
      </c>
      <c r="F206" s="2">
        <v>4900</v>
      </c>
      <c r="G206" s="2" t="s">
        <v>10</v>
      </c>
    </row>
    <row r="207" spans="1:7" x14ac:dyDescent="0.25">
      <c r="A207" s="2" t="s">
        <v>254</v>
      </c>
      <c r="B207" s="3">
        <v>45560</v>
      </c>
      <c r="C207" s="2" t="s">
        <v>34</v>
      </c>
      <c r="D207" s="2" t="s">
        <v>35</v>
      </c>
      <c r="E207" s="4">
        <v>9126.9500000000007</v>
      </c>
      <c r="F207" s="2">
        <v>4000</v>
      </c>
      <c r="G207" s="2" t="s">
        <v>10</v>
      </c>
    </row>
    <row r="208" spans="1:7" x14ac:dyDescent="0.25">
      <c r="A208" s="2" t="s">
        <v>255</v>
      </c>
      <c r="B208" s="3">
        <v>45514</v>
      </c>
      <c r="C208" s="2" t="s">
        <v>17</v>
      </c>
      <c r="D208" s="2" t="s">
        <v>18</v>
      </c>
      <c r="E208" s="4">
        <v>-4125.16</v>
      </c>
      <c r="F208" s="2">
        <v>5100</v>
      </c>
      <c r="G208" s="2" t="s">
        <v>10</v>
      </c>
    </row>
    <row r="209" spans="1:7" x14ac:dyDescent="0.25">
      <c r="A209" s="2" t="s">
        <v>256</v>
      </c>
      <c r="B209" s="3">
        <v>45302</v>
      </c>
      <c r="C209" s="2" t="s">
        <v>30</v>
      </c>
      <c r="D209" s="2" t="s">
        <v>31</v>
      </c>
      <c r="E209" s="4">
        <v>357.76</v>
      </c>
      <c r="F209" s="2">
        <v>4900</v>
      </c>
      <c r="G209" s="2" t="s">
        <v>10</v>
      </c>
    </row>
    <row r="210" spans="1:7" x14ac:dyDescent="0.25">
      <c r="A210" s="2" t="s">
        <v>257</v>
      </c>
      <c r="B210" s="3">
        <v>45470</v>
      </c>
      <c r="C210" s="2" t="s">
        <v>103</v>
      </c>
      <c r="D210" s="2" t="s">
        <v>35</v>
      </c>
      <c r="E210" s="4">
        <v>5688.42</v>
      </c>
      <c r="F210" s="2">
        <v>4000</v>
      </c>
      <c r="G210" s="2" t="s">
        <v>10</v>
      </c>
    </row>
    <row r="211" spans="1:7" x14ac:dyDescent="0.25">
      <c r="A211" s="2" t="s">
        <v>258</v>
      </c>
      <c r="B211" s="3">
        <v>45524</v>
      </c>
      <c r="C211" s="2" t="s">
        <v>17</v>
      </c>
      <c r="D211" s="2" t="s">
        <v>18</v>
      </c>
      <c r="E211" s="4">
        <v>-4858.29</v>
      </c>
      <c r="F211" s="2">
        <v>5100</v>
      </c>
      <c r="G211" s="2" t="s">
        <v>10</v>
      </c>
    </row>
    <row r="212" spans="1:7" x14ac:dyDescent="0.25">
      <c r="A212" s="2" t="s">
        <v>259</v>
      </c>
      <c r="B212" s="3">
        <v>45562</v>
      </c>
      <c r="C212" s="2" t="s">
        <v>38</v>
      </c>
      <c r="D212" s="2" t="s">
        <v>39</v>
      </c>
      <c r="E212" s="4">
        <v>-1520.12</v>
      </c>
      <c r="F212" s="2">
        <v>6500</v>
      </c>
      <c r="G212" s="2" t="s">
        <v>10</v>
      </c>
    </row>
    <row r="213" spans="1:7" x14ac:dyDescent="0.25">
      <c r="A213" s="2" t="s">
        <v>260</v>
      </c>
      <c r="B213" s="3">
        <v>45390</v>
      </c>
      <c r="C213" s="2" t="s">
        <v>146</v>
      </c>
      <c r="D213" s="2" t="s">
        <v>31</v>
      </c>
      <c r="E213" s="4">
        <v>268.66000000000003</v>
      </c>
      <c r="F213" s="2">
        <v>4900</v>
      </c>
      <c r="G213" s="2" t="s">
        <v>10</v>
      </c>
    </row>
    <row r="214" spans="1:7" x14ac:dyDescent="0.25">
      <c r="A214" s="2" t="s">
        <v>261</v>
      </c>
      <c r="B214" s="3">
        <v>45352</v>
      </c>
      <c r="C214" s="2" t="s">
        <v>44</v>
      </c>
      <c r="D214" s="2" t="s">
        <v>9</v>
      </c>
      <c r="E214" s="4">
        <v>-4593.37</v>
      </c>
      <c r="F214" s="2">
        <v>6100</v>
      </c>
      <c r="G214" s="2" t="s">
        <v>10</v>
      </c>
    </row>
    <row r="215" spans="1:7" x14ac:dyDescent="0.25">
      <c r="A215" s="2" t="s">
        <v>262</v>
      </c>
      <c r="B215" s="3">
        <v>45506</v>
      </c>
      <c r="C215" s="2" t="s">
        <v>127</v>
      </c>
      <c r="D215" s="2" t="s">
        <v>24</v>
      </c>
      <c r="E215" s="4">
        <v>-784.77</v>
      </c>
      <c r="F215" s="2">
        <v>6300</v>
      </c>
      <c r="G215" s="2" t="s">
        <v>10</v>
      </c>
    </row>
    <row r="216" spans="1:7" x14ac:dyDescent="0.25">
      <c r="A216" s="2" t="s">
        <v>263</v>
      </c>
      <c r="B216" s="3">
        <v>45300</v>
      </c>
      <c r="C216" s="2" t="s">
        <v>23</v>
      </c>
      <c r="D216" s="2" t="s">
        <v>24</v>
      </c>
      <c r="E216" s="4">
        <v>-603.37</v>
      </c>
      <c r="F216" s="2">
        <v>6300</v>
      </c>
      <c r="G216" s="2" t="s">
        <v>10</v>
      </c>
    </row>
    <row r="217" spans="1:7" x14ac:dyDescent="0.25">
      <c r="A217" s="2" t="s">
        <v>264</v>
      </c>
      <c r="B217" s="3">
        <v>45300</v>
      </c>
      <c r="C217" s="2" t="s">
        <v>34</v>
      </c>
      <c r="D217" s="2" t="s">
        <v>35</v>
      </c>
      <c r="E217" s="4">
        <v>8366.6</v>
      </c>
      <c r="F217" s="2">
        <v>4000</v>
      </c>
      <c r="G217" s="2" t="s">
        <v>10</v>
      </c>
    </row>
    <row r="218" spans="1:7" x14ac:dyDescent="0.25">
      <c r="A218" s="2" t="s">
        <v>265</v>
      </c>
      <c r="B218" s="3">
        <v>45541</v>
      </c>
      <c r="C218" s="2" t="s">
        <v>58</v>
      </c>
      <c r="D218" s="2" t="s">
        <v>59</v>
      </c>
      <c r="E218" s="4">
        <v>-347.66</v>
      </c>
      <c r="F218" s="2">
        <v>6200</v>
      </c>
      <c r="G218" s="2" t="s">
        <v>10</v>
      </c>
    </row>
    <row r="219" spans="1:7" x14ac:dyDescent="0.25">
      <c r="A219" s="2" t="s">
        <v>266</v>
      </c>
      <c r="B219" s="3">
        <v>45376</v>
      </c>
      <c r="C219" s="2" t="s">
        <v>71</v>
      </c>
      <c r="D219" s="2" t="s">
        <v>59</v>
      </c>
      <c r="E219" s="4">
        <v>-227.43</v>
      </c>
      <c r="F219" s="2">
        <v>6200</v>
      </c>
      <c r="G219" s="2" t="s">
        <v>10</v>
      </c>
    </row>
    <row r="220" spans="1:7" x14ac:dyDescent="0.25">
      <c r="A220" s="2" t="s">
        <v>267</v>
      </c>
      <c r="B220" s="3">
        <v>45296</v>
      </c>
      <c r="C220" s="2" t="s">
        <v>23</v>
      </c>
      <c r="D220" s="2" t="s">
        <v>24</v>
      </c>
      <c r="E220" s="4">
        <v>-501.35</v>
      </c>
      <c r="F220" s="2">
        <v>6300</v>
      </c>
      <c r="G220" s="2" t="s">
        <v>10</v>
      </c>
    </row>
    <row r="221" spans="1:7" x14ac:dyDescent="0.25">
      <c r="A221" s="2" t="s">
        <v>268</v>
      </c>
      <c r="B221" s="3">
        <v>45436</v>
      </c>
      <c r="C221" s="2" t="s">
        <v>81</v>
      </c>
      <c r="D221" s="2" t="s">
        <v>18</v>
      </c>
      <c r="E221" s="4">
        <v>-11408.77</v>
      </c>
      <c r="F221" s="2">
        <v>5100</v>
      </c>
      <c r="G221" s="2" t="s">
        <v>10</v>
      </c>
    </row>
    <row r="222" spans="1:7" x14ac:dyDescent="0.25">
      <c r="A222" s="2" t="s">
        <v>269</v>
      </c>
      <c r="B222" s="3">
        <v>45449</v>
      </c>
      <c r="C222" s="2" t="s">
        <v>116</v>
      </c>
      <c r="D222" s="2" t="s">
        <v>35</v>
      </c>
      <c r="E222" s="4">
        <v>8207.25</v>
      </c>
      <c r="F222" s="2">
        <v>4000</v>
      </c>
      <c r="G222" s="2" t="s">
        <v>10</v>
      </c>
    </row>
    <row r="223" spans="1:7" x14ac:dyDescent="0.25">
      <c r="A223" s="2" t="s">
        <v>270</v>
      </c>
      <c r="B223" s="3">
        <v>45335</v>
      </c>
      <c r="C223" s="2" t="s">
        <v>81</v>
      </c>
      <c r="D223" s="2" t="s">
        <v>18</v>
      </c>
      <c r="E223" s="4">
        <v>-2681.95</v>
      </c>
      <c r="F223" s="2">
        <v>5100</v>
      </c>
      <c r="G223" s="2" t="s">
        <v>10</v>
      </c>
    </row>
    <row r="224" spans="1:7" x14ac:dyDescent="0.25">
      <c r="A224" s="2" t="s">
        <v>271</v>
      </c>
      <c r="B224" s="3">
        <v>45386</v>
      </c>
      <c r="C224" s="2" t="s">
        <v>21</v>
      </c>
      <c r="D224" s="2" t="s">
        <v>13</v>
      </c>
      <c r="E224" s="4">
        <v>-1176.8499999999999</v>
      </c>
      <c r="F224" s="2">
        <v>6400</v>
      </c>
      <c r="G224" s="2" t="s">
        <v>10</v>
      </c>
    </row>
    <row r="225" spans="1:7" x14ac:dyDescent="0.25">
      <c r="A225" s="2" t="s">
        <v>272</v>
      </c>
      <c r="B225" s="3">
        <v>45636</v>
      </c>
      <c r="C225" s="2" t="s">
        <v>69</v>
      </c>
      <c r="D225" s="2" t="s">
        <v>39</v>
      </c>
      <c r="E225" s="4">
        <v>-3642.76</v>
      </c>
      <c r="F225" s="2">
        <v>6500</v>
      </c>
      <c r="G225" s="2" t="s">
        <v>10</v>
      </c>
    </row>
    <row r="226" spans="1:7" x14ac:dyDescent="0.25">
      <c r="A226" s="2" t="s">
        <v>273</v>
      </c>
      <c r="B226" s="3">
        <v>45332</v>
      </c>
      <c r="C226" s="2" t="s">
        <v>15</v>
      </c>
      <c r="D226" s="2" t="s">
        <v>13</v>
      </c>
      <c r="E226" s="4">
        <v>-3167.89</v>
      </c>
      <c r="F226" s="2">
        <v>6400</v>
      </c>
      <c r="G226" s="2" t="s">
        <v>10</v>
      </c>
    </row>
    <row r="227" spans="1:7" x14ac:dyDescent="0.25">
      <c r="A227" s="2" t="s">
        <v>274</v>
      </c>
      <c r="B227" s="3">
        <v>45608</v>
      </c>
      <c r="C227" s="2" t="s">
        <v>27</v>
      </c>
      <c r="D227" s="2" t="s">
        <v>28</v>
      </c>
      <c r="E227" s="4">
        <v>-95.89</v>
      </c>
      <c r="F227" s="2">
        <v>6900</v>
      </c>
      <c r="G227" s="2" t="s">
        <v>10</v>
      </c>
    </row>
    <row r="228" spans="1:7" x14ac:dyDescent="0.25">
      <c r="A228" s="2" t="s">
        <v>275</v>
      </c>
      <c r="B228" s="3">
        <v>45373</v>
      </c>
      <c r="C228" s="2" t="s">
        <v>116</v>
      </c>
      <c r="D228" s="2" t="s">
        <v>35</v>
      </c>
      <c r="E228" s="4">
        <v>17742.55</v>
      </c>
      <c r="F228" s="2">
        <v>4000</v>
      </c>
      <c r="G228" s="2" t="s">
        <v>10</v>
      </c>
    </row>
    <row r="229" spans="1:7" x14ac:dyDescent="0.25">
      <c r="A229" s="2" t="s">
        <v>276</v>
      </c>
      <c r="B229" s="3">
        <v>45536</v>
      </c>
      <c r="C229" s="2" t="s">
        <v>17</v>
      </c>
      <c r="D229" s="2" t="s">
        <v>18</v>
      </c>
      <c r="E229" s="4">
        <v>-13438.77</v>
      </c>
      <c r="F229" s="2">
        <v>5100</v>
      </c>
      <c r="G229" s="2" t="s">
        <v>10</v>
      </c>
    </row>
    <row r="230" spans="1:7" x14ac:dyDescent="0.25">
      <c r="A230" s="2" t="s">
        <v>277</v>
      </c>
      <c r="B230" s="3">
        <v>45598</v>
      </c>
      <c r="C230" s="2" t="s">
        <v>42</v>
      </c>
      <c r="D230" s="2" t="s">
        <v>39</v>
      </c>
      <c r="E230" s="4">
        <v>-1780.58</v>
      </c>
      <c r="F230" s="2">
        <v>6500</v>
      </c>
      <c r="G230" s="2" t="s">
        <v>10</v>
      </c>
    </row>
    <row r="231" spans="1:7" x14ac:dyDescent="0.25">
      <c r="A231" s="2" t="s">
        <v>278</v>
      </c>
      <c r="B231" s="3">
        <v>45619</v>
      </c>
      <c r="C231" s="2" t="s">
        <v>71</v>
      </c>
      <c r="D231" s="2" t="s">
        <v>59</v>
      </c>
      <c r="E231" s="4">
        <v>-129.51</v>
      </c>
      <c r="F231" s="2">
        <v>6200</v>
      </c>
      <c r="G231" s="2" t="s">
        <v>10</v>
      </c>
    </row>
    <row r="232" spans="1:7" x14ac:dyDescent="0.25">
      <c r="A232" s="2" t="s">
        <v>279</v>
      </c>
      <c r="B232" s="3">
        <v>45563</v>
      </c>
      <c r="C232" s="2" t="s">
        <v>42</v>
      </c>
      <c r="D232" s="2" t="s">
        <v>39</v>
      </c>
      <c r="E232" s="4">
        <v>-5112.79</v>
      </c>
      <c r="F232" s="2">
        <v>6500</v>
      </c>
      <c r="G232" s="2" t="s">
        <v>10</v>
      </c>
    </row>
    <row r="233" spans="1:7" x14ac:dyDescent="0.25">
      <c r="A233" s="2" t="s">
        <v>280</v>
      </c>
      <c r="B233" s="3">
        <v>45363</v>
      </c>
      <c r="C233" s="2" t="s">
        <v>17</v>
      </c>
      <c r="D233" s="2" t="s">
        <v>18</v>
      </c>
      <c r="E233" s="4">
        <v>-1634.63</v>
      </c>
      <c r="F233" s="2">
        <v>5100</v>
      </c>
      <c r="G233" s="2" t="s">
        <v>10</v>
      </c>
    </row>
    <row r="234" spans="1:7" x14ac:dyDescent="0.25">
      <c r="A234" s="2" t="s">
        <v>281</v>
      </c>
      <c r="B234" s="3">
        <v>45548</v>
      </c>
      <c r="C234" s="2" t="s">
        <v>69</v>
      </c>
      <c r="D234" s="2" t="s">
        <v>39</v>
      </c>
      <c r="E234" s="4">
        <v>-5839.81</v>
      </c>
      <c r="F234" s="2">
        <v>6500</v>
      </c>
      <c r="G234" s="2" t="s">
        <v>10</v>
      </c>
    </row>
    <row r="235" spans="1:7" x14ac:dyDescent="0.25">
      <c r="A235" s="2" t="s">
        <v>282</v>
      </c>
      <c r="B235" s="3">
        <v>45530</v>
      </c>
      <c r="C235" s="2" t="s">
        <v>21</v>
      </c>
      <c r="D235" s="2" t="s">
        <v>13</v>
      </c>
      <c r="E235" s="4">
        <v>-2886.13</v>
      </c>
      <c r="F235" s="2">
        <v>6400</v>
      </c>
      <c r="G235" s="2" t="s">
        <v>10</v>
      </c>
    </row>
    <row r="236" spans="1:7" x14ac:dyDescent="0.25">
      <c r="A236" s="2" t="s">
        <v>283</v>
      </c>
      <c r="B236" s="3">
        <v>45556</v>
      </c>
      <c r="C236" s="2" t="s">
        <v>12</v>
      </c>
      <c r="D236" s="2" t="s">
        <v>13</v>
      </c>
      <c r="E236" s="4">
        <v>-1106.93</v>
      </c>
      <c r="F236" s="2">
        <v>6400</v>
      </c>
      <c r="G236" s="2" t="s">
        <v>10</v>
      </c>
    </row>
    <row r="237" spans="1:7" x14ac:dyDescent="0.25">
      <c r="A237" s="2" t="s">
        <v>284</v>
      </c>
      <c r="B237" s="3">
        <v>45611</v>
      </c>
      <c r="C237" s="2" t="s">
        <v>17</v>
      </c>
      <c r="D237" s="2" t="s">
        <v>18</v>
      </c>
      <c r="E237" s="4">
        <v>-10535.11</v>
      </c>
      <c r="F237" s="2">
        <v>5100</v>
      </c>
      <c r="G237" s="2" t="s">
        <v>10</v>
      </c>
    </row>
    <row r="238" spans="1:7" x14ac:dyDescent="0.25">
      <c r="A238" s="2" t="s">
        <v>285</v>
      </c>
      <c r="B238" s="3">
        <v>45653</v>
      </c>
      <c r="C238" s="2" t="s">
        <v>81</v>
      </c>
      <c r="D238" s="2" t="s">
        <v>18</v>
      </c>
      <c r="E238" s="4">
        <v>-13607.35</v>
      </c>
      <c r="F238" s="2">
        <v>5100</v>
      </c>
      <c r="G238" s="2" t="s">
        <v>10</v>
      </c>
    </row>
    <row r="239" spans="1:7" x14ac:dyDescent="0.25">
      <c r="A239" s="2" t="s">
        <v>286</v>
      </c>
      <c r="B239" s="3">
        <v>45598</v>
      </c>
      <c r="C239" s="2" t="s">
        <v>67</v>
      </c>
      <c r="D239" s="2" t="s">
        <v>59</v>
      </c>
      <c r="E239" s="4">
        <v>-226.55</v>
      </c>
      <c r="F239" s="2">
        <v>6200</v>
      </c>
      <c r="G239" s="2" t="s">
        <v>10</v>
      </c>
    </row>
    <row r="240" spans="1:7" x14ac:dyDescent="0.25">
      <c r="A240" s="2" t="s">
        <v>287</v>
      </c>
      <c r="B240" s="3">
        <v>45337</v>
      </c>
      <c r="C240" s="2" t="s">
        <v>15</v>
      </c>
      <c r="D240" s="2" t="s">
        <v>13</v>
      </c>
      <c r="E240" s="4">
        <v>-2736.14</v>
      </c>
      <c r="F240" s="2">
        <v>6400</v>
      </c>
      <c r="G240" s="2" t="s">
        <v>10</v>
      </c>
    </row>
    <row r="241" spans="1:7" x14ac:dyDescent="0.25">
      <c r="A241" s="2" t="s">
        <v>288</v>
      </c>
      <c r="B241" s="3">
        <v>45584</v>
      </c>
      <c r="C241" s="2" t="s">
        <v>81</v>
      </c>
      <c r="D241" s="2" t="s">
        <v>18</v>
      </c>
      <c r="E241" s="4">
        <v>-2078.64</v>
      </c>
      <c r="F241" s="2">
        <v>5100</v>
      </c>
      <c r="G241" s="2" t="s">
        <v>10</v>
      </c>
    </row>
    <row r="242" spans="1:7" x14ac:dyDescent="0.25">
      <c r="A242" s="2" t="s">
        <v>289</v>
      </c>
      <c r="B242" s="3">
        <v>45522</v>
      </c>
      <c r="C242" s="2" t="s">
        <v>30</v>
      </c>
      <c r="D242" s="2" t="s">
        <v>31</v>
      </c>
      <c r="E242" s="4">
        <v>160.19999999999999</v>
      </c>
      <c r="F242" s="2">
        <v>4900</v>
      </c>
      <c r="G242" s="2" t="s">
        <v>10</v>
      </c>
    </row>
    <row r="243" spans="1:7" x14ac:dyDescent="0.25">
      <c r="A243" s="2" t="s">
        <v>290</v>
      </c>
      <c r="B243" s="3">
        <v>45460</v>
      </c>
      <c r="C243" s="2" t="s">
        <v>63</v>
      </c>
      <c r="D243" s="2" t="s">
        <v>52</v>
      </c>
      <c r="E243" s="4">
        <v>-11812.52</v>
      </c>
      <c r="F243" s="2">
        <v>6000</v>
      </c>
      <c r="G243" s="2" t="s">
        <v>10</v>
      </c>
    </row>
    <row r="244" spans="1:7" x14ac:dyDescent="0.25">
      <c r="A244" s="2" t="s">
        <v>291</v>
      </c>
      <c r="B244" s="3">
        <v>45524</v>
      </c>
      <c r="C244" s="2" t="s">
        <v>81</v>
      </c>
      <c r="D244" s="2" t="s">
        <v>18</v>
      </c>
      <c r="E244" s="4">
        <v>-12762.12</v>
      </c>
      <c r="F244" s="2">
        <v>5100</v>
      </c>
      <c r="G244" s="2" t="s">
        <v>10</v>
      </c>
    </row>
    <row r="245" spans="1:7" x14ac:dyDescent="0.25">
      <c r="A245" s="2" t="s">
        <v>292</v>
      </c>
      <c r="B245" s="3">
        <v>45383</v>
      </c>
      <c r="C245" s="2" t="s">
        <v>38</v>
      </c>
      <c r="D245" s="2" t="s">
        <v>39</v>
      </c>
      <c r="E245" s="4">
        <v>-1605.2</v>
      </c>
      <c r="F245" s="2">
        <v>6500</v>
      </c>
      <c r="G245" s="2" t="s">
        <v>123</v>
      </c>
    </row>
    <row r="246" spans="1:7" x14ac:dyDescent="0.25">
      <c r="A246" s="2" t="s">
        <v>293</v>
      </c>
      <c r="B246" s="3">
        <v>45573</v>
      </c>
      <c r="C246" s="2" t="s">
        <v>195</v>
      </c>
      <c r="D246" s="2" t="s">
        <v>28</v>
      </c>
      <c r="E246" s="4">
        <v>-43.54</v>
      </c>
      <c r="F246" s="2">
        <v>6900</v>
      </c>
      <c r="G246" s="2" t="s">
        <v>10</v>
      </c>
    </row>
    <row r="247" spans="1:7" x14ac:dyDescent="0.25">
      <c r="A247" s="2" t="s">
        <v>294</v>
      </c>
      <c r="B247" s="3">
        <v>45493</v>
      </c>
      <c r="C247" s="2" t="s">
        <v>51</v>
      </c>
      <c r="D247" s="2" t="s">
        <v>52</v>
      </c>
      <c r="E247" s="4">
        <v>-3645.78</v>
      </c>
      <c r="F247" s="2">
        <v>6000</v>
      </c>
      <c r="G247" s="2" t="s">
        <v>10</v>
      </c>
    </row>
    <row r="248" spans="1:7" x14ac:dyDescent="0.25">
      <c r="A248" s="2" t="s">
        <v>295</v>
      </c>
      <c r="B248" s="3">
        <v>45408</v>
      </c>
      <c r="C248" s="2" t="s">
        <v>23</v>
      </c>
      <c r="D248" s="2" t="s">
        <v>24</v>
      </c>
      <c r="E248" s="4">
        <v>-408.28</v>
      </c>
      <c r="F248" s="2">
        <v>6300</v>
      </c>
      <c r="G248" s="2" t="s">
        <v>10</v>
      </c>
    </row>
    <row r="249" spans="1:7" x14ac:dyDescent="0.25">
      <c r="A249" s="2" t="s">
        <v>296</v>
      </c>
      <c r="B249" s="3">
        <v>45573</v>
      </c>
      <c r="C249" s="2" t="s">
        <v>44</v>
      </c>
      <c r="D249" s="2" t="s">
        <v>9</v>
      </c>
      <c r="E249" s="4">
        <v>-2998.56</v>
      </c>
      <c r="F249" s="2">
        <v>6100</v>
      </c>
      <c r="G249" s="2" t="s">
        <v>10</v>
      </c>
    </row>
    <row r="250" spans="1:7" x14ac:dyDescent="0.25">
      <c r="A250" s="2" t="s">
        <v>297</v>
      </c>
      <c r="B250" s="3">
        <v>45449</v>
      </c>
      <c r="C250" s="2" t="s">
        <v>127</v>
      </c>
      <c r="D250" s="2" t="s">
        <v>24</v>
      </c>
      <c r="E250" s="4">
        <v>-127.33</v>
      </c>
      <c r="F250" s="2">
        <v>6300</v>
      </c>
      <c r="G250" s="2" t="s">
        <v>10</v>
      </c>
    </row>
    <row r="251" spans="1:7" x14ac:dyDescent="0.25">
      <c r="A251" s="2" t="s">
        <v>298</v>
      </c>
      <c r="B251" s="3">
        <v>45479</v>
      </c>
      <c r="C251" s="2" t="s">
        <v>69</v>
      </c>
      <c r="D251" s="2" t="s">
        <v>39</v>
      </c>
      <c r="E251" s="4">
        <v>-5330.97</v>
      </c>
      <c r="F251" s="2">
        <v>6500</v>
      </c>
      <c r="G251" s="2" t="s">
        <v>10</v>
      </c>
    </row>
    <row r="252" spans="1:7" x14ac:dyDescent="0.25">
      <c r="A252" s="2" t="s">
        <v>299</v>
      </c>
      <c r="B252" s="3">
        <v>45366</v>
      </c>
      <c r="C252" s="2" t="s">
        <v>116</v>
      </c>
      <c r="D252" s="2" t="s">
        <v>35</v>
      </c>
      <c r="E252" s="4">
        <v>12853.37</v>
      </c>
      <c r="F252" s="2">
        <v>4000</v>
      </c>
      <c r="G252" s="2" t="s">
        <v>10</v>
      </c>
    </row>
    <row r="253" spans="1:7" x14ac:dyDescent="0.25">
      <c r="A253" s="2" t="s">
        <v>300</v>
      </c>
      <c r="B253" s="3">
        <v>45539</v>
      </c>
      <c r="C253" s="2" t="s">
        <v>30</v>
      </c>
      <c r="D253" s="2" t="s">
        <v>31</v>
      </c>
      <c r="E253" s="4">
        <v>79.22</v>
      </c>
      <c r="F253" s="2">
        <v>4900</v>
      </c>
      <c r="G253" s="2" t="s">
        <v>10</v>
      </c>
    </row>
    <row r="254" spans="1:7" x14ac:dyDescent="0.25">
      <c r="A254" s="2" t="s">
        <v>301</v>
      </c>
      <c r="B254" s="3">
        <v>45330</v>
      </c>
      <c r="C254" s="2" t="s">
        <v>21</v>
      </c>
      <c r="D254" s="2" t="s">
        <v>13</v>
      </c>
      <c r="E254" s="4">
        <v>-512.85</v>
      </c>
      <c r="F254" s="2">
        <v>6400</v>
      </c>
      <c r="G254" s="2" t="s">
        <v>10</v>
      </c>
    </row>
    <row r="255" spans="1:7" x14ac:dyDescent="0.25">
      <c r="A255" s="2" t="s">
        <v>302</v>
      </c>
      <c r="B255" s="3">
        <v>45351</v>
      </c>
      <c r="C255" s="2" t="s">
        <v>15</v>
      </c>
      <c r="D255" s="2" t="s">
        <v>13</v>
      </c>
      <c r="E255" s="4">
        <v>-936.48</v>
      </c>
      <c r="F255" s="2">
        <v>6400</v>
      </c>
      <c r="G255" s="2" t="s">
        <v>10</v>
      </c>
    </row>
    <row r="256" spans="1:7" x14ac:dyDescent="0.25">
      <c r="A256" s="2" t="s">
        <v>303</v>
      </c>
      <c r="B256" s="3">
        <v>45368</v>
      </c>
      <c r="C256" s="2" t="s">
        <v>8</v>
      </c>
      <c r="D256" s="2" t="s">
        <v>9</v>
      </c>
      <c r="E256" s="4">
        <v>-1295.04</v>
      </c>
      <c r="F256" s="2">
        <v>6100</v>
      </c>
      <c r="G256" s="2" t="s">
        <v>10</v>
      </c>
    </row>
    <row r="257" spans="1:7" x14ac:dyDescent="0.25">
      <c r="A257" s="2" t="s">
        <v>304</v>
      </c>
      <c r="B257" s="3">
        <v>45566</v>
      </c>
      <c r="C257" s="2" t="s">
        <v>21</v>
      </c>
      <c r="D257" s="2" t="s">
        <v>13</v>
      </c>
      <c r="E257" s="4">
        <v>-1427.73</v>
      </c>
      <c r="F257" s="2">
        <v>6400</v>
      </c>
      <c r="G257" s="2" t="s">
        <v>10</v>
      </c>
    </row>
    <row r="258" spans="1:7" x14ac:dyDescent="0.25">
      <c r="A258" s="2" t="s">
        <v>305</v>
      </c>
      <c r="B258" s="3">
        <v>45425</v>
      </c>
      <c r="C258" s="2" t="s">
        <v>71</v>
      </c>
      <c r="D258" s="2" t="s">
        <v>59</v>
      </c>
      <c r="E258" s="4">
        <v>-723.64</v>
      </c>
      <c r="F258" s="2">
        <v>6200</v>
      </c>
      <c r="G258" s="2" t="s">
        <v>10</v>
      </c>
    </row>
    <row r="259" spans="1:7" x14ac:dyDescent="0.25">
      <c r="A259" s="2" t="s">
        <v>306</v>
      </c>
      <c r="B259" s="3">
        <v>45511</v>
      </c>
      <c r="C259" s="2" t="s">
        <v>15</v>
      </c>
      <c r="D259" s="2" t="s">
        <v>13</v>
      </c>
      <c r="E259" s="4">
        <v>-2159.8000000000002</v>
      </c>
      <c r="F259" s="2">
        <v>6400</v>
      </c>
      <c r="G259" s="2" t="s">
        <v>10</v>
      </c>
    </row>
    <row r="260" spans="1:7" x14ac:dyDescent="0.25">
      <c r="A260" s="2" t="s">
        <v>307</v>
      </c>
      <c r="B260" s="3">
        <v>45407</v>
      </c>
      <c r="C260" s="2" t="s">
        <v>44</v>
      </c>
      <c r="D260" s="2" t="s">
        <v>9</v>
      </c>
      <c r="E260" s="4">
        <v>-1608.07</v>
      </c>
      <c r="F260" s="2">
        <v>6100</v>
      </c>
      <c r="G260" s="2" t="s">
        <v>10</v>
      </c>
    </row>
    <row r="261" spans="1:7" x14ac:dyDescent="0.25">
      <c r="A261" s="2" t="s">
        <v>308</v>
      </c>
      <c r="B261" s="3">
        <v>45313</v>
      </c>
      <c r="C261" s="2" t="s">
        <v>21</v>
      </c>
      <c r="D261" s="2" t="s">
        <v>13</v>
      </c>
      <c r="E261" s="4">
        <v>-3259.14</v>
      </c>
      <c r="F261" s="2">
        <v>6400</v>
      </c>
      <c r="G261" s="2" t="s">
        <v>10</v>
      </c>
    </row>
    <row r="262" spans="1:7" x14ac:dyDescent="0.25">
      <c r="A262" s="2" t="s">
        <v>309</v>
      </c>
      <c r="B262" s="3">
        <v>45347</v>
      </c>
      <c r="C262" s="2" t="s">
        <v>15</v>
      </c>
      <c r="D262" s="2" t="s">
        <v>13</v>
      </c>
      <c r="E262" s="4">
        <v>-2624.46</v>
      </c>
      <c r="F262" s="2">
        <v>6400</v>
      </c>
      <c r="G262" s="2" t="s">
        <v>10</v>
      </c>
    </row>
    <row r="263" spans="1:7" x14ac:dyDescent="0.25">
      <c r="A263" s="2" t="s">
        <v>310</v>
      </c>
      <c r="B263" s="3">
        <v>45410</v>
      </c>
      <c r="C263" s="2" t="s">
        <v>63</v>
      </c>
      <c r="D263" s="2" t="s">
        <v>52</v>
      </c>
      <c r="E263" s="4">
        <v>-7458.21</v>
      </c>
      <c r="F263" s="2">
        <v>6000</v>
      </c>
      <c r="G263" s="2" t="s">
        <v>10</v>
      </c>
    </row>
    <row r="264" spans="1:7" x14ac:dyDescent="0.25">
      <c r="A264" s="2" t="s">
        <v>311</v>
      </c>
      <c r="B264" s="3">
        <v>45377</v>
      </c>
      <c r="C264" s="2" t="s">
        <v>21</v>
      </c>
      <c r="D264" s="2" t="s">
        <v>13</v>
      </c>
      <c r="E264" s="4">
        <v>-662.49</v>
      </c>
      <c r="F264" s="2">
        <v>6400</v>
      </c>
      <c r="G264" s="2" t="s">
        <v>10</v>
      </c>
    </row>
    <row r="265" spans="1:7" x14ac:dyDescent="0.25">
      <c r="A265" s="2" t="s">
        <v>312</v>
      </c>
      <c r="B265" s="3">
        <v>45456</v>
      </c>
      <c r="C265" s="2" t="s">
        <v>38</v>
      </c>
      <c r="D265" s="2" t="s">
        <v>39</v>
      </c>
      <c r="E265" s="4">
        <v>-1358.61</v>
      </c>
      <c r="F265" s="2">
        <v>6500</v>
      </c>
      <c r="G265" s="2" t="s">
        <v>10</v>
      </c>
    </row>
    <row r="266" spans="1:7" x14ac:dyDescent="0.25">
      <c r="A266" s="2" t="s">
        <v>313</v>
      </c>
      <c r="B266" s="3">
        <v>45565</v>
      </c>
      <c r="C266" s="2" t="s">
        <v>48</v>
      </c>
      <c r="D266" s="2" t="s">
        <v>9</v>
      </c>
      <c r="E266" s="4">
        <v>-4990.0200000000004</v>
      </c>
      <c r="F266" s="2">
        <v>6100</v>
      </c>
      <c r="G266" s="2" t="s">
        <v>10</v>
      </c>
    </row>
    <row r="267" spans="1:7" x14ac:dyDescent="0.25">
      <c r="A267" s="2" t="s">
        <v>314</v>
      </c>
      <c r="B267" s="3">
        <v>45465</v>
      </c>
      <c r="C267" s="2" t="s">
        <v>79</v>
      </c>
      <c r="D267" s="2" t="s">
        <v>31</v>
      </c>
      <c r="E267" s="4">
        <v>368.66</v>
      </c>
      <c r="F267" s="2">
        <v>4900</v>
      </c>
      <c r="G267" s="2" t="s">
        <v>10</v>
      </c>
    </row>
    <row r="268" spans="1:7" x14ac:dyDescent="0.25">
      <c r="A268" s="2" t="s">
        <v>315</v>
      </c>
      <c r="B268" s="3">
        <v>45633</v>
      </c>
      <c r="C268" s="2" t="s">
        <v>76</v>
      </c>
      <c r="D268" s="2" t="s">
        <v>28</v>
      </c>
      <c r="E268" s="4">
        <v>-27.01</v>
      </c>
      <c r="F268" s="2">
        <v>6900</v>
      </c>
      <c r="G268" s="2" t="s">
        <v>10</v>
      </c>
    </row>
    <row r="269" spans="1:7" x14ac:dyDescent="0.25">
      <c r="A269" s="2" t="s">
        <v>316</v>
      </c>
      <c r="B269" s="3">
        <v>45334</v>
      </c>
      <c r="C269" s="2" t="s">
        <v>23</v>
      </c>
      <c r="D269" s="2" t="s">
        <v>24</v>
      </c>
      <c r="E269" s="4">
        <v>-269.5</v>
      </c>
      <c r="F269" s="2">
        <v>6300</v>
      </c>
      <c r="G269" s="2" t="s">
        <v>10</v>
      </c>
    </row>
    <row r="270" spans="1:7" x14ac:dyDescent="0.25">
      <c r="A270" s="2" t="s">
        <v>317</v>
      </c>
      <c r="B270" s="3">
        <v>45493</v>
      </c>
      <c r="C270" s="2" t="s">
        <v>127</v>
      </c>
      <c r="D270" s="2" t="s">
        <v>24</v>
      </c>
      <c r="E270" s="4">
        <v>-530.61</v>
      </c>
      <c r="F270" s="2">
        <v>6300</v>
      </c>
      <c r="G270" s="2" t="s">
        <v>10</v>
      </c>
    </row>
    <row r="271" spans="1:7" x14ac:dyDescent="0.25">
      <c r="A271" s="2" t="s">
        <v>318</v>
      </c>
      <c r="B271" s="3">
        <v>45489</v>
      </c>
      <c r="C271" s="2" t="s">
        <v>69</v>
      </c>
      <c r="D271" s="2" t="s">
        <v>39</v>
      </c>
      <c r="E271" s="4">
        <v>-6697.85</v>
      </c>
      <c r="F271" s="2">
        <v>6500</v>
      </c>
      <c r="G271" s="2" t="s">
        <v>10</v>
      </c>
    </row>
    <row r="272" spans="1:7" x14ac:dyDescent="0.25">
      <c r="A272" s="2" t="s">
        <v>319</v>
      </c>
      <c r="B272" s="3">
        <v>45442</v>
      </c>
      <c r="C272" s="2" t="s">
        <v>27</v>
      </c>
      <c r="D272" s="2" t="s">
        <v>28</v>
      </c>
      <c r="E272" s="4">
        <v>-145.47</v>
      </c>
      <c r="F272" s="2">
        <v>6900</v>
      </c>
      <c r="G272" s="2" t="s">
        <v>10</v>
      </c>
    </row>
    <row r="273" spans="1:7" x14ac:dyDescent="0.25">
      <c r="A273" s="2" t="s">
        <v>320</v>
      </c>
      <c r="B273" s="3">
        <v>45635</v>
      </c>
      <c r="C273" s="2" t="s">
        <v>17</v>
      </c>
      <c r="D273" s="2" t="s">
        <v>18</v>
      </c>
      <c r="E273" s="4">
        <v>-10408.48</v>
      </c>
      <c r="F273" s="2">
        <v>5100</v>
      </c>
      <c r="G273" s="2" t="s">
        <v>10</v>
      </c>
    </row>
    <row r="274" spans="1:7" x14ac:dyDescent="0.25">
      <c r="A274" s="2" t="s">
        <v>321</v>
      </c>
      <c r="B274" s="3">
        <v>45370</v>
      </c>
      <c r="C274" s="2" t="s">
        <v>71</v>
      </c>
      <c r="D274" s="2" t="s">
        <v>59</v>
      </c>
      <c r="E274" s="4">
        <v>-366.29</v>
      </c>
      <c r="F274" s="2">
        <v>6200</v>
      </c>
      <c r="G274" s="2" t="s">
        <v>10</v>
      </c>
    </row>
    <row r="275" spans="1:7" x14ac:dyDescent="0.25">
      <c r="A275" s="2" t="s">
        <v>322</v>
      </c>
      <c r="B275" s="3">
        <v>45561</v>
      </c>
      <c r="C275" s="2" t="s">
        <v>58</v>
      </c>
      <c r="D275" s="2" t="s">
        <v>59</v>
      </c>
      <c r="E275" s="4">
        <v>-667.8</v>
      </c>
      <c r="F275" s="2">
        <v>6200</v>
      </c>
      <c r="G275" s="2" t="s">
        <v>10</v>
      </c>
    </row>
    <row r="276" spans="1:7" x14ac:dyDescent="0.25">
      <c r="A276" s="2" t="s">
        <v>323</v>
      </c>
      <c r="B276" s="3">
        <v>45621</v>
      </c>
      <c r="C276" s="2" t="s">
        <v>17</v>
      </c>
      <c r="D276" s="2" t="s">
        <v>18</v>
      </c>
      <c r="E276" s="4">
        <v>-9539.77</v>
      </c>
      <c r="F276" s="2">
        <v>5100</v>
      </c>
      <c r="G276" s="2" t="s">
        <v>10</v>
      </c>
    </row>
    <row r="277" spans="1:7" x14ac:dyDescent="0.25">
      <c r="A277" s="2" t="s">
        <v>324</v>
      </c>
      <c r="B277" s="3">
        <v>45295</v>
      </c>
      <c r="C277" s="2" t="s">
        <v>97</v>
      </c>
      <c r="D277" s="2" t="s">
        <v>52</v>
      </c>
      <c r="E277" s="4">
        <v>-10700.81</v>
      </c>
      <c r="F277" s="2">
        <v>6000</v>
      </c>
      <c r="G277" s="2" t="s">
        <v>10</v>
      </c>
    </row>
    <row r="278" spans="1:7" x14ac:dyDescent="0.25">
      <c r="A278" s="2" t="s">
        <v>325</v>
      </c>
      <c r="B278" s="3">
        <v>45591</v>
      </c>
      <c r="C278" s="2" t="s">
        <v>48</v>
      </c>
      <c r="D278" s="2" t="s">
        <v>9</v>
      </c>
      <c r="E278" s="4">
        <v>-2126.56</v>
      </c>
      <c r="F278" s="2">
        <v>6100</v>
      </c>
      <c r="G278" s="2" t="s">
        <v>10</v>
      </c>
    </row>
    <row r="279" spans="1:7" x14ac:dyDescent="0.25">
      <c r="A279" s="2" t="s">
        <v>326</v>
      </c>
      <c r="B279" s="3">
        <v>45656</v>
      </c>
      <c r="C279" s="2" t="s">
        <v>94</v>
      </c>
      <c r="D279" s="2" t="s">
        <v>24</v>
      </c>
      <c r="E279" s="4">
        <v>-782.21</v>
      </c>
      <c r="F279" s="2">
        <v>6300</v>
      </c>
      <c r="G279" s="2" t="s">
        <v>10</v>
      </c>
    </row>
    <row r="280" spans="1:7" x14ac:dyDescent="0.25">
      <c r="A280" s="2" t="s">
        <v>327</v>
      </c>
      <c r="B280" s="3">
        <v>45303</v>
      </c>
      <c r="C280" s="2" t="s">
        <v>63</v>
      </c>
      <c r="D280" s="2" t="s">
        <v>52</v>
      </c>
      <c r="E280" s="4">
        <v>-7523.23</v>
      </c>
      <c r="F280" s="2">
        <v>6000</v>
      </c>
      <c r="G280" s="2" t="s">
        <v>10</v>
      </c>
    </row>
    <row r="281" spans="1:7" x14ac:dyDescent="0.25">
      <c r="A281" s="2" t="s">
        <v>328</v>
      </c>
      <c r="B281" s="3">
        <v>45333</v>
      </c>
      <c r="C281" s="2" t="s">
        <v>21</v>
      </c>
      <c r="D281" s="2" t="s">
        <v>13</v>
      </c>
      <c r="E281" s="4">
        <v>-1508.26</v>
      </c>
      <c r="F281" s="2">
        <v>6400</v>
      </c>
      <c r="G281" s="2" t="s">
        <v>10</v>
      </c>
    </row>
    <row r="282" spans="1:7" x14ac:dyDescent="0.25">
      <c r="A282" s="2" t="s">
        <v>329</v>
      </c>
      <c r="B282" s="3">
        <v>45621</v>
      </c>
      <c r="C282" s="2" t="s">
        <v>12</v>
      </c>
      <c r="D282" s="2" t="s">
        <v>13</v>
      </c>
      <c r="E282" s="4">
        <v>-397.33</v>
      </c>
      <c r="F282" s="2">
        <v>6400</v>
      </c>
      <c r="G282" s="2" t="s">
        <v>10</v>
      </c>
    </row>
    <row r="283" spans="1:7" x14ac:dyDescent="0.25">
      <c r="A283" s="2" t="s">
        <v>330</v>
      </c>
      <c r="B283" s="3">
        <v>45573</v>
      </c>
      <c r="C283" s="2" t="s">
        <v>51</v>
      </c>
      <c r="D283" s="2" t="s">
        <v>52</v>
      </c>
      <c r="E283" s="4">
        <v>-2948.97</v>
      </c>
      <c r="F283" s="2">
        <v>6000</v>
      </c>
      <c r="G283" s="2" t="s">
        <v>10</v>
      </c>
    </row>
    <row r="284" spans="1:7" x14ac:dyDescent="0.25">
      <c r="A284" s="2" t="s">
        <v>331</v>
      </c>
      <c r="B284" s="3">
        <v>45367</v>
      </c>
      <c r="C284" s="2" t="s">
        <v>76</v>
      </c>
      <c r="D284" s="2" t="s">
        <v>28</v>
      </c>
      <c r="E284" s="4">
        <v>-113.18</v>
      </c>
      <c r="F284" s="2">
        <v>6900</v>
      </c>
      <c r="G284" s="2" t="s">
        <v>10</v>
      </c>
    </row>
    <row r="285" spans="1:7" x14ac:dyDescent="0.25">
      <c r="A285" s="2" t="s">
        <v>332</v>
      </c>
      <c r="B285" s="3">
        <v>45295</v>
      </c>
      <c r="C285" s="2" t="s">
        <v>17</v>
      </c>
      <c r="D285" s="2" t="s">
        <v>18</v>
      </c>
      <c r="E285" s="4">
        <v>-13985.64</v>
      </c>
      <c r="F285" s="2">
        <v>5100</v>
      </c>
      <c r="G285" s="2" t="s">
        <v>10</v>
      </c>
    </row>
    <row r="286" spans="1:7" x14ac:dyDescent="0.25">
      <c r="A286" s="2" t="s">
        <v>333</v>
      </c>
      <c r="B286" s="3">
        <v>45581</v>
      </c>
      <c r="C286" s="2" t="s">
        <v>23</v>
      </c>
      <c r="D286" s="2" t="s">
        <v>24</v>
      </c>
      <c r="E286" s="4">
        <v>-428.17</v>
      </c>
      <c r="F286" s="2">
        <v>6300</v>
      </c>
      <c r="G286" s="2" t="s">
        <v>10</v>
      </c>
    </row>
    <row r="287" spans="1:7" x14ac:dyDescent="0.25">
      <c r="A287" s="2" t="s">
        <v>334</v>
      </c>
      <c r="B287" s="3">
        <v>45313</v>
      </c>
      <c r="C287" s="2" t="s">
        <v>127</v>
      </c>
      <c r="D287" s="2" t="s">
        <v>24</v>
      </c>
      <c r="E287" s="4">
        <v>-843.28</v>
      </c>
      <c r="F287" s="2">
        <v>6300</v>
      </c>
      <c r="G287" s="2" t="s">
        <v>10</v>
      </c>
    </row>
    <row r="288" spans="1:7" x14ac:dyDescent="0.25">
      <c r="A288" s="2" t="s">
        <v>335</v>
      </c>
      <c r="B288" s="3">
        <v>45607</v>
      </c>
      <c r="C288" s="2" t="s">
        <v>79</v>
      </c>
      <c r="D288" s="2" t="s">
        <v>31</v>
      </c>
      <c r="E288" s="4">
        <v>34.26</v>
      </c>
      <c r="F288" s="2">
        <v>4900</v>
      </c>
      <c r="G288" s="2" t="s">
        <v>10</v>
      </c>
    </row>
    <row r="289" spans="1:7" x14ac:dyDescent="0.25">
      <c r="A289" s="2" t="s">
        <v>336</v>
      </c>
      <c r="B289" s="3">
        <v>45574</v>
      </c>
      <c r="C289" s="2" t="s">
        <v>15</v>
      </c>
      <c r="D289" s="2" t="s">
        <v>13</v>
      </c>
      <c r="E289" s="4">
        <v>-3477.85</v>
      </c>
      <c r="F289" s="2">
        <v>6400</v>
      </c>
      <c r="G289" s="2" t="s">
        <v>10</v>
      </c>
    </row>
    <row r="290" spans="1:7" x14ac:dyDescent="0.25">
      <c r="A290" s="2" t="s">
        <v>337</v>
      </c>
      <c r="B290" s="3">
        <v>45619</v>
      </c>
      <c r="C290" s="2" t="s">
        <v>81</v>
      </c>
      <c r="D290" s="2" t="s">
        <v>18</v>
      </c>
      <c r="E290" s="4">
        <v>-13716.62</v>
      </c>
      <c r="F290" s="2">
        <v>5100</v>
      </c>
      <c r="G290" s="2" t="s">
        <v>10</v>
      </c>
    </row>
    <row r="291" spans="1:7" x14ac:dyDescent="0.25">
      <c r="A291" s="2" t="s">
        <v>338</v>
      </c>
      <c r="B291" s="3">
        <v>45368</v>
      </c>
      <c r="C291" s="2" t="s">
        <v>23</v>
      </c>
      <c r="D291" s="2" t="s">
        <v>24</v>
      </c>
      <c r="E291" s="4">
        <v>-694.85</v>
      </c>
      <c r="F291" s="2">
        <v>6300</v>
      </c>
      <c r="G291" s="2" t="s">
        <v>10</v>
      </c>
    </row>
    <row r="292" spans="1:7" x14ac:dyDescent="0.25">
      <c r="A292" s="2" t="s">
        <v>339</v>
      </c>
      <c r="B292" s="3">
        <v>45583</v>
      </c>
      <c r="C292" s="2" t="s">
        <v>38</v>
      </c>
      <c r="D292" s="2" t="s">
        <v>39</v>
      </c>
      <c r="E292" s="4">
        <v>-5295.81</v>
      </c>
      <c r="F292" s="2">
        <v>6500</v>
      </c>
      <c r="G292" s="2" t="s">
        <v>10</v>
      </c>
    </row>
    <row r="293" spans="1:7" x14ac:dyDescent="0.25">
      <c r="A293" s="2" t="s">
        <v>340</v>
      </c>
      <c r="B293" s="3">
        <v>45518</v>
      </c>
      <c r="C293" s="2" t="s">
        <v>79</v>
      </c>
      <c r="D293" s="2" t="s">
        <v>31</v>
      </c>
      <c r="E293" s="4">
        <v>154.43</v>
      </c>
      <c r="F293" s="2">
        <v>4900</v>
      </c>
      <c r="G293" s="2" t="s">
        <v>10</v>
      </c>
    </row>
    <row r="294" spans="1:7" x14ac:dyDescent="0.25">
      <c r="A294" s="2" t="s">
        <v>341</v>
      </c>
      <c r="B294" s="3">
        <v>45295</v>
      </c>
      <c r="C294" s="2" t="s">
        <v>195</v>
      </c>
      <c r="D294" s="2" t="s">
        <v>28</v>
      </c>
      <c r="E294" s="4">
        <v>-81.66</v>
      </c>
      <c r="F294" s="2">
        <v>6900</v>
      </c>
      <c r="G294" s="2" t="s">
        <v>10</v>
      </c>
    </row>
    <row r="295" spans="1:7" x14ac:dyDescent="0.25">
      <c r="A295" s="2" t="s">
        <v>342</v>
      </c>
      <c r="B295" s="3">
        <v>45358</v>
      </c>
      <c r="C295" s="2" t="s">
        <v>23</v>
      </c>
      <c r="D295" s="2" t="s">
        <v>24</v>
      </c>
      <c r="E295" s="4">
        <v>-232.7</v>
      </c>
      <c r="F295" s="2">
        <v>6300</v>
      </c>
      <c r="G295" s="2" t="s">
        <v>10</v>
      </c>
    </row>
    <row r="296" spans="1:7" x14ac:dyDescent="0.25">
      <c r="A296" s="2" t="s">
        <v>343</v>
      </c>
      <c r="B296" s="3">
        <v>45378</v>
      </c>
      <c r="C296" s="2" t="s">
        <v>34</v>
      </c>
      <c r="D296" s="2" t="s">
        <v>35</v>
      </c>
      <c r="E296" s="4">
        <v>6516.37</v>
      </c>
      <c r="F296" s="2">
        <v>4000</v>
      </c>
      <c r="G296" s="2" t="s">
        <v>10</v>
      </c>
    </row>
    <row r="297" spans="1:7" x14ac:dyDescent="0.25">
      <c r="A297" s="2" t="s">
        <v>344</v>
      </c>
      <c r="B297" s="3">
        <v>45475</v>
      </c>
      <c r="C297" s="2" t="s">
        <v>34</v>
      </c>
      <c r="D297" s="2" t="s">
        <v>35</v>
      </c>
      <c r="E297" s="4">
        <v>5451.8</v>
      </c>
      <c r="F297" s="2">
        <v>4000</v>
      </c>
      <c r="G297" s="2" t="s">
        <v>10</v>
      </c>
    </row>
    <row r="298" spans="1:7" x14ac:dyDescent="0.25">
      <c r="A298" s="2" t="s">
        <v>345</v>
      </c>
      <c r="B298" s="3">
        <v>45293</v>
      </c>
      <c r="C298" s="2" t="s">
        <v>21</v>
      </c>
      <c r="D298" s="2" t="s">
        <v>13</v>
      </c>
      <c r="E298" s="4">
        <v>-3255.56</v>
      </c>
      <c r="F298" s="2">
        <v>6400</v>
      </c>
      <c r="G298" s="2" t="s">
        <v>10</v>
      </c>
    </row>
    <row r="299" spans="1:7" x14ac:dyDescent="0.25">
      <c r="A299" s="2" t="s">
        <v>346</v>
      </c>
      <c r="B299" s="3">
        <v>45498</v>
      </c>
      <c r="C299" s="2" t="s">
        <v>30</v>
      </c>
      <c r="D299" s="2" t="s">
        <v>31</v>
      </c>
      <c r="E299" s="4">
        <v>141.21</v>
      </c>
      <c r="F299" s="2">
        <v>4900</v>
      </c>
      <c r="G299" s="2" t="s">
        <v>10</v>
      </c>
    </row>
    <row r="300" spans="1:7" x14ac:dyDescent="0.25">
      <c r="A300" s="2" t="s">
        <v>347</v>
      </c>
      <c r="B300" s="3">
        <v>45341</v>
      </c>
      <c r="C300" s="2" t="s">
        <v>23</v>
      </c>
      <c r="D300" s="2" t="s">
        <v>24</v>
      </c>
      <c r="E300" s="4">
        <v>-537.02</v>
      </c>
      <c r="F300" s="2">
        <v>6300</v>
      </c>
      <c r="G300" s="2" t="s">
        <v>10</v>
      </c>
    </row>
    <row r="301" spans="1:7" x14ac:dyDescent="0.25">
      <c r="A301" s="2" t="s">
        <v>348</v>
      </c>
      <c r="B301" s="3">
        <v>45456</v>
      </c>
      <c r="C301" s="2" t="s">
        <v>21</v>
      </c>
      <c r="D301" s="2" t="s">
        <v>13</v>
      </c>
      <c r="E301" s="4">
        <v>-593.44000000000005</v>
      </c>
      <c r="F301" s="2">
        <v>6400</v>
      </c>
      <c r="G301" s="2" t="s">
        <v>10</v>
      </c>
    </row>
    <row r="302" spans="1:7" x14ac:dyDescent="0.25">
      <c r="A302" s="2" t="s">
        <v>349</v>
      </c>
      <c r="B302" s="3">
        <v>45365</v>
      </c>
      <c r="C302" s="2" t="s">
        <v>42</v>
      </c>
      <c r="D302" s="2" t="s">
        <v>39</v>
      </c>
      <c r="E302" s="4">
        <v>-904.35</v>
      </c>
      <c r="F302" s="2">
        <v>6500</v>
      </c>
      <c r="G302" s="2" t="s">
        <v>10</v>
      </c>
    </row>
    <row r="303" spans="1:7" x14ac:dyDescent="0.25">
      <c r="A303" s="2" t="s">
        <v>350</v>
      </c>
      <c r="B303" s="3">
        <v>45655</v>
      </c>
      <c r="C303" s="2" t="s">
        <v>30</v>
      </c>
      <c r="D303" s="2" t="s">
        <v>31</v>
      </c>
      <c r="E303" s="4">
        <v>213.08</v>
      </c>
      <c r="F303" s="2">
        <v>4900</v>
      </c>
      <c r="G303" s="2" t="s">
        <v>10</v>
      </c>
    </row>
    <row r="304" spans="1:7" x14ac:dyDescent="0.25">
      <c r="A304" s="2" t="s">
        <v>351</v>
      </c>
      <c r="B304" s="3">
        <v>45423</v>
      </c>
      <c r="C304" s="2" t="s">
        <v>71</v>
      </c>
      <c r="D304" s="2" t="s">
        <v>59</v>
      </c>
      <c r="E304" s="4">
        <v>-1033.8</v>
      </c>
      <c r="F304" s="2">
        <v>6200</v>
      </c>
      <c r="G304" s="2" t="s">
        <v>10</v>
      </c>
    </row>
    <row r="305" spans="1:7" x14ac:dyDescent="0.25">
      <c r="A305" s="2" t="s">
        <v>352</v>
      </c>
      <c r="B305" s="3">
        <v>45511</v>
      </c>
      <c r="C305" s="2" t="s">
        <v>58</v>
      </c>
      <c r="D305" s="2" t="s">
        <v>59</v>
      </c>
      <c r="E305" s="4">
        <v>-413.82</v>
      </c>
      <c r="F305" s="2">
        <v>6200</v>
      </c>
      <c r="G305" s="2" t="s">
        <v>10</v>
      </c>
    </row>
    <row r="306" spans="1:7" x14ac:dyDescent="0.25">
      <c r="A306" s="2" t="s">
        <v>353</v>
      </c>
      <c r="B306" s="3">
        <v>45475</v>
      </c>
      <c r="C306" s="2" t="s">
        <v>56</v>
      </c>
      <c r="D306" s="2" t="s">
        <v>18</v>
      </c>
      <c r="E306" s="4">
        <v>-5266.96</v>
      </c>
      <c r="F306" s="2">
        <v>5100</v>
      </c>
      <c r="G306" s="2" t="s">
        <v>10</v>
      </c>
    </row>
    <row r="307" spans="1:7" x14ac:dyDescent="0.25">
      <c r="A307" s="2" t="s">
        <v>354</v>
      </c>
      <c r="B307" s="3">
        <v>45551</v>
      </c>
      <c r="C307" s="2" t="s">
        <v>94</v>
      </c>
      <c r="D307" s="2" t="s">
        <v>24</v>
      </c>
      <c r="E307" s="4">
        <v>-413.22</v>
      </c>
      <c r="F307" s="2">
        <v>6300</v>
      </c>
      <c r="G307" s="2" t="s">
        <v>10</v>
      </c>
    </row>
    <row r="308" spans="1:7" x14ac:dyDescent="0.25">
      <c r="A308" s="2" t="s">
        <v>355</v>
      </c>
      <c r="B308" s="3">
        <v>45521</v>
      </c>
      <c r="C308" s="2" t="s">
        <v>12</v>
      </c>
      <c r="D308" s="2" t="s">
        <v>13</v>
      </c>
      <c r="E308" s="4">
        <v>-2140.2399999999998</v>
      </c>
      <c r="F308" s="2">
        <v>6400</v>
      </c>
      <c r="G308" s="2" t="s">
        <v>10</v>
      </c>
    </row>
    <row r="309" spans="1:7" x14ac:dyDescent="0.25">
      <c r="A309" s="2" t="s">
        <v>356</v>
      </c>
      <c r="B309" s="3">
        <v>45448</v>
      </c>
      <c r="C309" s="2" t="s">
        <v>42</v>
      </c>
      <c r="D309" s="2" t="s">
        <v>39</v>
      </c>
      <c r="E309" s="4">
        <v>-3916.42</v>
      </c>
      <c r="F309" s="2">
        <v>6500</v>
      </c>
      <c r="G309" s="2" t="s">
        <v>10</v>
      </c>
    </row>
    <row r="310" spans="1:7" x14ac:dyDescent="0.25">
      <c r="A310" s="2" t="s">
        <v>357</v>
      </c>
      <c r="B310" s="3">
        <v>45605</v>
      </c>
      <c r="C310" s="2" t="s">
        <v>23</v>
      </c>
      <c r="D310" s="2" t="s">
        <v>24</v>
      </c>
      <c r="E310" s="4">
        <v>-179.56</v>
      </c>
      <c r="F310" s="2">
        <v>6300</v>
      </c>
      <c r="G310" s="2" t="s">
        <v>10</v>
      </c>
    </row>
    <row r="311" spans="1:7" x14ac:dyDescent="0.25">
      <c r="A311" s="2" t="s">
        <v>358</v>
      </c>
      <c r="B311" s="3">
        <v>45575</v>
      </c>
      <c r="C311" s="2" t="s">
        <v>63</v>
      </c>
      <c r="D311" s="2" t="s">
        <v>52</v>
      </c>
      <c r="E311" s="4">
        <v>-4668.53</v>
      </c>
      <c r="F311" s="2">
        <v>6000</v>
      </c>
      <c r="G311" s="2" t="s">
        <v>10</v>
      </c>
    </row>
    <row r="312" spans="1:7" x14ac:dyDescent="0.25">
      <c r="A312" s="2" t="s">
        <v>359</v>
      </c>
      <c r="B312" s="3">
        <v>45484</v>
      </c>
      <c r="C312" s="2" t="s">
        <v>94</v>
      </c>
      <c r="D312" s="2" t="s">
        <v>24</v>
      </c>
      <c r="E312" s="4">
        <v>-805.39</v>
      </c>
      <c r="F312" s="2">
        <v>6300</v>
      </c>
      <c r="G312" s="2" t="s">
        <v>10</v>
      </c>
    </row>
    <row r="313" spans="1:7" x14ac:dyDescent="0.25">
      <c r="A313" s="2" t="s">
        <v>360</v>
      </c>
      <c r="B313" s="3">
        <v>45651</v>
      </c>
      <c r="C313" s="2" t="s">
        <v>42</v>
      </c>
      <c r="D313" s="2" t="s">
        <v>39</v>
      </c>
      <c r="E313" s="4">
        <v>-1832.46</v>
      </c>
      <c r="F313" s="2">
        <v>6500</v>
      </c>
      <c r="G313" s="2" t="s">
        <v>10</v>
      </c>
    </row>
    <row r="314" spans="1:7" x14ac:dyDescent="0.25">
      <c r="A314" s="2" t="s">
        <v>361</v>
      </c>
      <c r="B314" s="3">
        <v>45339</v>
      </c>
      <c r="C314" s="2" t="s">
        <v>116</v>
      </c>
      <c r="D314" s="2" t="s">
        <v>35</v>
      </c>
      <c r="E314" s="4">
        <v>6954.51</v>
      </c>
      <c r="F314" s="2">
        <v>4000</v>
      </c>
      <c r="G314" s="2" t="s">
        <v>10</v>
      </c>
    </row>
    <row r="315" spans="1:7" x14ac:dyDescent="0.25">
      <c r="A315" s="2" t="s">
        <v>122</v>
      </c>
      <c r="B315" s="3">
        <v>45544</v>
      </c>
      <c r="C315" s="2" t="s">
        <v>63</v>
      </c>
      <c r="D315" s="2" t="s">
        <v>52</v>
      </c>
      <c r="E315" s="4">
        <v>-11219.71</v>
      </c>
      <c r="F315" s="2">
        <v>6000</v>
      </c>
      <c r="G315" s="2" t="s">
        <v>123</v>
      </c>
    </row>
    <row r="316" spans="1:7" x14ac:dyDescent="0.25">
      <c r="A316" s="2" t="s">
        <v>362</v>
      </c>
      <c r="B316" s="3">
        <v>45295</v>
      </c>
      <c r="C316" s="2" t="s">
        <v>69</v>
      </c>
      <c r="D316" s="2" t="s">
        <v>39</v>
      </c>
      <c r="E316" s="4">
        <v>-2734.71</v>
      </c>
      <c r="F316" s="2">
        <v>6500</v>
      </c>
      <c r="G316" s="2" t="s">
        <v>10</v>
      </c>
    </row>
    <row r="317" spans="1:7" x14ac:dyDescent="0.25">
      <c r="A317" s="2" t="s">
        <v>363</v>
      </c>
      <c r="B317" s="3">
        <v>45481</v>
      </c>
      <c r="C317" s="2" t="s">
        <v>44</v>
      </c>
      <c r="D317" s="2" t="s">
        <v>9</v>
      </c>
      <c r="E317" s="4">
        <v>-5181.8</v>
      </c>
      <c r="F317" s="2">
        <v>6100</v>
      </c>
      <c r="G317" s="2" t="s">
        <v>10</v>
      </c>
    </row>
    <row r="318" spans="1:7" x14ac:dyDescent="0.25">
      <c r="A318" s="2" t="s">
        <v>364</v>
      </c>
      <c r="B318" s="3">
        <v>45591</v>
      </c>
      <c r="C318" s="2" t="s">
        <v>63</v>
      </c>
      <c r="D318" s="2" t="s">
        <v>52</v>
      </c>
      <c r="E318" s="4">
        <v>-11446.86</v>
      </c>
      <c r="F318" s="2">
        <v>6000</v>
      </c>
      <c r="G318" s="2" t="s">
        <v>10</v>
      </c>
    </row>
    <row r="319" spans="1:7" x14ac:dyDescent="0.25">
      <c r="A319" s="2" t="s">
        <v>365</v>
      </c>
      <c r="B319" s="3">
        <v>45326</v>
      </c>
      <c r="C319" s="2" t="s">
        <v>34</v>
      </c>
      <c r="D319" s="2" t="s">
        <v>35</v>
      </c>
      <c r="E319" s="4">
        <v>6585.96</v>
      </c>
      <c r="F319" s="2">
        <v>4000</v>
      </c>
      <c r="G319" s="2" t="s">
        <v>10</v>
      </c>
    </row>
    <row r="320" spans="1:7" x14ac:dyDescent="0.25">
      <c r="A320" s="2" t="s">
        <v>366</v>
      </c>
      <c r="B320" s="3">
        <v>45649</v>
      </c>
      <c r="C320" s="2" t="s">
        <v>103</v>
      </c>
      <c r="D320" s="2" t="s">
        <v>35</v>
      </c>
      <c r="E320" s="4">
        <v>5202.07</v>
      </c>
      <c r="F320" s="2">
        <v>4000</v>
      </c>
      <c r="G320" s="2" t="s">
        <v>10</v>
      </c>
    </row>
    <row r="321" spans="1:7" x14ac:dyDescent="0.25">
      <c r="A321" s="2" t="s">
        <v>367</v>
      </c>
      <c r="B321" s="3">
        <v>45432</v>
      </c>
      <c r="C321" s="2" t="s">
        <v>146</v>
      </c>
      <c r="D321" s="2" t="s">
        <v>31</v>
      </c>
      <c r="E321" s="4">
        <v>268.8</v>
      </c>
      <c r="F321" s="2">
        <v>4900</v>
      </c>
      <c r="G321" s="2" t="s">
        <v>10</v>
      </c>
    </row>
    <row r="322" spans="1:7" x14ac:dyDescent="0.25">
      <c r="A322" s="2" t="s">
        <v>368</v>
      </c>
      <c r="B322" s="3">
        <v>45612</v>
      </c>
      <c r="C322" s="2" t="s">
        <v>30</v>
      </c>
      <c r="D322" s="2" t="s">
        <v>31</v>
      </c>
      <c r="E322" s="4">
        <v>267.76</v>
      </c>
      <c r="F322" s="2">
        <v>4900</v>
      </c>
      <c r="G322" s="2" t="s">
        <v>10</v>
      </c>
    </row>
    <row r="323" spans="1:7" x14ac:dyDescent="0.25">
      <c r="A323" s="2" t="s">
        <v>369</v>
      </c>
      <c r="B323" s="3">
        <v>45402</v>
      </c>
      <c r="C323" s="2" t="s">
        <v>94</v>
      </c>
      <c r="D323" s="2" t="s">
        <v>24</v>
      </c>
      <c r="E323" s="4">
        <v>-329.95</v>
      </c>
      <c r="F323" s="2">
        <v>6300</v>
      </c>
      <c r="G323" s="2" t="s">
        <v>10</v>
      </c>
    </row>
    <row r="324" spans="1:7" x14ac:dyDescent="0.25">
      <c r="A324" s="2" t="s">
        <v>370</v>
      </c>
      <c r="B324" s="3">
        <v>45393</v>
      </c>
      <c r="C324" s="2" t="s">
        <v>34</v>
      </c>
      <c r="D324" s="2" t="s">
        <v>35</v>
      </c>
      <c r="E324" s="4">
        <v>2650.1</v>
      </c>
      <c r="F324" s="2">
        <v>4000</v>
      </c>
      <c r="G324" s="2" t="s">
        <v>10</v>
      </c>
    </row>
    <row r="325" spans="1:7" x14ac:dyDescent="0.25">
      <c r="A325" s="2" t="s">
        <v>371</v>
      </c>
      <c r="B325" s="3">
        <v>45413</v>
      </c>
      <c r="C325" s="2" t="s">
        <v>12</v>
      </c>
      <c r="D325" s="2" t="s">
        <v>13</v>
      </c>
      <c r="E325" s="4">
        <v>-1132.22</v>
      </c>
      <c r="F325" s="2">
        <v>6400</v>
      </c>
      <c r="G325" s="2" t="s">
        <v>10</v>
      </c>
    </row>
    <row r="326" spans="1:7" x14ac:dyDescent="0.25">
      <c r="A326" s="2" t="s">
        <v>372</v>
      </c>
      <c r="B326" s="3">
        <v>45292</v>
      </c>
      <c r="C326" s="2" t="s">
        <v>56</v>
      </c>
      <c r="D326" s="2" t="s">
        <v>18</v>
      </c>
      <c r="E326" s="4">
        <v>-2287.1999999999998</v>
      </c>
      <c r="F326" s="2">
        <v>5100</v>
      </c>
      <c r="G326" s="2" t="s">
        <v>10</v>
      </c>
    </row>
    <row r="327" spans="1:7" x14ac:dyDescent="0.25">
      <c r="A327" s="2" t="s">
        <v>373</v>
      </c>
      <c r="B327" s="3">
        <v>45611</v>
      </c>
      <c r="C327" s="2" t="s">
        <v>12</v>
      </c>
      <c r="D327" s="2" t="s">
        <v>13</v>
      </c>
      <c r="E327" s="4">
        <v>-481.86</v>
      </c>
      <c r="F327" s="2">
        <v>6400</v>
      </c>
      <c r="G327" s="2" t="s">
        <v>10</v>
      </c>
    </row>
    <row r="328" spans="1:7" x14ac:dyDescent="0.25">
      <c r="A328" s="2" t="s">
        <v>374</v>
      </c>
      <c r="B328" s="3">
        <v>45307</v>
      </c>
      <c r="C328" s="2" t="s">
        <v>195</v>
      </c>
      <c r="D328" s="2" t="s">
        <v>28</v>
      </c>
      <c r="E328" s="4">
        <v>-59.63</v>
      </c>
      <c r="F328" s="2">
        <v>6900</v>
      </c>
      <c r="G328" s="2" t="s">
        <v>10</v>
      </c>
    </row>
    <row r="329" spans="1:7" x14ac:dyDescent="0.25">
      <c r="A329" s="2" t="s">
        <v>375</v>
      </c>
      <c r="B329" s="3">
        <v>45445</v>
      </c>
      <c r="C329" s="2" t="s">
        <v>116</v>
      </c>
      <c r="D329" s="2" t="s">
        <v>35</v>
      </c>
      <c r="E329" s="4">
        <v>19795.11</v>
      </c>
      <c r="F329" s="2">
        <v>4000</v>
      </c>
      <c r="G329" s="2" t="s">
        <v>10</v>
      </c>
    </row>
    <row r="330" spans="1:7" x14ac:dyDescent="0.25">
      <c r="A330" s="2" t="s">
        <v>376</v>
      </c>
      <c r="B330" s="3">
        <v>45523</v>
      </c>
      <c r="C330" s="2" t="s">
        <v>34</v>
      </c>
      <c r="D330" s="2" t="s">
        <v>35</v>
      </c>
      <c r="E330" s="4">
        <v>18714.77</v>
      </c>
      <c r="F330" s="2">
        <v>4000</v>
      </c>
      <c r="G330" s="2" t="s">
        <v>10</v>
      </c>
    </row>
    <row r="331" spans="1:7" x14ac:dyDescent="0.25">
      <c r="A331" s="2" t="s">
        <v>377</v>
      </c>
      <c r="B331" s="3">
        <v>45555</v>
      </c>
      <c r="C331" s="2" t="s">
        <v>81</v>
      </c>
      <c r="D331" s="2" t="s">
        <v>18</v>
      </c>
      <c r="E331" s="4">
        <v>-2976.62</v>
      </c>
      <c r="F331" s="2">
        <v>5100</v>
      </c>
      <c r="G331" s="2" t="s">
        <v>10</v>
      </c>
    </row>
    <row r="332" spans="1:7" x14ac:dyDescent="0.25">
      <c r="A332" s="2" t="s">
        <v>378</v>
      </c>
      <c r="B332" s="3">
        <v>45376</v>
      </c>
      <c r="C332" s="2" t="s">
        <v>48</v>
      </c>
      <c r="D332" s="2" t="s">
        <v>9</v>
      </c>
      <c r="E332" s="4">
        <v>-5350.44</v>
      </c>
      <c r="F332" s="2">
        <v>6100</v>
      </c>
      <c r="G332" s="2" t="s">
        <v>10</v>
      </c>
    </row>
    <row r="333" spans="1:7" x14ac:dyDescent="0.25">
      <c r="A333" s="2" t="s">
        <v>379</v>
      </c>
      <c r="B333" s="3">
        <v>45598</v>
      </c>
      <c r="C333" s="2" t="s">
        <v>127</v>
      </c>
      <c r="D333" s="2" t="s">
        <v>24</v>
      </c>
      <c r="E333" s="4">
        <v>-408.15</v>
      </c>
      <c r="F333" s="2">
        <v>6300</v>
      </c>
      <c r="G333" s="2" t="s">
        <v>10</v>
      </c>
    </row>
    <row r="334" spans="1:7" x14ac:dyDescent="0.25">
      <c r="A334" s="2" t="s">
        <v>380</v>
      </c>
      <c r="B334" s="3">
        <v>45499</v>
      </c>
      <c r="C334" s="2" t="s">
        <v>146</v>
      </c>
      <c r="D334" s="2" t="s">
        <v>31</v>
      </c>
      <c r="E334" s="4">
        <v>17.7</v>
      </c>
      <c r="F334" s="2">
        <v>4900</v>
      </c>
      <c r="G334" s="2" t="s">
        <v>10</v>
      </c>
    </row>
    <row r="335" spans="1:7" x14ac:dyDescent="0.25">
      <c r="A335" s="2" t="s">
        <v>381</v>
      </c>
      <c r="B335" s="3">
        <v>45458</v>
      </c>
      <c r="C335" s="2" t="s">
        <v>63</v>
      </c>
      <c r="D335" s="2" t="s">
        <v>52</v>
      </c>
      <c r="E335" s="4">
        <v>-5519.22</v>
      </c>
      <c r="F335" s="2">
        <v>6000</v>
      </c>
      <c r="G335" s="2" t="s">
        <v>10</v>
      </c>
    </row>
    <row r="336" spans="1:7" x14ac:dyDescent="0.25">
      <c r="A336" s="2" t="s">
        <v>382</v>
      </c>
      <c r="B336" s="3">
        <v>45574</v>
      </c>
      <c r="C336" s="2" t="s">
        <v>48</v>
      </c>
      <c r="D336" s="2" t="s">
        <v>9</v>
      </c>
      <c r="E336" s="4">
        <v>-3183.56</v>
      </c>
      <c r="F336" s="2">
        <v>6100</v>
      </c>
      <c r="G336" s="2" t="s">
        <v>10</v>
      </c>
    </row>
    <row r="337" spans="1:7" x14ac:dyDescent="0.25">
      <c r="A337" s="2" t="s">
        <v>383</v>
      </c>
      <c r="B337" s="3">
        <v>45464</v>
      </c>
      <c r="C337" s="2" t="s">
        <v>34</v>
      </c>
      <c r="D337" s="2" t="s">
        <v>35</v>
      </c>
      <c r="E337" s="4">
        <v>4329.1400000000003</v>
      </c>
      <c r="F337" s="2">
        <v>4000</v>
      </c>
      <c r="G337" s="2" t="s">
        <v>10</v>
      </c>
    </row>
    <row r="338" spans="1:7" x14ac:dyDescent="0.25">
      <c r="A338" s="2" t="s">
        <v>384</v>
      </c>
      <c r="B338" s="3">
        <v>45419</v>
      </c>
      <c r="C338" s="2" t="s">
        <v>12</v>
      </c>
      <c r="D338" s="2" t="s">
        <v>13</v>
      </c>
      <c r="E338" s="4">
        <v>-1612.9</v>
      </c>
      <c r="F338" s="2">
        <v>6400</v>
      </c>
      <c r="G338" s="2" t="s">
        <v>10</v>
      </c>
    </row>
    <row r="339" spans="1:7" x14ac:dyDescent="0.25">
      <c r="A339" s="2" t="s">
        <v>385</v>
      </c>
      <c r="B339" s="3">
        <v>45650</v>
      </c>
      <c r="C339" s="2" t="s">
        <v>94</v>
      </c>
      <c r="D339" s="2" t="s">
        <v>24</v>
      </c>
      <c r="E339" s="4">
        <v>-429.87</v>
      </c>
      <c r="F339" s="2">
        <v>6300</v>
      </c>
      <c r="G339" s="2" t="s">
        <v>10</v>
      </c>
    </row>
    <row r="340" spans="1:7" x14ac:dyDescent="0.25">
      <c r="A340" s="2" t="s">
        <v>386</v>
      </c>
      <c r="B340" s="3">
        <v>45292</v>
      </c>
      <c r="C340" s="2" t="s">
        <v>56</v>
      </c>
      <c r="D340" s="2" t="s">
        <v>18</v>
      </c>
      <c r="E340" s="4">
        <v>-8067.87</v>
      </c>
      <c r="F340" s="2">
        <v>5100</v>
      </c>
      <c r="G340" s="2" t="s">
        <v>10</v>
      </c>
    </row>
    <row r="341" spans="1:7" x14ac:dyDescent="0.25">
      <c r="A341" s="2" t="s">
        <v>387</v>
      </c>
      <c r="B341" s="3">
        <v>45294</v>
      </c>
      <c r="C341" s="2" t="s">
        <v>8</v>
      </c>
      <c r="D341" s="2" t="s">
        <v>9</v>
      </c>
      <c r="E341" s="4">
        <v>-5716.7</v>
      </c>
      <c r="F341" s="2">
        <v>6100</v>
      </c>
      <c r="G341" s="2" t="s">
        <v>10</v>
      </c>
    </row>
    <row r="342" spans="1:7" x14ac:dyDescent="0.25">
      <c r="A342" s="2" t="s">
        <v>388</v>
      </c>
      <c r="B342" s="3">
        <v>45521</v>
      </c>
      <c r="C342" s="2" t="s">
        <v>56</v>
      </c>
      <c r="D342" s="2" t="s">
        <v>18</v>
      </c>
      <c r="E342" s="4">
        <v>-6248.31</v>
      </c>
      <c r="F342" s="2">
        <v>5100</v>
      </c>
      <c r="G342" s="2" t="s">
        <v>10</v>
      </c>
    </row>
    <row r="343" spans="1:7" x14ac:dyDescent="0.25">
      <c r="A343" s="2" t="s">
        <v>389</v>
      </c>
      <c r="B343" s="3">
        <v>45466</v>
      </c>
      <c r="C343" s="2" t="s">
        <v>116</v>
      </c>
      <c r="D343" s="2" t="s">
        <v>35</v>
      </c>
      <c r="E343" s="4">
        <v>23275.99</v>
      </c>
      <c r="F343" s="2">
        <v>4000</v>
      </c>
      <c r="G343" s="2" t="s">
        <v>10</v>
      </c>
    </row>
    <row r="344" spans="1:7" x14ac:dyDescent="0.25">
      <c r="A344" s="2" t="s">
        <v>390</v>
      </c>
      <c r="B344" s="3">
        <v>45443</v>
      </c>
      <c r="C344" s="2" t="s">
        <v>76</v>
      </c>
      <c r="D344" s="2" t="s">
        <v>28</v>
      </c>
      <c r="E344" s="4">
        <v>-71.19</v>
      </c>
      <c r="F344" s="2">
        <v>6900</v>
      </c>
      <c r="G344" s="2" t="s">
        <v>10</v>
      </c>
    </row>
    <row r="345" spans="1:7" x14ac:dyDescent="0.25">
      <c r="A345" s="2" t="s">
        <v>391</v>
      </c>
      <c r="B345" s="3">
        <v>45566</v>
      </c>
      <c r="C345" s="2" t="s">
        <v>21</v>
      </c>
      <c r="D345" s="2" t="s">
        <v>13</v>
      </c>
      <c r="E345" s="4">
        <v>-2927.25</v>
      </c>
      <c r="F345" s="2">
        <v>6400</v>
      </c>
      <c r="G345" s="2" t="s">
        <v>10</v>
      </c>
    </row>
    <row r="346" spans="1:7" x14ac:dyDescent="0.25">
      <c r="A346" s="2" t="s">
        <v>392</v>
      </c>
      <c r="B346" s="3">
        <v>45496</v>
      </c>
      <c r="C346" s="2" t="s">
        <v>44</v>
      </c>
      <c r="D346" s="2" t="s">
        <v>9</v>
      </c>
      <c r="E346" s="4">
        <v>-3543.71</v>
      </c>
      <c r="F346" s="2">
        <v>6100</v>
      </c>
      <c r="G346" s="2" t="s">
        <v>10</v>
      </c>
    </row>
    <row r="347" spans="1:7" x14ac:dyDescent="0.25">
      <c r="A347" s="2" t="s">
        <v>393</v>
      </c>
      <c r="B347" s="3">
        <v>45320</v>
      </c>
      <c r="C347" s="2" t="s">
        <v>71</v>
      </c>
      <c r="D347" s="2" t="s">
        <v>59</v>
      </c>
      <c r="E347" s="4">
        <v>-1172.55</v>
      </c>
      <c r="F347" s="2">
        <v>6200</v>
      </c>
      <c r="G347" s="2" t="s">
        <v>10</v>
      </c>
    </row>
    <row r="348" spans="1:7" x14ac:dyDescent="0.25">
      <c r="A348" s="2" t="s">
        <v>394</v>
      </c>
      <c r="B348" s="3">
        <v>45403</v>
      </c>
      <c r="C348" s="2" t="s">
        <v>17</v>
      </c>
      <c r="D348" s="2" t="s">
        <v>18</v>
      </c>
      <c r="E348" s="4">
        <v>-2032.89</v>
      </c>
      <c r="F348" s="2">
        <v>5100</v>
      </c>
      <c r="G348" s="2" t="s">
        <v>10</v>
      </c>
    </row>
    <row r="349" spans="1:7" x14ac:dyDescent="0.25">
      <c r="A349" s="2" t="s">
        <v>395</v>
      </c>
      <c r="B349" s="3">
        <v>45551</v>
      </c>
      <c r="C349" s="2" t="s">
        <v>127</v>
      </c>
      <c r="D349" s="2" t="s">
        <v>24</v>
      </c>
      <c r="E349" s="4">
        <v>-611.23</v>
      </c>
      <c r="F349" s="2">
        <v>6300</v>
      </c>
      <c r="G349" s="2" t="s">
        <v>10</v>
      </c>
    </row>
    <row r="350" spans="1:7" x14ac:dyDescent="0.25">
      <c r="A350" s="2" t="s">
        <v>396</v>
      </c>
      <c r="B350" s="3">
        <v>45641</v>
      </c>
      <c r="C350" s="2" t="s">
        <v>103</v>
      </c>
      <c r="D350" s="2" t="s">
        <v>35</v>
      </c>
      <c r="E350" s="4">
        <v>22379.26</v>
      </c>
      <c r="F350" s="2">
        <v>4000</v>
      </c>
      <c r="G350" s="2" t="s">
        <v>10</v>
      </c>
    </row>
    <row r="351" spans="1:7" x14ac:dyDescent="0.25">
      <c r="A351" s="2" t="s">
        <v>397</v>
      </c>
      <c r="B351" s="3">
        <v>45309</v>
      </c>
      <c r="C351" s="2" t="s">
        <v>76</v>
      </c>
      <c r="D351" s="2" t="s">
        <v>28</v>
      </c>
      <c r="E351" s="4">
        <v>-125.29</v>
      </c>
      <c r="F351" s="2">
        <v>6900</v>
      </c>
      <c r="G351" s="2" t="s">
        <v>10</v>
      </c>
    </row>
    <row r="352" spans="1:7" x14ac:dyDescent="0.25">
      <c r="A352" s="2" t="s">
        <v>398</v>
      </c>
      <c r="B352" s="3">
        <v>45514</v>
      </c>
      <c r="C352" s="2" t="s">
        <v>146</v>
      </c>
      <c r="D352" s="2" t="s">
        <v>31</v>
      </c>
      <c r="E352" s="4">
        <v>239.22</v>
      </c>
      <c r="F352" s="2">
        <v>4900</v>
      </c>
      <c r="G352" s="2" t="s">
        <v>10</v>
      </c>
    </row>
    <row r="353" spans="1:7" x14ac:dyDescent="0.25">
      <c r="A353" s="2" t="s">
        <v>399</v>
      </c>
      <c r="B353" s="3">
        <v>45559</v>
      </c>
      <c r="C353" s="2" t="s">
        <v>69</v>
      </c>
      <c r="D353" s="2" t="s">
        <v>39</v>
      </c>
      <c r="E353" s="4">
        <v>-3604.39</v>
      </c>
      <c r="F353" s="2">
        <v>6500</v>
      </c>
      <c r="G353" s="2" t="s">
        <v>10</v>
      </c>
    </row>
    <row r="354" spans="1:7" x14ac:dyDescent="0.25">
      <c r="A354" s="2" t="s">
        <v>400</v>
      </c>
      <c r="B354" s="3">
        <v>45306</v>
      </c>
      <c r="C354" s="2" t="s">
        <v>127</v>
      </c>
      <c r="D354" s="2" t="s">
        <v>24</v>
      </c>
      <c r="E354" s="4">
        <v>-863.66</v>
      </c>
      <c r="F354" s="2">
        <v>6300</v>
      </c>
      <c r="G354" s="2" t="s">
        <v>10</v>
      </c>
    </row>
    <row r="355" spans="1:7" x14ac:dyDescent="0.25">
      <c r="A355" s="2" t="s">
        <v>401</v>
      </c>
      <c r="B355" s="3">
        <v>45552</v>
      </c>
      <c r="C355" s="2" t="s">
        <v>38</v>
      </c>
      <c r="D355" s="2" t="s">
        <v>39</v>
      </c>
      <c r="E355" s="4">
        <v>-4046.88</v>
      </c>
      <c r="F355" s="2">
        <v>6500</v>
      </c>
      <c r="G355" s="2" t="s">
        <v>10</v>
      </c>
    </row>
    <row r="356" spans="1:7" x14ac:dyDescent="0.25">
      <c r="A356" s="2" t="s">
        <v>402</v>
      </c>
      <c r="B356" s="3">
        <v>45537</v>
      </c>
      <c r="C356" s="2" t="s">
        <v>30</v>
      </c>
      <c r="D356" s="2" t="s">
        <v>31</v>
      </c>
      <c r="E356" s="4">
        <v>95.05</v>
      </c>
      <c r="F356" s="2">
        <v>4900</v>
      </c>
      <c r="G356" s="2" t="s">
        <v>10</v>
      </c>
    </row>
    <row r="357" spans="1:7" x14ac:dyDescent="0.25">
      <c r="A357" s="2" t="s">
        <v>403</v>
      </c>
      <c r="B357" s="3">
        <v>45338</v>
      </c>
      <c r="C357" s="2" t="s">
        <v>51</v>
      </c>
      <c r="D357" s="2" t="s">
        <v>52</v>
      </c>
      <c r="E357" s="4">
        <v>-2487.2199999999998</v>
      </c>
      <c r="F357" s="2">
        <v>6000</v>
      </c>
      <c r="G357" s="2" t="s">
        <v>10</v>
      </c>
    </row>
    <row r="358" spans="1:7" x14ac:dyDescent="0.25">
      <c r="A358" s="2" t="s">
        <v>404</v>
      </c>
      <c r="B358" s="3">
        <v>45417</v>
      </c>
      <c r="C358" s="2" t="s">
        <v>17</v>
      </c>
      <c r="D358" s="2" t="s">
        <v>18</v>
      </c>
      <c r="E358" s="4">
        <v>-9075.49</v>
      </c>
      <c r="F358" s="2">
        <v>5100</v>
      </c>
      <c r="G358" s="2" t="s">
        <v>10</v>
      </c>
    </row>
    <row r="359" spans="1:7" x14ac:dyDescent="0.25">
      <c r="A359" s="2" t="s">
        <v>405</v>
      </c>
      <c r="B359" s="3">
        <v>45593</v>
      </c>
      <c r="C359" s="2" t="s">
        <v>195</v>
      </c>
      <c r="D359" s="2" t="s">
        <v>28</v>
      </c>
      <c r="E359" s="4">
        <v>-146.84</v>
      </c>
      <c r="F359" s="2">
        <v>6900</v>
      </c>
      <c r="G359" s="2" t="s">
        <v>10</v>
      </c>
    </row>
    <row r="360" spans="1:7" x14ac:dyDescent="0.25">
      <c r="A360" s="2" t="s">
        <v>406</v>
      </c>
      <c r="B360" s="3">
        <v>45631</v>
      </c>
      <c r="C360" s="2" t="s">
        <v>48</v>
      </c>
      <c r="D360" s="2" t="s">
        <v>9</v>
      </c>
      <c r="E360" s="4">
        <v>-1500.4</v>
      </c>
      <c r="F360" s="2">
        <v>6100</v>
      </c>
      <c r="G360" s="2" t="s">
        <v>10</v>
      </c>
    </row>
    <row r="361" spans="1:7" x14ac:dyDescent="0.25">
      <c r="A361" s="2" t="s">
        <v>407</v>
      </c>
      <c r="B361" s="3">
        <v>45401</v>
      </c>
      <c r="C361" s="2" t="s">
        <v>97</v>
      </c>
      <c r="D361" s="2" t="s">
        <v>52</v>
      </c>
      <c r="E361" s="4">
        <v>-5649.96</v>
      </c>
      <c r="F361" s="2">
        <v>6000</v>
      </c>
      <c r="G361" s="2" t="s">
        <v>10</v>
      </c>
    </row>
    <row r="362" spans="1:7" x14ac:dyDescent="0.25">
      <c r="A362" s="2" t="s">
        <v>408</v>
      </c>
      <c r="B362" s="3">
        <v>45307</v>
      </c>
      <c r="C362" s="2" t="s">
        <v>116</v>
      </c>
      <c r="D362" s="2" t="s">
        <v>35</v>
      </c>
      <c r="E362" s="4">
        <v>3897.04</v>
      </c>
      <c r="F362" s="2">
        <v>4000</v>
      </c>
      <c r="G362" s="2" t="s">
        <v>10</v>
      </c>
    </row>
    <row r="363" spans="1:7" x14ac:dyDescent="0.25">
      <c r="A363" s="2" t="s">
        <v>409</v>
      </c>
      <c r="B363" s="3">
        <v>45550</v>
      </c>
      <c r="C363" s="2" t="s">
        <v>27</v>
      </c>
      <c r="D363" s="2" t="s">
        <v>28</v>
      </c>
      <c r="E363" s="4">
        <v>-37.54</v>
      </c>
      <c r="F363" s="2">
        <v>6900</v>
      </c>
      <c r="G363" s="2" t="s">
        <v>10</v>
      </c>
    </row>
    <row r="364" spans="1:7" x14ac:dyDescent="0.25">
      <c r="A364" s="2" t="s">
        <v>410</v>
      </c>
      <c r="B364" s="3">
        <v>45586</v>
      </c>
      <c r="C364" s="2" t="s">
        <v>97</v>
      </c>
      <c r="D364" s="2" t="s">
        <v>52</v>
      </c>
      <c r="E364" s="4">
        <v>-3339.4</v>
      </c>
      <c r="F364" s="2">
        <v>6000</v>
      </c>
      <c r="G364" s="2" t="s">
        <v>10</v>
      </c>
    </row>
    <row r="365" spans="1:7" x14ac:dyDescent="0.25">
      <c r="A365" s="2" t="s">
        <v>411</v>
      </c>
      <c r="B365" s="3">
        <v>45343</v>
      </c>
      <c r="C365" s="2" t="s">
        <v>23</v>
      </c>
      <c r="D365" s="2" t="s">
        <v>24</v>
      </c>
      <c r="E365" s="4">
        <v>-701.67</v>
      </c>
      <c r="F365" s="2">
        <v>6300</v>
      </c>
      <c r="G365" s="2" t="s">
        <v>10</v>
      </c>
    </row>
    <row r="366" spans="1:7" x14ac:dyDescent="0.25">
      <c r="A366" s="2" t="s">
        <v>412</v>
      </c>
      <c r="B366" s="3">
        <v>45541</v>
      </c>
      <c r="C366" s="2" t="s">
        <v>195</v>
      </c>
      <c r="D366" s="2" t="s">
        <v>28</v>
      </c>
      <c r="E366" s="4">
        <v>-16.27</v>
      </c>
      <c r="F366" s="2">
        <v>6900</v>
      </c>
      <c r="G366" s="2" t="s">
        <v>10</v>
      </c>
    </row>
    <row r="367" spans="1:7" x14ac:dyDescent="0.25">
      <c r="A367" s="2" t="s">
        <v>413</v>
      </c>
      <c r="B367" s="3">
        <v>45395</v>
      </c>
      <c r="C367" s="2" t="s">
        <v>81</v>
      </c>
      <c r="D367" s="2" t="s">
        <v>18</v>
      </c>
      <c r="E367" s="4">
        <v>-11001.27</v>
      </c>
      <c r="F367" s="2">
        <v>5100</v>
      </c>
      <c r="G367" s="2" t="s">
        <v>10</v>
      </c>
    </row>
    <row r="368" spans="1:7" x14ac:dyDescent="0.25">
      <c r="A368" s="2" t="s">
        <v>414</v>
      </c>
      <c r="B368" s="3">
        <v>45413</v>
      </c>
      <c r="C368" s="2" t="s">
        <v>63</v>
      </c>
      <c r="D368" s="2" t="s">
        <v>52</v>
      </c>
      <c r="E368" s="4">
        <v>-8353.2099999999991</v>
      </c>
      <c r="F368" s="2">
        <v>6000</v>
      </c>
      <c r="G368" s="2" t="s">
        <v>10</v>
      </c>
    </row>
    <row r="369" spans="1:7" x14ac:dyDescent="0.25">
      <c r="A369" s="2" t="s">
        <v>415</v>
      </c>
      <c r="B369" s="3">
        <v>45510</v>
      </c>
      <c r="C369" s="2" t="s">
        <v>79</v>
      </c>
      <c r="D369" s="2" t="s">
        <v>31</v>
      </c>
      <c r="E369" s="4">
        <v>107.98</v>
      </c>
      <c r="F369" s="2">
        <v>4900</v>
      </c>
      <c r="G369" s="2" t="s">
        <v>10</v>
      </c>
    </row>
    <row r="370" spans="1:7" x14ac:dyDescent="0.25">
      <c r="A370" s="2" t="s">
        <v>416</v>
      </c>
      <c r="B370" s="3">
        <v>45330</v>
      </c>
      <c r="C370" s="2" t="s">
        <v>94</v>
      </c>
      <c r="D370" s="2" t="s">
        <v>24</v>
      </c>
      <c r="E370" s="4">
        <v>-399.41</v>
      </c>
      <c r="F370" s="2">
        <v>6300</v>
      </c>
      <c r="G370" s="2" t="s">
        <v>10</v>
      </c>
    </row>
    <row r="371" spans="1:7" x14ac:dyDescent="0.25">
      <c r="A371" s="2" t="s">
        <v>417</v>
      </c>
      <c r="B371" s="3">
        <v>45377</v>
      </c>
      <c r="C371" s="2" t="s">
        <v>76</v>
      </c>
      <c r="D371" s="2" t="s">
        <v>28</v>
      </c>
      <c r="E371" s="4">
        <v>-82.42</v>
      </c>
      <c r="F371" s="2">
        <v>6900</v>
      </c>
      <c r="G371" s="2" t="s">
        <v>10</v>
      </c>
    </row>
    <row r="372" spans="1:7" x14ac:dyDescent="0.25">
      <c r="A372" s="2" t="s">
        <v>418</v>
      </c>
      <c r="B372" s="3">
        <v>45569</v>
      </c>
      <c r="C372" s="2" t="s">
        <v>15</v>
      </c>
      <c r="D372" s="2" t="s">
        <v>13</v>
      </c>
      <c r="E372" s="4">
        <v>-1573.4</v>
      </c>
      <c r="F372" s="2">
        <v>6400</v>
      </c>
      <c r="G372" s="2" t="s">
        <v>10</v>
      </c>
    </row>
    <row r="373" spans="1:7" x14ac:dyDescent="0.25">
      <c r="A373" s="2" t="s">
        <v>419</v>
      </c>
      <c r="B373" s="3">
        <v>45494</v>
      </c>
      <c r="C373" s="2" t="s">
        <v>42</v>
      </c>
      <c r="D373" s="2" t="s">
        <v>39</v>
      </c>
      <c r="E373" s="4">
        <v>-5262.98</v>
      </c>
      <c r="F373" s="2">
        <v>6500</v>
      </c>
      <c r="G373" s="2" t="s">
        <v>10</v>
      </c>
    </row>
    <row r="374" spans="1:7" x14ac:dyDescent="0.25">
      <c r="A374" s="2" t="s">
        <v>420</v>
      </c>
      <c r="B374" s="3">
        <v>45434</v>
      </c>
      <c r="C374" s="2" t="s">
        <v>44</v>
      </c>
      <c r="D374" s="2" t="s">
        <v>9</v>
      </c>
      <c r="E374" s="4">
        <v>-5776.25</v>
      </c>
      <c r="F374" s="2">
        <v>6100</v>
      </c>
      <c r="G374" s="2" t="s">
        <v>10</v>
      </c>
    </row>
    <row r="375" spans="1:7" x14ac:dyDescent="0.25">
      <c r="A375" s="2" t="s">
        <v>421</v>
      </c>
      <c r="B375" s="3">
        <v>45376</v>
      </c>
      <c r="C375" s="2" t="s">
        <v>79</v>
      </c>
      <c r="D375" s="2" t="s">
        <v>31</v>
      </c>
      <c r="E375" s="4">
        <v>383.61</v>
      </c>
      <c r="F375" s="2">
        <v>4900</v>
      </c>
      <c r="G375" s="2" t="s">
        <v>10</v>
      </c>
    </row>
    <row r="376" spans="1:7" x14ac:dyDescent="0.25">
      <c r="A376" s="2" t="s">
        <v>422</v>
      </c>
      <c r="B376" s="3">
        <v>45427</v>
      </c>
      <c r="C376" s="2" t="s">
        <v>79</v>
      </c>
      <c r="D376" s="2" t="s">
        <v>31</v>
      </c>
      <c r="E376" s="4">
        <v>17.87</v>
      </c>
      <c r="F376" s="2">
        <v>4900</v>
      </c>
      <c r="G376" s="2" t="s">
        <v>10</v>
      </c>
    </row>
    <row r="377" spans="1:7" x14ac:dyDescent="0.25">
      <c r="A377" s="2" t="s">
        <v>423</v>
      </c>
      <c r="B377" s="3">
        <v>45429</v>
      </c>
      <c r="C377" s="2" t="s">
        <v>8</v>
      </c>
      <c r="D377" s="2" t="s">
        <v>9</v>
      </c>
      <c r="E377" s="4">
        <v>-5158.3100000000004</v>
      </c>
      <c r="F377" s="2">
        <v>6100</v>
      </c>
      <c r="G377" s="2" t="s">
        <v>10</v>
      </c>
    </row>
    <row r="378" spans="1:7" x14ac:dyDescent="0.25">
      <c r="A378" s="2" t="s">
        <v>424</v>
      </c>
      <c r="B378" s="3">
        <v>45638</v>
      </c>
      <c r="C378" s="2" t="s">
        <v>69</v>
      </c>
      <c r="D378" s="2" t="s">
        <v>39</v>
      </c>
      <c r="E378" s="4">
        <v>-1083.78</v>
      </c>
      <c r="F378" s="2">
        <v>6500</v>
      </c>
      <c r="G378" s="2" t="s">
        <v>10</v>
      </c>
    </row>
    <row r="379" spans="1:7" x14ac:dyDescent="0.25">
      <c r="A379" s="2" t="s">
        <v>425</v>
      </c>
      <c r="B379" s="3">
        <v>45360</v>
      </c>
      <c r="C379" s="2" t="s">
        <v>103</v>
      </c>
      <c r="D379" s="2" t="s">
        <v>35</v>
      </c>
      <c r="E379" s="4">
        <v>18808.11</v>
      </c>
      <c r="F379" s="2">
        <v>4000</v>
      </c>
      <c r="G379" s="2" t="s">
        <v>10</v>
      </c>
    </row>
    <row r="380" spans="1:7" x14ac:dyDescent="0.25">
      <c r="A380" s="2" t="s">
        <v>426</v>
      </c>
      <c r="B380" s="3">
        <v>45558</v>
      </c>
      <c r="C380" s="2" t="s">
        <v>17</v>
      </c>
      <c r="D380" s="2" t="s">
        <v>18</v>
      </c>
      <c r="E380" s="4">
        <v>-12838.97</v>
      </c>
      <c r="F380" s="2">
        <v>5100</v>
      </c>
      <c r="G380" s="2" t="s">
        <v>10</v>
      </c>
    </row>
    <row r="381" spans="1:7" x14ac:dyDescent="0.25">
      <c r="A381" s="2" t="s">
        <v>427</v>
      </c>
      <c r="B381" s="3">
        <v>45501</v>
      </c>
      <c r="C381" s="2" t="s">
        <v>79</v>
      </c>
      <c r="D381" s="2" t="s">
        <v>31</v>
      </c>
      <c r="E381" s="4">
        <v>187.58</v>
      </c>
      <c r="F381" s="2">
        <v>4900</v>
      </c>
      <c r="G381" s="2" t="s">
        <v>10</v>
      </c>
    </row>
    <row r="382" spans="1:7" x14ac:dyDescent="0.25">
      <c r="A382" s="2" t="s">
        <v>428</v>
      </c>
      <c r="B382" s="3">
        <v>45443</v>
      </c>
      <c r="C382" s="2" t="s">
        <v>81</v>
      </c>
      <c r="D382" s="2" t="s">
        <v>18</v>
      </c>
      <c r="E382" s="4">
        <v>-14150.01</v>
      </c>
      <c r="F382" s="2">
        <v>5100</v>
      </c>
      <c r="G382" s="2" t="s">
        <v>10</v>
      </c>
    </row>
    <row r="383" spans="1:7" x14ac:dyDescent="0.25">
      <c r="A383" s="2" t="s">
        <v>429</v>
      </c>
      <c r="B383" s="3">
        <v>45310</v>
      </c>
      <c r="C383" s="2" t="s">
        <v>69</v>
      </c>
      <c r="D383" s="2" t="s">
        <v>39</v>
      </c>
      <c r="E383" s="4">
        <v>-5589.47</v>
      </c>
      <c r="F383" s="2">
        <v>6500</v>
      </c>
      <c r="G383" s="2" t="s">
        <v>10</v>
      </c>
    </row>
    <row r="384" spans="1:7" x14ac:dyDescent="0.25">
      <c r="A384" s="2" t="s">
        <v>430</v>
      </c>
      <c r="B384" s="3">
        <v>45451</v>
      </c>
      <c r="C384" s="2" t="s">
        <v>69</v>
      </c>
      <c r="D384" s="2" t="s">
        <v>39</v>
      </c>
      <c r="E384" s="4">
        <v>-6770.08</v>
      </c>
      <c r="F384" s="2">
        <v>6500</v>
      </c>
      <c r="G384" s="2" t="s">
        <v>10</v>
      </c>
    </row>
    <row r="385" spans="1:7" x14ac:dyDescent="0.25">
      <c r="A385" s="2" t="s">
        <v>431</v>
      </c>
      <c r="B385" s="3">
        <v>45603</v>
      </c>
      <c r="C385" s="2" t="s">
        <v>195</v>
      </c>
      <c r="D385" s="2" t="s">
        <v>28</v>
      </c>
      <c r="E385" s="4">
        <v>-97.5</v>
      </c>
      <c r="F385" s="2">
        <v>6900</v>
      </c>
      <c r="G385" s="2" t="s">
        <v>10</v>
      </c>
    </row>
    <row r="386" spans="1:7" x14ac:dyDescent="0.25">
      <c r="A386" s="2" t="s">
        <v>432</v>
      </c>
      <c r="B386" s="3">
        <v>45530</v>
      </c>
      <c r="C386" s="2" t="s">
        <v>146</v>
      </c>
      <c r="D386" s="2" t="s">
        <v>31</v>
      </c>
      <c r="E386" s="4">
        <v>268.99</v>
      </c>
      <c r="F386" s="2">
        <v>4900</v>
      </c>
      <c r="G386" s="2" t="s">
        <v>10</v>
      </c>
    </row>
    <row r="387" spans="1:7" x14ac:dyDescent="0.25">
      <c r="A387" s="2" t="s">
        <v>433</v>
      </c>
      <c r="B387" s="3">
        <v>45390</v>
      </c>
      <c r="C387" s="2" t="s">
        <v>42</v>
      </c>
      <c r="D387" s="2" t="s">
        <v>39</v>
      </c>
      <c r="E387" s="4">
        <v>-3436.45</v>
      </c>
      <c r="F387" s="2">
        <v>6500</v>
      </c>
      <c r="G387" s="2" t="s">
        <v>10</v>
      </c>
    </row>
    <row r="388" spans="1:7" x14ac:dyDescent="0.25">
      <c r="A388" s="2" t="s">
        <v>434</v>
      </c>
      <c r="B388" s="3">
        <v>45627</v>
      </c>
      <c r="C388" s="2" t="s">
        <v>56</v>
      </c>
      <c r="D388" s="2" t="s">
        <v>18</v>
      </c>
      <c r="E388" s="4">
        <v>-9371.85</v>
      </c>
      <c r="F388" s="2">
        <v>5100</v>
      </c>
      <c r="G388" s="2" t="s">
        <v>10</v>
      </c>
    </row>
    <row r="389" spans="1:7" x14ac:dyDescent="0.25">
      <c r="A389" s="2" t="s">
        <v>435</v>
      </c>
      <c r="B389" s="3">
        <v>45641</v>
      </c>
      <c r="C389" s="2" t="s">
        <v>116</v>
      </c>
      <c r="D389" s="2" t="s">
        <v>35</v>
      </c>
      <c r="E389" s="4">
        <v>19471.23</v>
      </c>
      <c r="F389" s="2">
        <v>4000</v>
      </c>
      <c r="G389" s="2" t="s">
        <v>10</v>
      </c>
    </row>
    <row r="390" spans="1:7" x14ac:dyDescent="0.25">
      <c r="A390" s="2" t="s">
        <v>436</v>
      </c>
      <c r="B390" s="3">
        <v>45384</v>
      </c>
      <c r="C390" s="2" t="s">
        <v>116</v>
      </c>
      <c r="D390" s="2" t="s">
        <v>35</v>
      </c>
      <c r="E390" s="4">
        <v>12055.18</v>
      </c>
      <c r="F390" s="2">
        <v>4000</v>
      </c>
      <c r="G390" s="2" t="s">
        <v>10</v>
      </c>
    </row>
    <row r="391" spans="1:7" x14ac:dyDescent="0.25">
      <c r="A391" s="2" t="s">
        <v>437</v>
      </c>
      <c r="B391" s="3">
        <v>45308</v>
      </c>
      <c r="C391" s="2" t="s">
        <v>27</v>
      </c>
      <c r="D391" s="2" t="s">
        <v>28</v>
      </c>
      <c r="E391" s="4">
        <v>-142.72999999999999</v>
      </c>
      <c r="F391" s="2">
        <v>6900</v>
      </c>
      <c r="G391" s="2" t="s">
        <v>10</v>
      </c>
    </row>
    <row r="392" spans="1:7" x14ac:dyDescent="0.25">
      <c r="A392" s="2" t="s">
        <v>438</v>
      </c>
      <c r="B392" s="3">
        <v>45392</v>
      </c>
      <c r="C392" s="2" t="s">
        <v>48</v>
      </c>
      <c r="D392" s="2" t="s">
        <v>9</v>
      </c>
      <c r="E392" s="4">
        <v>-3190.49</v>
      </c>
      <c r="F392" s="2">
        <v>6100</v>
      </c>
      <c r="G392" s="2" t="s">
        <v>10</v>
      </c>
    </row>
    <row r="393" spans="1:7" x14ac:dyDescent="0.25">
      <c r="A393" s="2" t="s">
        <v>439</v>
      </c>
      <c r="B393" s="3">
        <v>45520</v>
      </c>
      <c r="C393" s="2" t="s">
        <v>146</v>
      </c>
      <c r="D393" s="2" t="s">
        <v>31</v>
      </c>
      <c r="E393" s="4">
        <v>20.9</v>
      </c>
      <c r="F393" s="2">
        <v>4900</v>
      </c>
      <c r="G393" s="2" t="s">
        <v>10</v>
      </c>
    </row>
    <row r="394" spans="1:7" x14ac:dyDescent="0.25">
      <c r="A394" s="2" t="s">
        <v>440</v>
      </c>
      <c r="B394" s="3">
        <v>45361</v>
      </c>
      <c r="C394" s="2" t="s">
        <v>15</v>
      </c>
      <c r="D394" s="2" t="s">
        <v>13</v>
      </c>
      <c r="E394" s="4">
        <v>-1606.65</v>
      </c>
      <c r="F394" s="2">
        <v>6400</v>
      </c>
      <c r="G394" s="2" t="s">
        <v>10</v>
      </c>
    </row>
    <row r="395" spans="1:7" x14ac:dyDescent="0.25">
      <c r="A395" s="2" t="s">
        <v>441</v>
      </c>
      <c r="B395" s="3">
        <v>45433</v>
      </c>
      <c r="C395" s="2" t="s">
        <v>94</v>
      </c>
      <c r="D395" s="2" t="s">
        <v>24</v>
      </c>
      <c r="E395" s="4">
        <v>-616.38</v>
      </c>
      <c r="F395" s="2">
        <v>6300</v>
      </c>
      <c r="G395" s="2" t="s">
        <v>10</v>
      </c>
    </row>
    <row r="396" spans="1:7" x14ac:dyDescent="0.25">
      <c r="A396" s="2" t="s">
        <v>442</v>
      </c>
      <c r="B396" s="3">
        <v>45329</v>
      </c>
      <c r="C396" s="2" t="s">
        <v>79</v>
      </c>
      <c r="D396" s="2" t="s">
        <v>31</v>
      </c>
      <c r="E396" s="4">
        <v>363.9</v>
      </c>
      <c r="F396" s="2">
        <v>4900</v>
      </c>
      <c r="G396" s="2" t="s">
        <v>10</v>
      </c>
    </row>
    <row r="397" spans="1:7" x14ac:dyDescent="0.25">
      <c r="A397" s="2" t="s">
        <v>443</v>
      </c>
      <c r="B397" s="3">
        <v>45324</v>
      </c>
      <c r="C397" s="2" t="s">
        <v>51</v>
      </c>
      <c r="D397" s="2" t="s">
        <v>52</v>
      </c>
      <c r="E397" s="4">
        <v>-9201.4</v>
      </c>
      <c r="F397" s="2">
        <v>6000</v>
      </c>
      <c r="G397" s="2" t="s">
        <v>10</v>
      </c>
    </row>
    <row r="398" spans="1:7" x14ac:dyDescent="0.25">
      <c r="A398" s="2" t="s">
        <v>444</v>
      </c>
      <c r="B398" s="3">
        <v>45518</v>
      </c>
      <c r="C398" s="2" t="s">
        <v>48</v>
      </c>
      <c r="D398" s="2" t="s">
        <v>9</v>
      </c>
      <c r="E398" s="4">
        <v>-2254.11</v>
      </c>
      <c r="F398" s="2">
        <v>6100</v>
      </c>
      <c r="G398" s="2" t="s">
        <v>10</v>
      </c>
    </row>
    <row r="399" spans="1:7" x14ac:dyDescent="0.25">
      <c r="A399" s="2" t="s">
        <v>445</v>
      </c>
      <c r="B399" s="3">
        <v>45441</v>
      </c>
      <c r="C399" s="2" t="s">
        <v>79</v>
      </c>
      <c r="D399" s="2" t="s">
        <v>31</v>
      </c>
      <c r="E399" s="4">
        <v>69.61</v>
      </c>
      <c r="F399" s="2">
        <v>4900</v>
      </c>
      <c r="G399" s="2" t="s">
        <v>10</v>
      </c>
    </row>
    <row r="400" spans="1:7" x14ac:dyDescent="0.25">
      <c r="A400" s="2" t="s">
        <v>446</v>
      </c>
      <c r="B400" s="3">
        <v>45480</v>
      </c>
      <c r="C400" s="2" t="s">
        <v>69</v>
      </c>
      <c r="D400" s="2" t="s">
        <v>39</v>
      </c>
      <c r="E400" s="4">
        <v>-3270.57</v>
      </c>
      <c r="F400" s="2">
        <v>6500</v>
      </c>
      <c r="G400" s="2" t="s">
        <v>10</v>
      </c>
    </row>
    <row r="401" spans="1:7" x14ac:dyDescent="0.25">
      <c r="A401" s="2" t="s">
        <v>447</v>
      </c>
      <c r="B401" s="3">
        <v>45639</v>
      </c>
      <c r="C401" s="2" t="s">
        <v>30</v>
      </c>
      <c r="D401" s="2" t="s">
        <v>31</v>
      </c>
      <c r="E401" s="4">
        <v>95.32</v>
      </c>
      <c r="F401" s="2">
        <v>4900</v>
      </c>
      <c r="G401" s="2" t="s">
        <v>10</v>
      </c>
    </row>
    <row r="402" spans="1:7" x14ac:dyDescent="0.25">
      <c r="A402" s="2" t="s">
        <v>448</v>
      </c>
      <c r="B402" s="3">
        <v>45563</v>
      </c>
      <c r="C402" s="2" t="s">
        <v>38</v>
      </c>
      <c r="D402" s="2" t="s">
        <v>39</v>
      </c>
      <c r="E402" s="4">
        <v>-4942.6000000000004</v>
      </c>
      <c r="F402" s="2">
        <v>6500</v>
      </c>
      <c r="G402" s="2" t="s">
        <v>10</v>
      </c>
    </row>
    <row r="403" spans="1:7" x14ac:dyDescent="0.25">
      <c r="A403" s="2" t="s">
        <v>449</v>
      </c>
      <c r="B403" s="3">
        <v>45376</v>
      </c>
      <c r="C403" s="2" t="s">
        <v>21</v>
      </c>
      <c r="D403" s="2" t="s">
        <v>13</v>
      </c>
      <c r="E403" s="4">
        <v>-602.20000000000005</v>
      </c>
      <c r="F403" s="2">
        <v>6400</v>
      </c>
      <c r="G403" s="2" t="s">
        <v>10</v>
      </c>
    </row>
    <row r="404" spans="1:7" x14ac:dyDescent="0.25">
      <c r="A404" s="2" t="s">
        <v>450</v>
      </c>
      <c r="B404" s="3">
        <v>45567</v>
      </c>
      <c r="C404" s="2" t="s">
        <v>63</v>
      </c>
      <c r="D404" s="2" t="s">
        <v>52</v>
      </c>
      <c r="E404" s="4">
        <v>-9246.8700000000008</v>
      </c>
      <c r="F404" s="2">
        <v>6000</v>
      </c>
      <c r="G404" s="2" t="s">
        <v>10</v>
      </c>
    </row>
    <row r="405" spans="1:7" x14ac:dyDescent="0.25">
      <c r="A405" s="2" t="s">
        <v>451</v>
      </c>
      <c r="B405" s="3">
        <v>45648</v>
      </c>
      <c r="C405" s="2" t="s">
        <v>116</v>
      </c>
      <c r="D405" s="2" t="s">
        <v>35</v>
      </c>
      <c r="E405" s="4">
        <v>10232.219999999999</v>
      </c>
      <c r="F405" s="2">
        <v>4000</v>
      </c>
      <c r="G405" s="2" t="s">
        <v>123</v>
      </c>
    </row>
    <row r="406" spans="1:7" x14ac:dyDescent="0.25">
      <c r="A406" s="2" t="s">
        <v>452</v>
      </c>
      <c r="B406" s="3">
        <v>45565</v>
      </c>
      <c r="C406" s="2" t="s">
        <v>94</v>
      </c>
      <c r="D406" s="2" t="s">
        <v>24</v>
      </c>
      <c r="E406" s="4">
        <v>-91.05</v>
      </c>
      <c r="F406" s="2">
        <v>6300</v>
      </c>
      <c r="G406" s="2" t="s">
        <v>10</v>
      </c>
    </row>
    <row r="407" spans="1:7" x14ac:dyDescent="0.25">
      <c r="A407" s="2" t="s">
        <v>453</v>
      </c>
      <c r="B407" s="3">
        <v>45649</v>
      </c>
      <c r="C407" s="2" t="s">
        <v>51</v>
      </c>
      <c r="D407" s="2" t="s">
        <v>52</v>
      </c>
      <c r="E407" s="4">
        <v>-9967.19</v>
      </c>
      <c r="F407" s="2">
        <v>6000</v>
      </c>
      <c r="G407" s="2" t="s">
        <v>10</v>
      </c>
    </row>
    <row r="408" spans="1:7" x14ac:dyDescent="0.25">
      <c r="A408" s="2" t="s">
        <v>454</v>
      </c>
      <c r="B408" s="3">
        <v>45527</v>
      </c>
      <c r="C408" s="2" t="s">
        <v>67</v>
      </c>
      <c r="D408" s="2" t="s">
        <v>59</v>
      </c>
      <c r="E408" s="4">
        <v>-618.79</v>
      </c>
      <c r="F408" s="2">
        <v>6200</v>
      </c>
      <c r="G408" s="2" t="s">
        <v>10</v>
      </c>
    </row>
    <row r="409" spans="1:7" x14ac:dyDescent="0.25">
      <c r="A409" s="2" t="s">
        <v>455</v>
      </c>
      <c r="B409" s="3">
        <v>45330</v>
      </c>
      <c r="C409" s="2" t="s">
        <v>76</v>
      </c>
      <c r="D409" s="2" t="s">
        <v>28</v>
      </c>
      <c r="E409" s="4">
        <v>-39.840000000000003</v>
      </c>
      <c r="F409" s="2">
        <v>6900</v>
      </c>
      <c r="G409" s="2" t="s">
        <v>10</v>
      </c>
    </row>
    <row r="410" spans="1:7" x14ac:dyDescent="0.25">
      <c r="A410" s="2" t="s">
        <v>456</v>
      </c>
      <c r="B410" s="3">
        <v>45650</v>
      </c>
      <c r="C410" s="2" t="s">
        <v>81</v>
      </c>
      <c r="D410" s="2" t="s">
        <v>18</v>
      </c>
      <c r="E410" s="4">
        <v>-9100.32</v>
      </c>
      <c r="F410" s="2">
        <v>5100</v>
      </c>
      <c r="G410" s="2" t="s">
        <v>10</v>
      </c>
    </row>
    <row r="411" spans="1:7" x14ac:dyDescent="0.25">
      <c r="A411" s="2" t="s">
        <v>457</v>
      </c>
      <c r="B411" s="3">
        <v>45433</v>
      </c>
      <c r="C411" s="2" t="s">
        <v>15</v>
      </c>
      <c r="D411" s="2" t="s">
        <v>13</v>
      </c>
      <c r="E411" s="4">
        <v>-1695.84</v>
      </c>
      <c r="F411" s="2">
        <v>6400</v>
      </c>
      <c r="G411" s="2" t="s">
        <v>10</v>
      </c>
    </row>
    <row r="412" spans="1:7" x14ac:dyDescent="0.25">
      <c r="A412" s="2" t="s">
        <v>458</v>
      </c>
      <c r="B412" s="3">
        <v>45556</v>
      </c>
      <c r="C412" s="2" t="s">
        <v>21</v>
      </c>
      <c r="D412" s="2" t="s">
        <v>13</v>
      </c>
      <c r="E412" s="4">
        <v>-2109.8200000000002</v>
      </c>
      <c r="F412" s="2">
        <v>6400</v>
      </c>
      <c r="G412" s="2" t="s">
        <v>10</v>
      </c>
    </row>
    <row r="413" spans="1:7" x14ac:dyDescent="0.25">
      <c r="A413" s="2" t="s">
        <v>459</v>
      </c>
      <c r="B413" s="3">
        <v>45380</v>
      </c>
      <c r="C413" s="2" t="s">
        <v>38</v>
      </c>
      <c r="D413" s="2" t="s">
        <v>39</v>
      </c>
      <c r="E413" s="4">
        <v>-6099.6</v>
      </c>
      <c r="F413" s="2">
        <v>6500</v>
      </c>
      <c r="G413" s="2" t="s">
        <v>10</v>
      </c>
    </row>
    <row r="414" spans="1:7" x14ac:dyDescent="0.25">
      <c r="A414" s="2" t="s">
        <v>460</v>
      </c>
      <c r="B414" s="3">
        <v>45321</v>
      </c>
      <c r="C414" s="2" t="s">
        <v>116</v>
      </c>
      <c r="D414" s="2" t="s">
        <v>35</v>
      </c>
      <c r="E414" s="4">
        <v>19034.32</v>
      </c>
      <c r="F414" s="2">
        <v>4000</v>
      </c>
      <c r="G414" s="2" t="s">
        <v>10</v>
      </c>
    </row>
    <row r="415" spans="1:7" x14ac:dyDescent="0.25">
      <c r="A415" s="2" t="s">
        <v>461</v>
      </c>
      <c r="B415" s="3">
        <v>45375</v>
      </c>
      <c r="C415" s="2" t="s">
        <v>195</v>
      </c>
      <c r="D415" s="2" t="s">
        <v>28</v>
      </c>
      <c r="E415" s="4">
        <v>-72.81</v>
      </c>
      <c r="F415" s="2">
        <v>6900</v>
      </c>
      <c r="G415" s="2" t="s">
        <v>10</v>
      </c>
    </row>
    <row r="416" spans="1:7" x14ac:dyDescent="0.25">
      <c r="A416" s="2" t="s">
        <v>462</v>
      </c>
      <c r="B416" s="3">
        <v>45407</v>
      </c>
      <c r="C416" s="2" t="s">
        <v>195</v>
      </c>
      <c r="D416" s="2" t="s">
        <v>28</v>
      </c>
      <c r="E416" s="4">
        <v>-71.959999999999994</v>
      </c>
      <c r="F416" s="2">
        <v>6900</v>
      </c>
      <c r="G416" s="2" t="s">
        <v>10</v>
      </c>
    </row>
    <row r="417" spans="1:7" x14ac:dyDescent="0.25">
      <c r="A417" s="2" t="s">
        <v>463</v>
      </c>
      <c r="B417" s="3">
        <v>45322</v>
      </c>
      <c r="C417" s="2" t="s">
        <v>81</v>
      </c>
      <c r="D417" s="2" t="s">
        <v>18</v>
      </c>
      <c r="E417" s="4">
        <v>-13036.08</v>
      </c>
      <c r="F417" s="2">
        <v>5100</v>
      </c>
      <c r="G417" s="2" t="s">
        <v>10</v>
      </c>
    </row>
    <row r="418" spans="1:7" x14ac:dyDescent="0.25">
      <c r="A418" s="2" t="s">
        <v>464</v>
      </c>
      <c r="B418" s="3">
        <v>45548</v>
      </c>
      <c r="C418" s="2" t="s">
        <v>51</v>
      </c>
      <c r="D418" s="2" t="s">
        <v>52</v>
      </c>
      <c r="E418" s="4">
        <v>-1524.24</v>
      </c>
      <c r="F418" s="2">
        <v>6000</v>
      </c>
      <c r="G418" s="2" t="s">
        <v>10</v>
      </c>
    </row>
    <row r="419" spans="1:7" x14ac:dyDescent="0.25">
      <c r="A419" s="2" t="s">
        <v>465</v>
      </c>
      <c r="B419" s="3">
        <v>45500</v>
      </c>
      <c r="C419" s="2" t="s">
        <v>63</v>
      </c>
      <c r="D419" s="2" t="s">
        <v>52</v>
      </c>
      <c r="E419" s="4">
        <v>-5829.94</v>
      </c>
      <c r="F419" s="2">
        <v>6000</v>
      </c>
      <c r="G419" s="2" t="s">
        <v>10</v>
      </c>
    </row>
    <row r="420" spans="1:7" x14ac:dyDescent="0.25">
      <c r="A420" s="2" t="s">
        <v>466</v>
      </c>
      <c r="B420" s="3">
        <v>45417</v>
      </c>
      <c r="C420" s="2" t="s">
        <v>81</v>
      </c>
      <c r="D420" s="2" t="s">
        <v>18</v>
      </c>
      <c r="E420" s="4">
        <v>-14623.94</v>
      </c>
      <c r="F420" s="2">
        <v>5100</v>
      </c>
      <c r="G420" s="2" t="s">
        <v>10</v>
      </c>
    </row>
    <row r="421" spans="1:7" x14ac:dyDescent="0.25">
      <c r="A421" s="2" t="s">
        <v>467</v>
      </c>
      <c r="B421" s="3">
        <v>45344</v>
      </c>
      <c r="C421" s="2" t="s">
        <v>38</v>
      </c>
      <c r="D421" s="2" t="s">
        <v>39</v>
      </c>
      <c r="E421" s="4">
        <v>-3399.35</v>
      </c>
      <c r="F421" s="2">
        <v>6500</v>
      </c>
      <c r="G421" s="2" t="s">
        <v>10</v>
      </c>
    </row>
    <row r="422" spans="1:7" x14ac:dyDescent="0.25">
      <c r="A422" s="2" t="s">
        <v>468</v>
      </c>
      <c r="B422" s="3">
        <v>45418</v>
      </c>
      <c r="C422" s="2" t="s">
        <v>79</v>
      </c>
      <c r="D422" s="2" t="s">
        <v>31</v>
      </c>
      <c r="E422" s="4">
        <v>255.52</v>
      </c>
      <c r="F422" s="2">
        <v>4900</v>
      </c>
      <c r="G422" s="2" t="s">
        <v>10</v>
      </c>
    </row>
    <row r="423" spans="1:7" x14ac:dyDescent="0.25">
      <c r="A423" s="2" t="s">
        <v>469</v>
      </c>
      <c r="B423" s="3">
        <v>45417</v>
      </c>
      <c r="C423" s="2" t="s">
        <v>30</v>
      </c>
      <c r="D423" s="2" t="s">
        <v>31</v>
      </c>
      <c r="E423" s="4">
        <v>369.33</v>
      </c>
      <c r="F423" s="2">
        <v>4900</v>
      </c>
      <c r="G423" s="2" t="s">
        <v>10</v>
      </c>
    </row>
    <row r="424" spans="1:7" x14ac:dyDescent="0.25">
      <c r="A424" s="2" t="s">
        <v>470</v>
      </c>
      <c r="B424" s="3">
        <v>45476</v>
      </c>
      <c r="C424" s="2" t="s">
        <v>116</v>
      </c>
      <c r="D424" s="2" t="s">
        <v>35</v>
      </c>
      <c r="E424" s="4">
        <v>14361.86</v>
      </c>
      <c r="F424" s="2">
        <v>4000</v>
      </c>
      <c r="G424" s="2" t="s">
        <v>10</v>
      </c>
    </row>
    <row r="425" spans="1:7" x14ac:dyDescent="0.25">
      <c r="A425" s="2" t="s">
        <v>471</v>
      </c>
      <c r="B425" s="3">
        <v>45357</v>
      </c>
      <c r="C425" s="2" t="s">
        <v>146</v>
      </c>
      <c r="D425" s="2" t="s">
        <v>31</v>
      </c>
      <c r="E425" s="4">
        <v>221.57</v>
      </c>
      <c r="F425" s="2">
        <v>4900</v>
      </c>
      <c r="G425" s="2" t="s">
        <v>10</v>
      </c>
    </row>
    <row r="426" spans="1:7" x14ac:dyDescent="0.25">
      <c r="A426" s="2" t="s">
        <v>472</v>
      </c>
      <c r="B426" s="3">
        <v>45459</v>
      </c>
      <c r="C426" s="2" t="s">
        <v>195</v>
      </c>
      <c r="D426" s="2" t="s">
        <v>28</v>
      </c>
      <c r="E426" s="4">
        <v>-46.6</v>
      </c>
      <c r="F426" s="2">
        <v>6900</v>
      </c>
      <c r="G426" s="2" t="s">
        <v>10</v>
      </c>
    </row>
    <row r="427" spans="1:7" x14ac:dyDescent="0.25">
      <c r="A427" s="2" t="s">
        <v>473</v>
      </c>
      <c r="B427" s="3">
        <v>45629</v>
      </c>
      <c r="C427" s="2" t="s">
        <v>103</v>
      </c>
      <c r="D427" s="2" t="s">
        <v>35</v>
      </c>
      <c r="E427" s="4">
        <v>14028.53</v>
      </c>
      <c r="F427" s="2">
        <v>4000</v>
      </c>
      <c r="G427" s="2" t="s">
        <v>10</v>
      </c>
    </row>
    <row r="428" spans="1:7" x14ac:dyDescent="0.25">
      <c r="A428" s="2" t="s">
        <v>474</v>
      </c>
      <c r="B428" s="3">
        <v>45410</v>
      </c>
      <c r="C428" s="2" t="s">
        <v>30</v>
      </c>
      <c r="D428" s="2" t="s">
        <v>31</v>
      </c>
      <c r="E428" s="4">
        <v>385.98</v>
      </c>
      <c r="F428" s="2">
        <v>4900</v>
      </c>
      <c r="G428" s="2" t="s">
        <v>10</v>
      </c>
    </row>
    <row r="429" spans="1:7" x14ac:dyDescent="0.25">
      <c r="A429" s="2" t="s">
        <v>475</v>
      </c>
      <c r="B429" s="3">
        <v>45382</v>
      </c>
      <c r="C429" s="2" t="s">
        <v>42</v>
      </c>
      <c r="D429" s="2" t="s">
        <v>39</v>
      </c>
      <c r="E429" s="4">
        <v>-6687.77</v>
      </c>
      <c r="F429" s="2">
        <v>6500</v>
      </c>
      <c r="G429" s="2" t="s">
        <v>10</v>
      </c>
    </row>
    <row r="430" spans="1:7" x14ac:dyDescent="0.25">
      <c r="A430" s="2" t="s">
        <v>476</v>
      </c>
      <c r="B430" s="3">
        <v>45424</v>
      </c>
      <c r="C430" s="2" t="s">
        <v>17</v>
      </c>
      <c r="D430" s="2" t="s">
        <v>18</v>
      </c>
      <c r="E430" s="4">
        <v>-7991.61</v>
      </c>
      <c r="F430" s="2">
        <v>5100</v>
      </c>
      <c r="G430" s="2" t="s">
        <v>10</v>
      </c>
    </row>
    <row r="431" spans="1:7" x14ac:dyDescent="0.25">
      <c r="A431" s="2" t="s">
        <v>477</v>
      </c>
      <c r="B431" s="3">
        <v>45348</v>
      </c>
      <c r="C431" s="2" t="s">
        <v>51</v>
      </c>
      <c r="D431" s="2" t="s">
        <v>52</v>
      </c>
      <c r="E431" s="4">
        <v>-4206.99</v>
      </c>
      <c r="F431" s="2">
        <v>6000</v>
      </c>
      <c r="G431" s="2" t="s">
        <v>10</v>
      </c>
    </row>
    <row r="432" spans="1:7" x14ac:dyDescent="0.25">
      <c r="A432" s="2" t="s">
        <v>478</v>
      </c>
      <c r="B432" s="3">
        <v>45310</v>
      </c>
      <c r="C432" s="2" t="s">
        <v>79</v>
      </c>
      <c r="D432" s="2" t="s">
        <v>31</v>
      </c>
      <c r="E432" s="4">
        <v>192.2</v>
      </c>
      <c r="F432" s="2">
        <v>4900</v>
      </c>
      <c r="G432" s="2" t="s">
        <v>10</v>
      </c>
    </row>
    <row r="433" spans="1:7" x14ac:dyDescent="0.25">
      <c r="A433" s="2" t="s">
        <v>479</v>
      </c>
      <c r="B433" s="3">
        <v>45588</v>
      </c>
      <c r="C433" s="2" t="s">
        <v>94</v>
      </c>
      <c r="D433" s="2" t="s">
        <v>24</v>
      </c>
      <c r="E433" s="4">
        <v>-311</v>
      </c>
      <c r="F433" s="2">
        <v>6300</v>
      </c>
      <c r="G433" s="2" t="s">
        <v>10</v>
      </c>
    </row>
    <row r="434" spans="1:7" x14ac:dyDescent="0.25">
      <c r="A434" s="2" t="s">
        <v>480</v>
      </c>
      <c r="B434" s="3">
        <v>45447</v>
      </c>
      <c r="C434" s="2" t="s">
        <v>71</v>
      </c>
      <c r="D434" s="2" t="s">
        <v>59</v>
      </c>
      <c r="E434" s="4">
        <v>-906.49</v>
      </c>
      <c r="F434" s="2">
        <v>6200</v>
      </c>
      <c r="G434" s="2" t="s">
        <v>10</v>
      </c>
    </row>
    <row r="435" spans="1:7" x14ac:dyDescent="0.25">
      <c r="A435" s="2" t="s">
        <v>481</v>
      </c>
      <c r="B435" s="3">
        <v>45412</v>
      </c>
      <c r="C435" s="2" t="s">
        <v>81</v>
      </c>
      <c r="D435" s="2" t="s">
        <v>18</v>
      </c>
      <c r="E435" s="4">
        <v>-4566.28</v>
      </c>
      <c r="F435" s="2">
        <v>5100</v>
      </c>
      <c r="G435" s="2" t="s">
        <v>10</v>
      </c>
    </row>
    <row r="436" spans="1:7" x14ac:dyDescent="0.25">
      <c r="A436" s="2" t="s">
        <v>482</v>
      </c>
      <c r="B436" s="3">
        <v>45555</v>
      </c>
      <c r="C436" s="2" t="s">
        <v>79</v>
      </c>
      <c r="D436" s="2" t="s">
        <v>31</v>
      </c>
      <c r="E436" s="4">
        <v>106.87</v>
      </c>
      <c r="F436" s="2">
        <v>4900</v>
      </c>
      <c r="G436" s="2" t="s">
        <v>10</v>
      </c>
    </row>
    <row r="437" spans="1:7" x14ac:dyDescent="0.25">
      <c r="A437" s="2" t="s">
        <v>483</v>
      </c>
      <c r="B437" s="3">
        <v>45475</v>
      </c>
      <c r="C437" s="2" t="s">
        <v>76</v>
      </c>
      <c r="D437" s="2" t="s">
        <v>28</v>
      </c>
      <c r="E437" s="4">
        <v>-25.06</v>
      </c>
      <c r="F437" s="2">
        <v>6900</v>
      </c>
      <c r="G437" s="2" t="s">
        <v>10</v>
      </c>
    </row>
    <row r="438" spans="1:7" x14ac:dyDescent="0.25">
      <c r="A438" s="2" t="s">
        <v>484</v>
      </c>
      <c r="B438" s="3">
        <v>45381</v>
      </c>
      <c r="C438" s="2" t="s">
        <v>67</v>
      </c>
      <c r="D438" s="2" t="s">
        <v>59</v>
      </c>
      <c r="E438" s="4">
        <v>-72.73</v>
      </c>
      <c r="F438" s="2">
        <v>6200</v>
      </c>
      <c r="G438" s="2" t="s">
        <v>10</v>
      </c>
    </row>
    <row r="439" spans="1:7" x14ac:dyDescent="0.25">
      <c r="A439" s="2" t="s">
        <v>485</v>
      </c>
      <c r="B439" s="3">
        <v>45403</v>
      </c>
      <c r="C439" s="2" t="s">
        <v>94</v>
      </c>
      <c r="D439" s="2" t="s">
        <v>24</v>
      </c>
      <c r="E439" s="4">
        <v>-741.43</v>
      </c>
      <c r="F439" s="2">
        <v>6300</v>
      </c>
      <c r="G439" s="2" t="s">
        <v>10</v>
      </c>
    </row>
    <row r="440" spans="1:7" x14ac:dyDescent="0.25">
      <c r="A440" s="2" t="s">
        <v>486</v>
      </c>
      <c r="B440" s="3">
        <v>45505</v>
      </c>
      <c r="C440" s="2" t="s">
        <v>103</v>
      </c>
      <c r="D440" s="2" t="s">
        <v>35</v>
      </c>
      <c r="E440" s="4">
        <v>20003.48</v>
      </c>
      <c r="F440" s="2">
        <v>4000</v>
      </c>
      <c r="G440" s="2" t="s">
        <v>10</v>
      </c>
    </row>
    <row r="441" spans="1:7" x14ac:dyDescent="0.25">
      <c r="A441" s="2" t="s">
        <v>487</v>
      </c>
      <c r="B441" s="3">
        <v>45493</v>
      </c>
      <c r="C441" s="2" t="s">
        <v>48</v>
      </c>
      <c r="D441" s="2" t="s">
        <v>9</v>
      </c>
      <c r="E441" s="4">
        <v>-3773.58</v>
      </c>
      <c r="F441" s="2">
        <v>6100</v>
      </c>
      <c r="G441" s="2" t="s">
        <v>10</v>
      </c>
    </row>
    <row r="442" spans="1:7" x14ac:dyDescent="0.25">
      <c r="A442" s="2" t="s">
        <v>488</v>
      </c>
      <c r="B442" s="3">
        <v>45516</v>
      </c>
      <c r="C442" s="2" t="s">
        <v>23</v>
      </c>
      <c r="D442" s="2" t="s">
        <v>24</v>
      </c>
      <c r="E442" s="4">
        <v>-438.96</v>
      </c>
      <c r="F442" s="2">
        <v>6300</v>
      </c>
      <c r="G442" s="2" t="s">
        <v>10</v>
      </c>
    </row>
    <row r="443" spans="1:7" x14ac:dyDescent="0.25">
      <c r="A443" s="2" t="s">
        <v>489</v>
      </c>
      <c r="B443" s="3">
        <v>45570</v>
      </c>
      <c r="C443" s="2" t="s">
        <v>17</v>
      </c>
      <c r="D443" s="2" t="s">
        <v>18</v>
      </c>
      <c r="E443" s="4">
        <v>-7823.97</v>
      </c>
      <c r="F443" s="2">
        <v>5100</v>
      </c>
      <c r="G443" s="2" t="s">
        <v>10</v>
      </c>
    </row>
    <row r="444" spans="1:7" x14ac:dyDescent="0.25">
      <c r="A444" s="2" t="s">
        <v>490</v>
      </c>
      <c r="B444" s="3">
        <v>45606</v>
      </c>
      <c r="C444" s="2" t="s">
        <v>94</v>
      </c>
      <c r="D444" s="2" t="s">
        <v>24</v>
      </c>
      <c r="E444" s="4">
        <v>-308.57</v>
      </c>
      <c r="F444" s="2">
        <v>6300</v>
      </c>
      <c r="G444" s="2" t="s">
        <v>10</v>
      </c>
    </row>
    <row r="445" spans="1:7" x14ac:dyDescent="0.25">
      <c r="A445" s="2" t="s">
        <v>491</v>
      </c>
      <c r="B445" s="3">
        <v>45604</v>
      </c>
      <c r="C445" s="2" t="s">
        <v>195</v>
      </c>
      <c r="D445" s="2" t="s">
        <v>28</v>
      </c>
      <c r="E445" s="4">
        <v>-115.58</v>
      </c>
      <c r="F445" s="2">
        <v>6900</v>
      </c>
      <c r="G445" s="2" t="s">
        <v>10</v>
      </c>
    </row>
    <row r="446" spans="1:7" x14ac:dyDescent="0.25">
      <c r="A446" s="2" t="s">
        <v>492</v>
      </c>
      <c r="B446" s="3">
        <v>45441</v>
      </c>
      <c r="C446" s="2" t="s">
        <v>63</v>
      </c>
      <c r="D446" s="2" t="s">
        <v>52</v>
      </c>
      <c r="E446" s="4">
        <v>-5380.5</v>
      </c>
      <c r="F446" s="2">
        <v>6000</v>
      </c>
      <c r="G446" s="2" t="s">
        <v>10</v>
      </c>
    </row>
    <row r="447" spans="1:7" x14ac:dyDescent="0.25">
      <c r="A447" s="2" t="s">
        <v>493</v>
      </c>
      <c r="B447" s="3">
        <v>45399</v>
      </c>
      <c r="C447" s="2" t="s">
        <v>34</v>
      </c>
      <c r="D447" s="2" t="s">
        <v>35</v>
      </c>
      <c r="E447" s="4">
        <v>24171.96</v>
      </c>
      <c r="F447" s="2">
        <v>4000</v>
      </c>
      <c r="G447" s="2" t="s">
        <v>10</v>
      </c>
    </row>
    <row r="448" spans="1:7" x14ac:dyDescent="0.25">
      <c r="A448" s="2" t="s">
        <v>494</v>
      </c>
      <c r="B448" s="3">
        <v>45466</v>
      </c>
      <c r="C448" s="2" t="s">
        <v>195</v>
      </c>
      <c r="D448" s="2" t="s">
        <v>28</v>
      </c>
      <c r="E448" s="4">
        <v>-32.56</v>
      </c>
      <c r="F448" s="2">
        <v>6900</v>
      </c>
      <c r="G448" s="2" t="s">
        <v>10</v>
      </c>
    </row>
    <row r="449" spans="1:7" x14ac:dyDescent="0.25">
      <c r="A449" s="2" t="s">
        <v>495</v>
      </c>
      <c r="B449" s="3">
        <v>45418</v>
      </c>
      <c r="C449" s="2" t="s">
        <v>30</v>
      </c>
      <c r="D449" s="2" t="s">
        <v>31</v>
      </c>
      <c r="E449" s="4">
        <v>362.04</v>
      </c>
      <c r="F449" s="2">
        <v>4900</v>
      </c>
      <c r="G449" s="2" t="s">
        <v>10</v>
      </c>
    </row>
    <row r="450" spans="1:7" x14ac:dyDescent="0.25">
      <c r="A450" s="2" t="s">
        <v>496</v>
      </c>
      <c r="B450" s="3">
        <v>45557</v>
      </c>
      <c r="C450" s="2" t="s">
        <v>27</v>
      </c>
      <c r="D450" s="2" t="s">
        <v>28</v>
      </c>
      <c r="E450" s="4">
        <v>-134.74</v>
      </c>
      <c r="F450" s="2">
        <v>6900</v>
      </c>
      <c r="G450" s="2" t="s">
        <v>10</v>
      </c>
    </row>
    <row r="451" spans="1:7" x14ac:dyDescent="0.25">
      <c r="A451" s="2" t="s">
        <v>497</v>
      </c>
      <c r="B451" s="3">
        <v>45316</v>
      </c>
      <c r="C451" s="2" t="s">
        <v>51</v>
      </c>
      <c r="D451" s="2" t="s">
        <v>52</v>
      </c>
      <c r="E451" s="4">
        <v>-1665.96</v>
      </c>
      <c r="F451" s="2">
        <v>6000</v>
      </c>
      <c r="G451" s="2" t="s">
        <v>10</v>
      </c>
    </row>
    <row r="452" spans="1:7" x14ac:dyDescent="0.25">
      <c r="A452" s="2" t="s">
        <v>498</v>
      </c>
      <c r="B452" s="3">
        <v>45387</v>
      </c>
      <c r="C452" s="2" t="s">
        <v>146</v>
      </c>
      <c r="D452" s="2" t="s">
        <v>31</v>
      </c>
      <c r="E452" s="4">
        <v>374.98</v>
      </c>
      <c r="F452" s="2">
        <v>4900</v>
      </c>
      <c r="G452" s="2" t="s">
        <v>10</v>
      </c>
    </row>
    <row r="453" spans="1:7" x14ac:dyDescent="0.25">
      <c r="A453" s="2" t="s">
        <v>499</v>
      </c>
      <c r="B453" s="3">
        <v>45650</v>
      </c>
      <c r="C453" s="2" t="s">
        <v>48</v>
      </c>
      <c r="D453" s="2" t="s">
        <v>9</v>
      </c>
      <c r="E453" s="4">
        <v>-5320.68</v>
      </c>
      <c r="F453" s="2">
        <v>6100</v>
      </c>
      <c r="G453" s="2" t="s">
        <v>10</v>
      </c>
    </row>
    <row r="454" spans="1:7" x14ac:dyDescent="0.25">
      <c r="A454" s="2" t="s">
        <v>500</v>
      </c>
      <c r="B454" s="3">
        <v>45585</v>
      </c>
      <c r="C454" s="2" t="s">
        <v>67</v>
      </c>
      <c r="D454" s="2" t="s">
        <v>59</v>
      </c>
      <c r="E454" s="4">
        <v>-935.6</v>
      </c>
      <c r="F454" s="2">
        <v>6200</v>
      </c>
      <c r="G454" s="2" t="s">
        <v>10</v>
      </c>
    </row>
    <row r="455" spans="1:7" x14ac:dyDescent="0.25">
      <c r="A455" s="2" t="s">
        <v>501</v>
      </c>
      <c r="B455" s="3">
        <v>45498</v>
      </c>
      <c r="C455" s="2" t="s">
        <v>94</v>
      </c>
      <c r="D455" s="2" t="s">
        <v>24</v>
      </c>
      <c r="E455" s="4">
        <v>-832.93</v>
      </c>
      <c r="F455" s="2">
        <v>6300</v>
      </c>
      <c r="G455" s="2" t="s">
        <v>10</v>
      </c>
    </row>
    <row r="456" spans="1:7" x14ac:dyDescent="0.25">
      <c r="A456" s="2" t="s">
        <v>502</v>
      </c>
      <c r="B456" s="3">
        <v>45338</v>
      </c>
      <c r="C456" s="2" t="s">
        <v>23</v>
      </c>
      <c r="D456" s="2" t="s">
        <v>24</v>
      </c>
      <c r="E456" s="4">
        <v>-467.86</v>
      </c>
      <c r="F456" s="2">
        <v>6300</v>
      </c>
      <c r="G456" s="2" t="s">
        <v>10</v>
      </c>
    </row>
    <row r="457" spans="1:7" x14ac:dyDescent="0.25">
      <c r="A457" s="2" t="s">
        <v>503</v>
      </c>
      <c r="B457" s="3">
        <v>45385</v>
      </c>
      <c r="C457" s="2" t="s">
        <v>8</v>
      </c>
      <c r="D457" s="2" t="s">
        <v>9</v>
      </c>
      <c r="E457" s="4">
        <v>-4871.1099999999997</v>
      </c>
      <c r="F457" s="2">
        <v>6100</v>
      </c>
      <c r="G457" s="2" t="s">
        <v>10</v>
      </c>
    </row>
    <row r="458" spans="1:7" x14ac:dyDescent="0.25">
      <c r="A458" s="2" t="s">
        <v>504</v>
      </c>
      <c r="B458" s="3">
        <v>45579</v>
      </c>
      <c r="C458" s="2" t="s">
        <v>44</v>
      </c>
      <c r="D458" s="2" t="s">
        <v>9</v>
      </c>
      <c r="E458" s="4">
        <v>-3197.72</v>
      </c>
      <c r="F458" s="2">
        <v>6100</v>
      </c>
      <c r="G458" s="2" t="s">
        <v>10</v>
      </c>
    </row>
    <row r="459" spans="1:7" x14ac:dyDescent="0.25">
      <c r="A459" s="2" t="s">
        <v>505</v>
      </c>
      <c r="B459" s="3">
        <v>45623</v>
      </c>
      <c r="C459" s="2" t="s">
        <v>15</v>
      </c>
      <c r="D459" s="2" t="s">
        <v>13</v>
      </c>
      <c r="E459" s="4">
        <v>-1442.89</v>
      </c>
      <c r="F459" s="2">
        <v>6400</v>
      </c>
      <c r="G459" s="2" t="s">
        <v>10</v>
      </c>
    </row>
    <row r="460" spans="1:7" x14ac:dyDescent="0.25">
      <c r="A460" s="2" t="s">
        <v>506</v>
      </c>
      <c r="B460" s="3">
        <v>45517</v>
      </c>
      <c r="C460" s="2" t="s">
        <v>8</v>
      </c>
      <c r="D460" s="2" t="s">
        <v>9</v>
      </c>
      <c r="E460" s="4">
        <v>-2399.67</v>
      </c>
      <c r="F460" s="2">
        <v>6100</v>
      </c>
      <c r="G460" s="2" t="s">
        <v>10</v>
      </c>
    </row>
    <row r="461" spans="1:7" x14ac:dyDescent="0.25">
      <c r="A461" s="2" t="s">
        <v>507</v>
      </c>
      <c r="B461" s="3">
        <v>45596</v>
      </c>
      <c r="C461" s="2" t="s">
        <v>103</v>
      </c>
      <c r="D461" s="2" t="s">
        <v>35</v>
      </c>
      <c r="E461" s="4">
        <v>10164.799999999999</v>
      </c>
      <c r="F461" s="2">
        <v>4000</v>
      </c>
      <c r="G461" s="2" t="s">
        <v>10</v>
      </c>
    </row>
    <row r="462" spans="1:7" x14ac:dyDescent="0.25">
      <c r="A462" s="2" t="s">
        <v>508</v>
      </c>
      <c r="B462" s="3">
        <v>45522</v>
      </c>
      <c r="C462" s="2" t="s">
        <v>127</v>
      </c>
      <c r="D462" s="2" t="s">
        <v>24</v>
      </c>
      <c r="E462" s="4">
        <v>-399.74</v>
      </c>
      <c r="F462" s="2">
        <v>6300</v>
      </c>
      <c r="G462" s="2" t="s">
        <v>10</v>
      </c>
    </row>
    <row r="463" spans="1:7" x14ac:dyDescent="0.25">
      <c r="A463" s="2" t="s">
        <v>509</v>
      </c>
      <c r="B463" s="3">
        <v>45629</v>
      </c>
      <c r="C463" s="2" t="s">
        <v>44</v>
      </c>
      <c r="D463" s="2" t="s">
        <v>9</v>
      </c>
      <c r="E463" s="4">
        <v>-3991.91</v>
      </c>
      <c r="F463" s="2">
        <v>6100</v>
      </c>
      <c r="G463" s="2" t="s">
        <v>10</v>
      </c>
    </row>
    <row r="464" spans="1:7" x14ac:dyDescent="0.25">
      <c r="A464" s="2" t="s">
        <v>510</v>
      </c>
      <c r="B464" s="3">
        <v>45650</v>
      </c>
      <c r="C464" s="2" t="s">
        <v>42</v>
      </c>
      <c r="D464" s="2" t="s">
        <v>39</v>
      </c>
      <c r="E464" s="4">
        <v>-2218.2800000000002</v>
      </c>
      <c r="F464" s="2">
        <v>6500</v>
      </c>
      <c r="G464" s="2" t="s">
        <v>10</v>
      </c>
    </row>
    <row r="465" spans="1:7" x14ac:dyDescent="0.25">
      <c r="A465" s="2" t="s">
        <v>511</v>
      </c>
      <c r="B465" s="3">
        <v>45465</v>
      </c>
      <c r="C465" s="2" t="s">
        <v>76</v>
      </c>
      <c r="D465" s="2" t="s">
        <v>28</v>
      </c>
      <c r="E465" s="4">
        <v>-5.08</v>
      </c>
      <c r="F465" s="2">
        <v>6900</v>
      </c>
      <c r="G465" s="2" t="s">
        <v>10</v>
      </c>
    </row>
    <row r="466" spans="1:7" x14ac:dyDescent="0.25">
      <c r="A466" s="2" t="s">
        <v>512</v>
      </c>
      <c r="B466" s="3">
        <v>45310</v>
      </c>
      <c r="C466" s="2" t="s">
        <v>17</v>
      </c>
      <c r="D466" s="2" t="s">
        <v>18</v>
      </c>
      <c r="E466" s="4">
        <v>-1915.3</v>
      </c>
      <c r="F466" s="2">
        <v>5100</v>
      </c>
      <c r="G466" s="2" t="s">
        <v>10</v>
      </c>
    </row>
    <row r="467" spans="1:7" x14ac:dyDescent="0.25">
      <c r="A467" s="2" t="s">
        <v>513</v>
      </c>
      <c r="B467" s="3">
        <v>45360</v>
      </c>
      <c r="C467" s="2" t="s">
        <v>38</v>
      </c>
      <c r="D467" s="2" t="s">
        <v>39</v>
      </c>
      <c r="E467" s="4">
        <v>-2982.36</v>
      </c>
      <c r="F467" s="2">
        <v>6500</v>
      </c>
      <c r="G467" s="2" t="s">
        <v>10</v>
      </c>
    </row>
    <row r="468" spans="1:7" x14ac:dyDescent="0.25">
      <c r="A468" s="2" t="s">
        <v>514</v>
      </c>
      <c r="B468" s="3">
        <v>45495</v>
      </c>
      <c r="C468" s="2" t="s">
        <v>67</v>
      </c>
      <c r="D468" s="2" t="s">
        <v>59</v>
      </c>
      <c r="E468" s="4">
        <v>-513.61</v>
      </c>
      <c r="F468" s="2">
        <v>6200</v>
      </c>
      <c r="G468" s="2" t="s">
        <v>10</v>
      </c>
    </row>
    <row r="469" spans="1:7" x14ac:dyDescent="0.25">
      <c r="A469" s="2" t="s">
        <v>515</v>
      </c>
      <c r="B469" s="3">
        <v>45380</v>
      </c>
      <c r="C469" s="2" t="s">
        <v>12</v>
      </c>
      <c r="D469" s="2" t="s">
        <v>13</v>
      </c>
      <c r="E469" s="4">
        <v>-605.08000000000004</v>
      </c>
      <c r="F469" s="2">
        <v>6400</v>
      </c>
      <c r="G469" s="2" t="s">
        <v>10</v>
      </c>
    </row>
    <row r="470" spans="1:7" x14ac:dyDescent="0.25">
      <c r="A470" s="2" t="s">
        <v>516</v>
      </c>
      <c r="B470" s="3">
        <v>45603</v>
      </c>
      <c r="C470" s="2" t="s">
        <v>42</v>
      </c>
      <c r="D470" s="2" t="s">
        <v>39</v>
      </c>
      <c r="E470" s="4">
        <v>-3883.16</v>
      </c>
      <c r="F470" s="2">
        <v>6500</v>
      </c>
      <c r="G470" s="2" t="s">
        <v>10</v>
      </c>
    </row>
    <row r="471" spans="1:7" x14ac:dyDescent="0.25">
      <c r="A471" s="2" t="s">
        <v>517</v>
      </c>
      <c r="B471" s="3">
        <v>45479</v>
      </c>
      <c r="C471" s="2" t="s">
        <v>76</v>
      </c>
      <c r="D471" s="2" t="s">
        <v>28</v>
      </c>
      <c r="E471" s="4">
        <v>-78.27</v>
      </c>
      <c r="F471" s="2">
        <v>6900</v>
      </c>
      <c r="G471" s="2" t="s">
        <v>10</v>
      </c>
    </row>
    <row r="472" spans="1:7" x14ac:dyDescent="0.25">
      <c r="A472" s="2" t="s">
        <v>518</v>
      </c>
      <c r="B472" s="3">
        <v>45472</v>
      </c>
      <c r="C472" s="2" t="s">
        <v>67</v>
      </c>
      <c r="D472" s="2" t="s">
        <v>59</v>
      </c>
      <c r="E472" s="4">
        <v>-321.39999999999998</v>
      </c>
      <c r="F472" s="2">
        <v>6200</v>
      </c>
      <c r="G472" s="2" t="s">
        <v>10</v>
      </c>
    </row>
    <row r="473" spans="1:7" x14ac:dyDescent="0.25">
      <c r="A473" s="2" t="s">
        <v>519</v>
      </c>
      <c r="B473" s="3">
        <v>45417</v>
      </c>
      <c r="C473" s="2" t="s">
        <v>8</v>
      </c>
      <c r="D473" s="2" t="s">
        <v>9</v>
      </c>
      <c r="E473" s="4">
        <v>-2888.64</v>
      </c>
      <c r="F473" s="2">
        <v>6100</v>
      </c>
      <c r="G473" s="2" t="s">
        <v>10</v>
      </c>
    </row>
    <row r="474" spans="1:7" x14ac:dyDescent="0.25">
      <c r="A474" s="2" t="s">
        <v>520</v>
      </c>
      <c r="B474" s="3">
        <v>45301</v>
      </c>
      <c r="C474" s="2" t="s">
        <v>12</v>
      </c>
      <c r="D474" s="2" t="s">
        <v>13</v>
      </c>
      <c r="E474" s="4">
        <v>-384.52</v>
      </c>
      <c r="F474" s="2">
        <v>6400</v>
      </c>
      <c r="G474" s="2" t="s">
        <v>10</v>
      </c>
    </row>
    <row r="475" spans="1:7" x14ac:dyDescent="0.25">
      <c r="A475" s="2" t="s">
        <v>521</v>
      </c>
      <c r="B475" s="3">
        <v>45470</v>
      </c>
      <c r="C475" s="2" t="s">
        <v>76</v>
      </c>
      <c r="D475" s="2" t="s">
        <v>28</v>
      </c>
      <c r="E475" s="4">
        <v>-46.92</v>
      </c>
      <c r="F475" s="2">
        <v>6900</v>
      </c>
      <c r="G475" s="2" t="s">
        <v>10</v>
      </c>
    </row>
    <row r="476" spans="1:7" x14ac:dyDescent="0.25">
      <c r="A476" s="2" t="s">
        <v>522</v>
      </c>
      <c r="B476" s="3">
        <v>45524</v>
      </c>
      <c r="C476" s="2" t="s">
        <v>127</v>
      </c>
      <c r="D476" s="2" t="s">
        <v>24</v>
      </c>
      <c r="E476" s="4">
        <v>-786.84</v>
      </c>
      <c r="F476" s="2">
        <v>6300</v>
      </c>
      <c r="G476" s="2" t="s">
        <v>10</v>
      </c>
    </row>
    <row r="477" spans="1:7" x14ac:dyDescent="0.25">
      <c r="A477" s="2" t="s">
        <v>523</v>
      </c>
      <c r="B477" s="3">
        <v>45469</v>
      </c>
      <c r="C477" s="2" t="s">
        <v>146</v>
      </c>
      <c r="D477" s="2" t="s">
        <v>31</v>
      </c>
      <c r="E477" s="4">
        <v>246.04</v>
      </c>
      <c r="F477" s="2">
        <v>4900</v>
      </c>
      <c r="G477" s="2" t="s">
        <v>10</v>
      </c>
    </row>
    <row r="478" spans="1:7" x14ac:dyDescent="0.25">
      <c r="A478" s="2" t="s">
        <v>524</v>
      </c>
      <c r="B478" s="3">
        <v>45361</v>
      </c>
      <c r="C478" s="2" t="s">
        <v>21</v>
      </c>
      <c r="D478" s="2" t="s">
        <v>13</v>
      </c>
      <c r="E478" s="4">
        <v>-2332.94</v>
      </c>
      <c r="F478" s="2">
        <v>6400</v>
      </c>
      <c r="G478" s="2" t="s">
        <v>10</v>
      </c>
    </row>
    <row r="479" spans="1:7" x14ac:dyDescent="0.25">
      <c r="A479" s="2" t="s">
        <v>525</v>
      </c>
      <c r="B479" s="3">
        <v>45530</v>
      </c>
      <c r="C479" s="2" t="s">
        <v>30</v>
      </c>
      <c r="D479" s="2" t="s">
        <v>31</v>
      </c>
      <c r="E479" s="4">
        <v>209.97</v>
      </c>
      <c r="F479" s="2">
        <v>4900</v>
      </c>
      <c r="G479" s="2" t="s">
        <v>10</v>
      </c>
    </row>
    <row r="480" spans="1:7" x14ac:dyDescent="0.25">
      <c r="A480" s="2" t="s">
        <v>526</v>
      </c>
      <c r="B480" s="3">
        <v>45618</v>
      </c>
      <c r="C480" s="2" t="s">
        <v>127</v>
      </c>
      <c r="D480" s="2" t="s">
        <v>24</v>
      </c>
      <c r="E480" s="4">
        <v>-391.15</v>
      </c>
      <c r="F480" s="2">
        <v>6300</v>
      </c>
      <c r="G480" s="2" t="s">
        <v>10</v>
      </c>
    </row>
    <row r="481" spans="1:7" x14ac:dyDescent="0.25">
      <c r="A481" s="2" t="s">
        <v>527</v>
      </c>
      <c r="B481" s="3">
        <v>45389</v>
      </c>
      <c r="C481" s="2" t="s">
        <v>8</v>
      </c>
      <c r="D481" s="2" t="s">
        <v>9</v>
      </c>
      <c r="E481" s="4">
        <v>-3637.51</v>
      </c>
      <c r="F481" s="2">
        <v>6100</v>
      </c>
      <c r="G481" s="2" t="s">
        <v>10</v>
      </c>
    </row>
    <row r="482" spans="1:7" x14ac:dyDescent="0.25">
      <c r="A482" s="2" t="s">
        <v>528</v>
      </c>
      <c r="B482" s="3">
        <v>45514</v>
      </c>
      <c r="C482" s="2" t="s">
        <v>21</v>
      </c>
      <c r="D482" s="2" t="s">
        <v>13</v>
      </c>
      <c r="E482" s="4">
        <v>-189.59</v>
      </c>
      <c r="F482" s="2">
        <v>6400</v>
      </c>
      <c r="G482" s="2" t="s">
        <v>10</v>
      </c>
    </row>
    <row r="483" spans="1:7" x14ac:dyDescent="0.25">
      <c r="A483" s="2" t="s">
        <v>529</v>
      </c>
      <c r="B483" s="3">
        <v>45643</v>
      </c>
      <c r="C483" s="2" t="s">
        <v>21</v>
      </c>
      <c r="D483" s="2" t="s">
        <v>13</v>
      </c>
      <c r="E483" s="4">
        <v>-1360.67</v>
      </c>
      <c r="F483" s="2">
        <v>6400</v>
      </c>
      <c r="G483" s="2" t="s">
        <v>10</v>
      </c>
    </row>
    <row r="484" spans="1:7" x14ac:dyDescent="0.25">
      <c r="A484" s="2" t="s">
        <v>530</v>
      </c>
      <c r="B484" s="3">
        <v>45538</v>
      </c>
      <c r="C484" s="2" t="s">
        <v>30</v>
      </c>
      <c r="D484" s="2" t="s">
        <v>31</v>
      </c>
      <c r="E484" s="4">
        <v>390.42</v>
      </c>
      <c r="F484" s="2">
        <v>4900</v>
      </c>
      <c r="G484" s="2" t="s">
        <v>10</v>
      </c>
    </row>
    <row r="485" spans="1:7" x14ac:dyDescent="0.25">
      <c r="A485" s="2" t="s">
        <v>531</v>
      </c>
      <c r="B485" s="3">
        <v>45442</v>
      </c>
      <c r="C485" s="2" t="s">
        <v>103</v>
      </c>
      <c r="D485" s="2" t="s">
        <v>35</v>
      </c>
      <c r="E485" s="4">
        <v>23830.12</v>
      </c>
      <c r="F485" s="2">
        <v>4000</v>
      </c>
      <c r="G485" s="2" t="s">
        <v>10</v>
      </c>
    </row>
    <row r="486" spans="1:7" x14ac:dyDescent="0.25">
      <c r="A486" s="2" t="s">
        <v>532</v>
      </c>
      <c r="B486" s="3">
        <v>45477</v>
      </c>
      <c r="C486" s="2" t="s">
        <v>195</v>
      </c>
      <c r="D486" s="2" t="s">
        <v>28</v>
      </c>
      <c r="E486" s="4">
        <v>-6.75</v>
      </c>
      <c r="F486" s="2">
        <v>6900</v>
      </c>
      <c r="G486" s="2" t="s">
        <v>10</v>
      </c>
    </row>
    <row r="487" spans="1:7" x14ac:dyDescent="0.25">
      <c r="A487" s="2" t="s">
        <v>533</v>
      </c>
      <c r="B487" s="3">
        <v>45387</v>
      </c>
      <c r="C487" s="2" t="s">
        <v>58</v>
      </c>
      <c r="D487" s="2" t="s">
        <v>59</v>
      </c>
      <c r="E487" s="4">
        <v>-564.5</v>
      </c>
      <c r="F487" s="2">
        <v>6200</v>
      </c>
      <c r="G487" s="2" t="s">
        <v>10</v>
      </c>
    </row>
    <row r="488" spans="1:7" x14ac:dyDescent="0.25">
      <c r="A488" s="2" t="s">
        <v>534</v>
      </c>
      <c r="B488" s="3">
        <v>45507</v>
      </c>
      <c r="C488" s="2" t="s">
        <v>127</v>
      </c>
      <c r="D488" s="2" t="s">
        <v>24</v>
      </c>
      <c r="E488" s="4">
        <v>-582.33000000000004</v>
      </c>
      <c r="F488" s="2">
        <v>6300</v>
      </c>
      <c r="G488" s="2" t="s">
        <v>10</v>
      </c>
    </row>
    <row r="489" spans="1:7" x14ac:dyDescent="0.25">
      <c r="A489" s="2" t="s">
        <v>535</v>
      </c>
      <c r="B489" s="3">
        <v>45558</v>
      </c>
      <c r="C489" s="2" t="s">
        <v>42</v>
      </c>
      <c r="D489" s="2" t="s">
        <v>39</v>
      </c>
      <c r="E489" s="4">
        <v>-4225.46</v>
      </c>
      <c r="F489" s="2">
        <v>6500</v>
      </c>
      <c r="G489" s="2" t="s">
        <v>10</v>
      </c>
    </row>
    <row r="490" spans="1:7" x14ac:dyDescent="0.25">
      <c r="A490" s="2" t="s">
        <v>536</v>
      </c>
      <c r="B490" s="3">
        <v>45528</v>
      </c>
      <c r="C490" s="2" t="s">
        <v>21</v>
      </c>
      <c r="D490" s="2" t="s">
        <v>13</v>
      </c>
      <c r="E490" s="4">
        <v>-305.99</v>
      </c>
      <c r="F490" s="2">
        <v>6400</v>
      </c>
      <c r="G490" s="2" t="s">
        <v>10</v>
      </c>
    </row>
    <row r="491" spans="1:7" x14ac:dyDescent="0.25">
      <c r="A491" s="2" t="s">
        <v>537</v>
      </c>
      <c r="B491" s="3">
        <v>45500</v>
      </c>
      <c r="C491" s="2" t="s">
        <v>195</v>
      </c>
      <c r="D491" s="2" t="s">
        <v>28</v>
      </c>
      <c r="E491" s="4">
        <v>-113.87</v>
      </c>
      <c r="F491" s="2">
        <v>6900</v>
      </c>
      <c r="G491" s="2" t="s">
        <v>10</v>
      </c>
    </row>
    <row r="492" spans="1:7" x14ac:dyDescent="0.25">
      <c r="A492" s="2" t="s">
        <v>538</v>
      </c>
      <c r="B492" s="3">
        <v>45528</v>
      </c>
      <c r="C492" s="2" t="s">
        <v>12</v>
      </c>
      <c r="D492" s="2" t="s">
        <v>13</v>
      </c>
      <c r="E492" s="4">
        <v>-292.26</v>
      </c>
      <c r="F492" s="2">
        <v>6400</v>
      </c>
      <c r="G492" s="2" t="s">
        <v>10</v>
      </c>
    </row>
    <row r="493" spans="1:7" x14ac:dyDescent="0.25">
      <c r="A493" s="2" t="s">
        <v>539</v>
      </c>
      <c r="B493" s="3">
        <v>45580</v>
      </c>
      <c r="C493" s="2" t="s">
        <v>30</v>
      </c>
      <c r="D493" s="2" t="s">
        <v>31</v>
      </c>
      <c r="E493" s="4">
        <v>138.06</v>
      </c>
      <c r="F493" s="2">
        <v>4900</v>
      </c>
      <c r="G493" s="2" t="s">
        <v>10</v>
      </c>
    </row>
    <row r="494" spans="1:7" x14ac:dyDescent="0.25">
      <c r="A494" s="2" t="s">
        <v>540</v>
      </c>
      <c r="B494" s="3">
        <v>45419</v>
      </c>
      <c r="C494" s="2" t="s">
        <v>76</v>
      </c>
      <c r="D494" s="2" t="s">
        <v>28</v>
      </c>
      <c r="E494" s="4">
        <v>-98.99</v>
      </c>
      <c r="F494" s="2">
        <v>6900</v>
      </c>
      <c r="G494" s="2" t="s">
        <v>10</v>
      </c>
    </row>
    <row r="495" spans="1:7" x14ac:dyDescent="0.25">
      <c r="A495" s="2" t="s">
        <v>541</v>
      </c>
      <c r="B495" s="3">
        <v>45470</v>
      </c>
      <c r="C495" s="2" t="s">
        <v>67</v>
      </c>
      <c r="D495" s="2" t="s">
        <v>59</v>
      </c>
      <c r="E495" s="4">
        <v>-1126.26</v>
      </c>
      <c r="F495" s="2">
        <v>6200</v>
      </c>
      <c r="G495" s="2" t="s">
        <v>10</v>
      </c>
    </row>
    <row r="496" spans="1:7" x14ac:dyDescent="0.25">
      <c r="A496" s="2" t="s">
        <v>542</v>
      </c>
      <c r="B496" s="3">
        <v>45527</v>
      </c>
      <c r="C496" s="2" t="s">
        <v>8</v>
      </c>
      <c r="D496" s="2" t="s">
        <v>9</v>
      </c>
      <c r="E496" s="4">
        <v>-4684.9799999999996</v>
      </c>
      <c r="F496" s="2">
        <v>6100</v>
      </c>
      <c r="G496" s="2" t="s">
        <v>10</v>
      </c>
    </row>
    <row r="497" spans="1:7" x14ac:dyDescent="0.25">
      <c r="A497" s="2" t="s">
        <v>543</v>
      </c>
      <c r="B497" s="3">
        <v>45381</v>
      </c>
      <c r="C497" s="2" t="s">
        <v>94</v>
      </c>
      <c r="D497" s="2" t="s">
        <v>24</v>
      </c>
      <c r="E497" s="4">
        <v>-440.33</v>
      </c>
      <c r="F497" s="2">
        <v>6300</v>
      </c>
      <c r="G497" s="2" t="s">
        <v>10</v>
      </c>
    </row>
    <row r="498" spans="1:7" x14ac:dyDescent="0.25">
      <c r="A498" s="2" t="s">
        <v>544</v>
      </c>
      <c r="B498" s="3">
        <v>45515</v>
      </c>
      <c r="C498" s="2" t="s">
        <v>195</v>
      </c>
      <c r="D498" s="2" t="s">
        <v>28</v>
      </c>
      <c r="E498" s="4">
        <v>-76.14</v>
      </c>
      <c r="F498" s="2">
        <v>6900</v>
      </c>
      <c r="G498" s="2" t="s">
        <v>10</v>
      </c>
    </row>
    <row r="499" spans="1:7" x14ac:dyDescent="0.25">
      <c r="A499" s="2" t="s">
        <v>545</v>
      </c>
      <c r="B499" s="3">
        <v>45572</v>
      </c>
      <c r="C499" s="2" t="s">
        <v>56</v>
      </c>
      <c r="D499" s="2" t="s">
        <v>18</v>
      </c>
      <c r="E499" s="4">
        <v>-9235.18</v>
      </c>
      <c r="F499" s="2">
        <v>5100</v>
      </c>
      <c r="G499" s="2" t="s">
        <v>10</v>
      </c>
    </row>
    <row r="500" spans="1:7" x14ac:dyDescent="0.25">
      <c r="A500" s="2" t="s">
        <v>546</v>
      </c>
      <c r="B500" s="3">
        <v>45537</v>
      </c>
      <c r="C500" s="2" t="s">
        <v>56</v>
      </c>
      <c r="D500" s="2" t="s">
        <v>18</v>
      </c>
      <c r="E500" s="4">
        <v>-5911.64</v>
      </c>
      <c r="F500" s="2">
        <v>5100</v>
      </c>
      <c r="G500" s="2" t="s">
        <v>10</v>
      </c>
    </row>
    <row r="501" spans="1:7" x14ac:dyDescent="0.25">
      <c r="A501" s="2" t="s">
        <v>547</v>
      </c>
      <c r="B501" s="3">
        <v>45335</v>
      </c>
      <c r="C501" s="2" t="s">
        <v>71</v>
      </c>
      <c r="D501" s="2" t="s">
        <v>59</v>
      </c>
      <c r="E501" s="4">
        <v>-565.48</v>
      </c>
      <c r="F501" s="2">
        <v>6200</v>
      </c>
      <c r="G501" s="2" t="s">
        <v>10</v>
      </c>
    </row>
    <row r="502" spans="1:7" x14ac:dyDescent="0.25">
      <c r="A502" s="2" t="s">
        <v>548</v>
      </c>
      <c r="B502" s="3">
        <v>45530</v>
      </c>
      <c r="C502" s="2" t="s">
        <v>34</v>
      </c>
      <c r="D502" s="2" t="s">
        <v>35</v>
      </c>
      <c r="E502" s="4">
        <v>4489.99</v>
      </c>
      <c r="F502" s="2">
        <v>4000</v>
      </c>
      <c r="G502" s="2" t="s">
        <v>10</v>
      </c>
    </row>
    <row r="503" spans="1:7" x14ac:dyDescent="0.25">
      <c r="A503" s="2" t="s">
        <v>549</v>
      </c>
      <c r="B503" s="3">
        <v>45651</v>
      </c>
      <c r="C503" s="2" t="s">
        <v>17</v>
      </c>
      <c r="D503" s="2" t="s">
        <v>18</v>
      </c>
      <c r="E503" s="4">
        <v>-8499.51</v>
      </c>
      <c r="F503" s="2">
        <v>5100</v>
      </c>
      <c r="G503" s="2" t="s">
        <v>10</v>
      </c>
    </row>
    <row r="504" spans="1:7" x14ac:dyDescent="0.25">
      <c r="A504" s="2" t="s">
        <v>550</v>
      </c>
      <c r="B504" s="3">
        <v>45577</v>
      </c>
      <c r="C504" s="2" t="s">
        <v>17</v>
      </c>
      <c r="D504" s="2" t="s">
        <v>18</v>
      </c>
      <c r="E504" s="4">
        <v>-7330.1</v>
      </c>
      <c r="F504" s="2">
        <v>5100</v>
      </c>
      <c r="G504" s="2" t="s">
        <v>10</v>
      </c>
    </row>
    <row r="505" spans="1:7" x14ac:dyDescent="0.25">
      <c r="A505" s="2" t="s">
        <v>551</v>
      </c>
      <c r="B505" s="3">
        <v>45600</v>
      </c>
      <c r="C505" s="2" t="s">
        <v>44</v>
      </c>
      <c r="D505" s="2" t="s">
        <v>9</v>
      </c>
      <c r="E505" s="4">
        <v>-1092.7</v>
      </c>
      <c r="F505" s="2">
        <v>6100</v>
      </c>
      <c r="G505" s="2" t="s">
        <v>10</v>
      </c>
    </row>
    <row r="506" spans="1:7" x14ac:dyDescent="0.25">
      <c r="A506" s="2" t="s">
        <v>552</v>
      </c>
      <c r="B506" s="3">
        <v>45568</v>
      </c>
      <c r="C506" s="2" t="s">
        <v>8</v>
      </c>
      <c r="D506" s="2" t="s">
        <v>9</v>
      </c>
      <c r="E506" s="4">
        <v>-5878.65</v>
      </c>
      <c r="F506" s="2">
        <v>6100</v>
      </c>
      <c r="G506" s="2" t="s">
        <v>10</v>
      </c>
    </row>
    <row r="507" spans="1:7" x14ac:dyDescent="0.25">
      <c r="A507" s="2" t="s">
        <v>553</v>
      </c>
      <c r="B507" s="3">
        <v>45332</v>
      </c>
      <c r="C507" s="2" t="s">
        <v>44</v>
      </c>
      <c r="D507" s="2" t="s">
        <v>9</v>
      </c>
      <c r="E507" s="4">
        <v>-2818.4</v>
      </c>
      <c r="F507" s="2">
        <v>6100</v>
      </c>
      <c r="G507" s="2" t="s">
        <v>10</v>
      </c>
    </row>
    <row r="508" spans="1:7" x14ac:dyDescent="0.25">
      <c r="A508" s="2" t="s">
        <v>554</v>
      </c>
      <c r="B508" s="3">
        <v>45538</v>
      </c>
      <c r="C508" s="2" t="s">
        <v>71</v>
      </c>
      <c r="D508" s="2" t="s">
        <v>59</v>
      </c>
      <c r="E508" s="4">
        <v>-227.59</v>
      </c>
      <c r="F508" s="2">
        <v>6200</v>
      </c>
      <c r="G508" s="2" t="s">
        <v>10</v>
      </c>
    </row>
    <row r="509" spans="1:7" x14ac:dyDescent="0.25">
      <c r="A509" s="2" t="s">
        <v>555</v>
      </c>
      <c r="B509" s="3">
        <v>45381</v>
      </c>
      <c r="C509" s="2" t="s">
        <v>51</v>
      </c>
      <c r="D509" s="2" t="s">
        <v>52</v>
      </c>
      <c r="E509" s="4">
        <v>-9124.89</v>
      </c>
      <c r="F509" s="2">
        <v>6000</v>
      </c>
      <c r="G509" s="2" t="s">
        <v>10</v>
      </c>
    </row>
    <row r="510" spans="1:7" x14ac:dyDescent="0.25">
      <c r="A510" s="2" t="s">
        <v>556</v>
      </c>
      <c r="B510" s="3">
        <v>45443</v>
      </c>
      <c r="C510" s="2" t="s">
        <v>103</v>
      </c>
      <c r="D510" s="2" t="s">
        <v>35</v>
      </c>
      <c r="E510" s="4">
        <v>22470.51</v>
      </c>
      <c r="F510" s="2">
        <v>4000</v>
      </c>
      <c r="G510" s="2" t="s">
        <v>10</v>
      </c>
    </row>
    <row r="511" spans="1:7" x14ac:dyDescent="0.25">
      <c r="A511" s="2" t="s">
        <v>557</v>
      </c>
      <c r="B511" s="3">
        <v>45505</v>
      </c>
      <c r="C511" s="2" t="s">
        <v>97</v>
      </c>
      <c r="D511" s="2" t="s">
        <v>52</v>
      </c>
      <c r="E511" s="4">
        <v>-6281.2</v>
      </c>
      <c r="F511" s="2">
        <v>6000</v>
      </c>
      <c r="G511" s="2" t="s">
        <v>10</v>
      </c>
    </row>
    <row r="512" spans="1:7" x14ac:dyDescent="0.25">
      <c r="A512" s="2" t="s">
        <v>558</v>
      </c>
      <c r="B512" s="3">
        <v>45431</v>
      </c>
      <c r="C512" s="2" t="s">
        <v>94</v>
      </c>
      <c r="D512" s="2" t="s">
        <v>24</v>
      </c>
      <c r="E512" s="4">
        <v>-780.44</v>
      </c>
      <c r="F512" s="2">
        <v>6300</v>
      </c>
      <c r="G512" s="2" t="s">
        <v>10</v>
      </c>
    </row>
    <row r="513" spans="1:7" x14ac:dyDescent="0.25">
      <c r="A513" s="2" t="s">
        <v>559</v>
      </c>
      <c r="B513" s="3">
        <v>45547</v>
      </c>
      <c r="C513" s="2" t="s">
        <v>17</v>
      </c>
      <c r="D513" s="2" t="s">
        <v>18</v>
      </c>
      <c r="E513" s="4">
        <v>-5803.59</v>
      </c>
      <c r="F513" s="2">
        <v>5100</v>
      </c>
      <c r="G513" s="2" t="s">
        <v>10</v>
      </c>
    </row>
    <row r="514" spans="1:7" x14ac:dyDescent="0.25">
      <c r="A514" s="2" t="s">
        <v>560</v>
      </c>
      <c r="B514" s="3">
        <v>45529</v>
      </c>
      <c r="C514" s="2" t="s">
        <v>81</v>
      </c>
      <c r="D514" s="2" t="s">
        <v>18</v>
      </c>
      <c r="E514" s="4">
        <v>-11973.78</v>
      </c>
      <c r="F514" s="2">
        <v>5100</v>
      </c>
      <c r="G514" s="2" t="s">
        <v>10</v>
      </c>
    </row>
    <row r="515" spans="1:7" x14ac:dyDescent="0.25">
      <c r="A515" s="2" t="s">
        <v>561</v>
      </c>
      <c r="B515" s="3">
        <v>45362</v>
      </c>
      <c r="C515" s="2" t="s">
        <v>94</v>
      </c>
      <c r="D515" s="2" t="s">
        <v>24</v>
      </c>
      <c r="E515" s="4">
        <v>-788.12</v>
      </c>
      <c r="F515" s="2">
        <v>6300</v>
      </c>
      <c r="G515" s="2" t="s">
        <v>10</v>
      </c>
    </row>
    <row r="516" spans="1:7" x14ac:dyDescent="0.25">
      <c r="A516" s="2" t="s">
        <v>562</v>
      </c>
      <c r="B516" s="3">
        <v>45472</v>
      </c>
      <c r="C516" s="2" t="s">
        <v>71</v>
      </c>
      <c r="D516" s="2" t="s">
        <v>59</v>
      </c>
      <c r="E516" s="4">
        <v>-198.77</v>
      </c>
      <c r="F516" s="2">
        <v>6200</v>
      </c>
      <c r="G516" s="2" t="s">
        <v>10</v>
      </c>
    </row>
    <row r="517" spans="1:7" x14ac:dyDescent="0.25">
      <c r="A517" s="2" t="s">
        <v>563</v>
      </c>
      <c r="B517" s="3">
        <v>45462</v>
      </c>
      <c r="C517" s="2" t="s">
        <v>76</v>
      </c>
      <c r="D517" s="2" t="s">
        <v>28</v>
      </c>
      <c r="E517" s="4">
        <v>-66.59</v>
      </c>
      <c r="F517" s="2">
        <v>6900</v>
      </c>
      <c r="G517" s="2" t="s">
        <v>10</v>
      </c>
    </row>
    <row r="518" spans="1:7" x14ac:dyDescent="0.25">
      <c r="A518" s="2" t="s">
        <v>564</v>
      </c>
      <c r="B518" s="3">
        <v>45578</v>
      </c>
      <c r="C518" s="2" t="s">
        <v>23</v>
      </c>
      <c r="D518" s="2" t="s">
        <v>24</v>
      </c>
      <c r="E518" s="4">
        <v>-475.54</v>
      </c>
      <c r="F518" s="2">
        <v>6300</v>
      </c>
      <c r="G518" s="2" t="s">
        <v>10</v>
      </c>
    </row>
    <row r="519" spans="1:7" x14ac:dyDescent="0.25">
      <c r="A519" s="2" t="s">
        <v>565</v>
      </c>
      <c r="B519" s="3">
        <v>45325</v>
      </c>
      <c r="C519" s="2" t="s">
        <v>30</v>
      </c>
      <c r="D519" s="2" t="s">
        <v>31</v>
      </c>
      <c r="E519" s="4">
        <v>74.05</v>
      </c>
      <c r="F519" s="2">
        <v>4900</v>
      </c>
      <c r="G519" s="2" t="s">
        <v>10</v>
      </c>
    </row>
    <row r="520" spans="1:7" x14ac:dyDescent="0.25">
      <c r="A520" s="2" t="s">
        <v>566</v>
      </c>
      <c r="B520" s="3">
        <v>45436</v>
      </c>
      <c r="C520" s="2" t="s">
        <v>63</v>
      </c>
      <c r="D520" s="2" t="s">
        <v>52</v>
      </c>
      <c r="E520" s="4">
        <v>-11266.11</v>
      </c>
      <c r="F520" s="2">
        <v>6000</v>
      </c>
      <c r="G520" s="2" t="s">
        <v>10</v>
      </c>
    </row>
    <row r="521" spans="1:7" x14ac:dyDescent="0.25">
      <c r="A521" s="2" t="s">
        <v>567</v>
      </c>
      <c r="B521" s="3">
        <v>45566</v>
      </c>
      <c r="C521" s="2" t="s">
        <v>76</v>
      </c>
      <c r="D521" s="2" t="s">
        <v>28</v>
      </c>
      <c r="E521" s="4">
        <v>-13.4</v>
      </c>
      <c r="F521" s="2">
        <v>6900</v>
      </c>
      <c r="G521" s="2" t="s">
        <v>10</v>
      </c>
    </row>
    <row r="522" spans="1:7" x14ac:dyDescent="0.25">
      <c r="A522" s="2" t="s">
        <v>568</v>
      </c>
      <c r="B522" s="3">
        <v>45293</v>
      </c>
      <c r="C522" s="2" t="s">
        <v>48</v>
      </c>
      <c r="D522" s="2" t="s">
        <v>9</v>
      </c>
      <c r="E522" s="4">
        <v>-4750.1400000000003</v>
      </c>
      <c r="F522" s="2">
        <v>6100</v>
      </c>
      <c r="G522" s="2" t="s">
        <v>10</v>
      </c>
    </row>
    <row r="523" spans="1:7" x14ac:dyDescent="0.25">
      <c r="A523" s="2" t="s">
        <v>569</v>
      </c>
      <c r="B523" s="3">
        <v>45413</v>
      </c>
      <c r="C523" s="2" t="s">
        <v>17</v>
      </c>
      <c r="D523" s="2" t="s">
        <v>18</v>
      </c>
      <c r="E523" s="4">
        <v>-1255.31</v>
      </c>
      <c r="F523" s="2">
        <v>5100</v>
      </c>
      <c r="G523" s="2" t="s">
        <v>10</v>
      </c>
    </row>
    <row r="524" spans="1:7" x14ac:dyDescent="0.25">
      <c r="A524" s="2" t="s">
        <v>570</v>
      </c>
      <c r="B524" s="3">
        <v>45651</v>
      </c>
      <c r="C524" s="2" t="s">
        <v>15</v>
      </c>
      <c r="D524" s="2" t="s">
        <v>13</v>
      </c>
      <c r="E524" s="4">
        <v>-2774.25</v>
      </c>
      <c r="F524" s="2">
        <v>6400</v>
      </c>
      <c r="G524" s="2" t="s">
        <v>10</v>
      </c>
    </row>
    <row r="525" spans="1:7" x14ac:dyDescent="0.25">
      <c r="A525" s="2" t="s">
        <v>571</v>
      </c>
      <c r="B525" s="3">
        <v>45447</v>
      </c>
      <c r="C525" s="2" t="s">
        <v>116</v>
      </c>
      <c r="D525" s="2" t="s">
        <v>35</v>
      </c>
      <c r="E525" s="4">
        <v>22256.7</v>
      </c>
      <c r="F525" s="2">
        <v>4000</v>
      </c>
      <c r="G525" s="2" t="s">
        <v>10</v>
      </c>
    </row>
    <row r="526" spans="1:7" x14ac:dyDescent="0.25">
      <c r="A526" s="2" t="s">
        <v>572</v>
      </c>
      <c r="B526" s="3">
        <v>45509</v>
      </c>
      <c r="C526" s="2" t="s">
        <v>67</v>
      </c>
      <c r="D526" s="2" t="s">
        <v>59</v>
      </c>
      <c r="E526" s="4">
        <v>-363.72</v>
      </c>
      <c r="F526" s="2">
        <v>6200</v>
      </c>
      <c r="G526" s="2" t="s">
        <v>10</v>
      </c>
    </row>
    <row r="527" spans="1:7" x14ac:dyDescent="0.25">
      <c r="A527" s="2" t="s">
        <v>573</v>
      </c>
      <c r="B527" s="3">
        <v>45489</v>
      </c>
      <c r="C527" s="2" t="s">
        <v>103</v>
      </c>
      <c r="D527" s="2" t="s">
        <v>35</v>
      </c>
      <c r="E527" s="4">
        <v>18347.810000000001</v>
      </c>
      <c r="F527" s="2">
        <v>4000</v>
      </c>
      <c r="G527" s="2" t="s">
        <v>10</v>
      </c>
    </row>
    <row r="528" spans="1:7" x14ac:dyDescent="0.25">
      <c r="A528" s="2" t="s">
        <v>574</v>
      </c>
      <c r="B528" s="3">
        <v>45547</v>
      </c>
      <c r="C528" s="2" t="s">
        <v>63</v>
      </c>
      <c r="D528" s="2" t="s">
        <v>52</v>
      </c>
      <c r="E528" s="4">
        <v>-6518.44</v>
      </c>
      <c r="F528" s="2">
        <v>6000</v>
      </c>
      <c r="G528" s="2" t="s">
        <v>10</v>
      </c>
    </row>
    <row r="529" spans="1:7" x14ac:dyDescent="0.25">
      <c r="A529" s="2" t="s">
        <v>575</v>
      </c>
      <c r="B529" s="3">
        <v>45435</v>
      </c>
      <c r="C529" s="2" t="s">
        <v>44</v>
      </c>
      <c r="D529" s="2" t="s">
        <v>9</v>
      </c>
      <c r="E529" s="4">
        <v>-1683.89</v>
      </c>
      <c r="F529" s="2">
        <v>6100</v>
      </c>
      <c r="G529" s="2" t="s">
        <v>10</v>
      </c>
    </row>
    <row r="530" spans="1:7" x14ac:dyDescent="0.25">
      <c r="A530" s="2" t="s">
        <v>576</v>
      </c>
      <c r="B530" s="3">
        <v>45342</v>
      </c>
      <c r="C530" s="2" t="s">
        <v>42</v>
      </c>
      <c r="D530" s="2" t="s">
        <v>39</v>
      </c>
      <c r="E530" s="4">
        <v>-6903.72</v>
      </c>
      <c r="F530" s="2">
        <v>6500</v>
      </c>
      <c r="G530" s="2" t="s">
        <v>10</v>
      </c>
    </row>
    <row r="531" spans="1:7" x14ac:dyDescent="0.25">
      <c r="A531" s="2" t="s">
        <v>577</v>
      </c>
      <c r="B531" s="3">
        <v>45519</v>
      </c>
      <c r="C531" s="2" t="s">
        <v>38</v>
      </c>
      <c r="D531" s="2" t="s">
        <v>39</v>
      </c>
      <c r="E531" s="4">
        <v>-6516.06</v>
      </c>
      <c r="F531" s="2">
        <v>6500</v>
      </c>
      <c r="G531" s="2" t="s">
        <v>10</v>
      </c>
    </row>
    <row r="532" spans="1:7" x14ac:dyDescent="0.25">
      <c r="A532" s="2" t="s">
        <v>578</v>
      </c>
      <c r="B532" s="3">
        <v>45584</v>
      </c>
      <c r="C532" s="2" t="s">
        <v>27</v>
      </c>
      <c r="D532" s="2" t="s">
        <v>28</v>
      </c>
      <c r="E532" s="4">
        <v>-121.08</v>
      </c>
      <c r="F532" s="2">
        <v>6900</v>
      </c>
      <c r="G532" s="2" t="s">
        <v>10</v>
      </c>
    </row>
    <row r="533" spans="1:7" x14ac:dyDescent="0.25">
      <c r="A533" s="2" t="s">
        <v>579</v>
      </c>
      <c r="B533" s="3">
        <v>45346</v>
      </c>
      <c r="C533" s="2" t="s">
        <v>63</v>
      </c>
      <c r="D533" s="2" t="s">
        <v>52</v>
      </c>
      <c r="E533" s="4">
        <v>-9390.65</v>
      </c>
      <c r="F533" s="2">
        <v>6000</v>
      </c>
      <c r="G533" s="2" t="s">
        <v>10</v>
      </c>
    </row>
    <row r="534" spans="1:7" x14ac:dyDescent="0.25">
      <c r="A534" s="2" t="s">
        <v>580</v>
      </c>
      <c r="B534" s="3">
        <v>45604</v>
      </c>
      <c r="C534" s="2" t="s">
        <v>103</v>
      </c>
      <c r="D534" s="2" t="s">
        <v>35</v>
      </c>
      <c r="E534" s="4">
        <v>10105.469999999999</v>
      </c>
      <c r="F534" s="2">
        <v>4000</v>
      </c>
      <c r="G534" s="2" t="s">
        <v>10</v>
      </c>
    </row>
    <row r="535" spans="1:7" x14ac:dyDescent="0.25">
      <c r="A535" s="2" t="s">
        <v>581</v>
      </c>
      <c r="B535" s="3">
        <v>45306</v>
      </c>
      <c r="C535" s="2" t="s">
        <v>8</v>
      </c>
      <c r="D535" s="2" t="s">
        <v>9</v>
      </c>
      <c r="E535" s="4">
        <v>-2630.66</v>
      </c>
      <c r="F535" s="2">
        <v>6100</v>
      </c>
      <c r="G535" s="2" t="s">
        <v>10</v>
      </c>
    </row>
    <row r="536" spans="1:7" x14ac:dyDescent="0.25">
      <c r="A536" s="2" t="s">
        <v>582</v>
      </c>
      <c r="B536" s="3">
        <v>45615</v>
      </c>
      <c r="C536" s="2" t="s">
        <v>71</v>
      </c>
      <c r="D536" s="2" t="s">
        <v>59</v>
      </c>
      <c r="E536" s="4">
        <v>-200.83</v>
      </c>
      <c r="F536" s="2">
        <v>6200</v>
      </c>
      <c r="G536" s="2" t="s">
        <v>10</v>
      </c>
    </row>
    <row r="537" spans="1:7" x14ac:dyDescent="0.25">
      <c r="A537" s="2" t="s">
        <v>583</v>
      </c>
      <c r="B537" s="3">
        <v>45454</v>
      </c>
      <c r="C537" s="2" t="s">
        <v>81</v>
      </c>
      <c r="D537" s="2" t="s">
        <v>18</v>
      </c>
      <c r="E537" s="4">
        <v>-14582.7</v>
      </c>
      <c r="F537" s="2">
        <v>5100</v>
      </c>
      <c r="G537" s="2" t="s">
        <v>10</v>
      </c>
    </row>
    <row r="538" spans="1:7" x14ac:dyDescent="0.25">
      <c r="A538" s="2" t="s">
        <v>584</v>
      </c>
      <c r="B538" s="3">
        <v>45363</v>
      </c>
      <c r="C538" s="2" t="s">
        <v>42</v>
      </c>
      <c r="D538" s="2" t="s">
        <v>39</v>
      </c>
      <c r="E538" s="4">
        <v>-2840.3</v>
      </c>
      <c r="F538" s="2">
        <v>6500</v>
      </c>
      <c r="G538" s="2" t="s">
        <v>10</v>
      </c>
    </row>
    <row r="539" spans="1:7" x14ac:dyDescent="0.25">
      <c r="A539" s="2" t="s">
        <v>585</v>
      </c>
      <c r="B539" s="3">
        <v>45531</v>
      </c>
      <c r="C539" s="2" t="s">
        <v>44</v>
      </c>
      <c r="D539" s="2" t="s">
        <v>9</v>
      </c>
      <c r="E539" s="4">
        <v>-3003.01</v>
      </c>
      <c r="F539" s="2">
        <v>6100</v>
      </c>
      <c r="G539" s="2" t="s">
        <v>10</v>
      </c>
    </row>
    <row r="540" spans="1:7" x14ac:dyDescent="0.25">
      <c r="A540" s="2" t="s">
        <v>586</v>
      </c>
      <c r="B540" s="3">
        <v>45455</v>
      </c>
      <c r="C540" s="2" t="s">
        <v>56</v>
      </c>
      <c r="D540" s="2" t="s">
        <v>18</v>
      </c>
      <c r="E540" s="4">
        <v>-13025.81</v>
      </c>
      <c r="F540" s="2">
        <v>5100</v>
      </c>
      <c r="G540" s="2" t="s">
        <v>10</v>
      </c>
    </row>
    <row r="541" spans="1:7" x14ac:dyDescent="0.25">
      <c r="A541" s="2" t="s">
        <v>587</v>
      </c>
      <c r="B541" s="3">
        <v>45606</v>
      </c>
      <c r="C541" s="2" t="s">
        <v>42</v>
      </c>
      <c r="D541" s="2" t="s">
        <v>39</v>
      </c>
      <c r="E541" s="4">
        <v>-6451.61</v>
      </c>
      <c r="F541" s="2">
        <v>6500</v>
      </c>
      <c r="G541" s="2" t="s">
        <v>10</v>
      </c>
    </row>
    <row r="542" spans="1:7" x14ac:dyDescent="0.25">
      <c r="A542" s="2" t="s">
        <v>588</v>
      </c>
      <c r="B542" s="3">
        <v>45309</v>
      </c>
      <c r="C542" s="2" t="s">
        <v>63</v>
      </c>
      <c r="D542" s="2" t="s">
        <v>52</v>
      </c>
      <c r="E542" s="4">
        <v>-2209.04</v>
      </c>
      <c r="F542" s="2">
        <v>6000</v>
      </c>
      <c r="G542" s="2" t="s">
        <v>10</v>
      </c>
    </row>
    <row r="543" spans="1:7" x14ac:dyDescent="0.25">
      <c r="A543" s="2" t="s">
        <v>589</v>
      </c>
      <c r="B543" s="3">
        <v>45440</v>
      </c>
      <c r="C543" s="2" t="s">
        <v>71</v>
      </c>
      <c r="D543" s="2" t="s">
        <v>59</v>
      </c>
      <c r="E543" s="4">
        <v>-1174.75</v>
      </c>
      <c r="F543" s="2">
        <v>6200</v>
      </c>
      <c r="G543" s="2" t="s">
        <v>10</v>
      </c>
    </row>
    <row r="544" spans="1:7" x14ac:dyDescent="0.25">
      <c r="A544" s="2" t="s">
        <v>590</v>
      </c>
      <c r="B544" s="3">
        <v>45298</v>
      </c>
      <c r="C544" s="2" t="s">
        <v>8</v>
      </c>
      <c r="D544" s="2" t="s">
        <v>9</v>
      </c>
      <c r="E544" s="4">
        <v>-5755.47</v>
      </c>
      <c r="F544" s="2">
        <v>6100</v>
      </c>
      <c r="G544" s="2" t="s">
        <v>10</v>
      </c>
    </row>
    <row r="545" spans="1:7" x14ac:dyDescent="0.25">
      <c r="A545" s="2" t="s">
        <v>591</v>
      </c>
      <c r="B545" s="3">
        <v>45472</v>
      </c>
      <c r="C545" s="2" t="s">
        <v>48</v>
      </c>
      <c r="D545" s="2" t="s">
        <v>9</v>
      </c>
      <c r="E545" s="4">
        <v>-2943.74</v>
      </c>
      <c r="F545" s="2">
        <v>6100</v>
      </c>
      <c r="G545" s="2" t="s">
        <v>10</v>
      </c>
    </row>
    <row r="546" spans="1:7" x14ac:dyDescent="0.25">
      <c r="A546" s="2" t="s">
        <v>592</v>
      </c>
      <c r="B546" s="3">
        <v>45590</v>
      </c>
      <c r="C546" s="2" t="s">
        <v>127</v>
      </c>
      <c r="D546" s="2" t="s">
        <v>24</v>
      </c>
      <c r="E546" s="4">
        <v>-443.8</v>
      </c>
      <c r="F546" s="2">
        <v>6300</v>
      </c>
      <c r="G546" s="2" t="s">
        <v>10</v>
      </c>
    </row>
    <row r="547" spans="1:7" x14ac:dyDescent="0.25">
      <c r="A547" s="2" t="s">
        <v>593</v>
      </c>
      <c r="B547" s="3">
        <v>45326</v>
      </c>
      <c r="C547" s="2" t="s">
        <v>27</v>
      </c>
      <c r="D547" s="2" t="s">
        <v>28</v>
      </c>
      <c r="E547" s="4">
        <v>-12.5</v>
      </c>
      <c r="F547" s="2">
        <v>6900</v>
      </c>
      <c r="G547" s="2" t="s">
        <v>10</v>
      </c>
    </row>
    <row r="548" spans="1:7" x14ac:dyDescent="0.25">
      <c r="A548" s="2" t="s">
        <v>594</v>
      </c>
      <c r="B548" s="3">
        <v>45408</v>
      </c>
      <c r="C548" s="2" t="s">
        <v>63</v>
      </c>
      <c r="D548" s="2" t="s">
        <v>52</v>
      </c>
      <c r="E548" s="4">
        <v>-10430.469999999999</v>
      </c>
      <c r="F548" s="2">
        <v>6000</v>
      </c>
      <c r="G548" s="2" t="s">
        <v>10</v>
      </c>
    </row>
    <row r="549" spans="1:7" x14ac:dyDescent="0.25">
      <c r="A549" s="2" t="s">
        <v>595</v>
      </c>
      <c r="B549" s="3">
        <v>45299</v>
      </c>
      <c r="C549" s="2" t="s">
        <v>195</v>
      </c>
      <c r="D549" s="2" t="s">
        <v>28</v>
      </c>
      <c r="E549" s="4">
        <v>-77.38</v>
      </c>
      <c r="F549" s="2">
        <v>6900</v>
      </c>
      <c r="G549" s="2" t="s">
        <v>10</v>
      </c>
    </row>
    <row r="550" spans="1:7" x14ac:dyDescent="0.25">
      <c r="A550" s="2" t="s">
        <v>596</v>
      </c>
      <c r="B550" s="3">
        <v>45507</v>
      </c>
      <c r="C550" s="2" t="s">
        <v>44</v>
      </c>
      <c r="D550" s="2" t="s">
        <v>9</v>
      </c>
      <c r="E550" s="4">
        <v>-5969.2</v>
      </c>
      <c r="F550" s="2">
        <v>6100</v>
      </c>
      <c r="G550" s="2" t="s">
        <v>10</v>
      </c>
    </row>
    <row r="551" spans="1:7" x14ac:dyDescent="0.25">
      <c r="A551" s="2" t="s">
        <v>597</v>
      </c>
      <c r="B551" s="3">
        <v>45642</v>
      </c>
      <c r="C551" s="2" t="s">
        <v>56</v>
      </c>
      <c r="D551" s="2" t="s">
        <v>18</v>
      </c>
      <c r="E551" s="4">
        <v>-2618.1999999999998</v>
      </c>
      <c r="F551" s="2">
        <v>5100</v>
      </c>
      <c r="G551" s="2" t="s">
        <v>10</v>
      </c>
    </row>
    <row r="552" spans="1:7" x14ac:dyDescent="0.25">
      <c r="A552" s="2" t="s">
        <v>598</v>
      </c>
      <c r="B552" s="3">
        <v>45381</v>
      </c>
      <c r="C552" s="2" t="s">
        <v>79</v>
      </c>
      <c r="D552" s="2" t="s">
        <v>31</v>
      </c>
      <c r="E552" s="4">
        <v>28.95</v>
      </c>
      <c r="F552" s="2">
        <v>4900</v>
      </c>
      <c r="G552" s="2" t="s">
        <v>10</v>
      </c>
    </row>
    <row r="553" spans="1:7" x14ac:dyDescent="0.25">
      <c r="A553" s="2" t="s">
        <v>599</v>
      </c>
      <c r="B553" s="3">
        <v>45314</v>
      </c>
      <c r="C553" s="2" t="s">
        <v>12</v>
      </c>
      <c r="D553" s="2" t="s">
        <v>13</v>
      </c>
      <c r="E553" s="4">
        <v>-1435.81</v>
      </c>
      <c r="F553" s="2">
        <v>6400</v>
      </c>
      <c r="G553" s="2" t="s">
        <v>10</v>
      </c>
    </row>
    <row r="554" spans="1:7" x14ac:dyDescent="0.25">
      <c r="A554" s="2" t="s">
        <v>600</v>
      </c>
      <c r="B554" s="3">
        <v>45322</v>
      </c>
      <c r="C554" s="2" t="s">
        <v>69</v>
      </c>
      <c r="D554" s="2" t="s">
        <v>39</v>
      </c>
      <c r="E554" s="4">
        <v>-1019.19</v>
      </c>
      <c r="F554" s="2">
        <v>6500</v>
      </c>
      <c r="G554" s="2" t="s">
        <v>10</v>
      </c>
    </row>
    <row r="555" spans="1:7" x14ac:dyDescent="0.25">
      <c r="A555" s="2" t="s">
        <v>601</v>
      </c>
      <c r="B555" s="3">
        <v>45561</v>
      </c>
      <c r="C555" s="2" t="s">
        <v>79</v>
      </c>
      <c r="D555" s="2" t="s">
        <v>31</v>
      </c>
      <c r="E555" s="4">
        <v>384.45</v>
      </c>
      <c r="F555" s="2">
        <v>4900</v>
      </c>
      <c r="G555" s="2" t="s">
        <v>10</v>
      </c>
    </row>
    <row r="556" spans="1:7" x14ac:dyDescent="0.25">
      <c r="A556" s="2" t="s">
        <v>602</v>
      </c>
      <c r="B556" s="3">
        <v>45520</v>
      </c>
      <c r="C556" s="2" t="s">
        <v>42</v>
      </c>
      <c r="D556" s="2" t="s">
        <v>39</v>
      </c>
      <c r="E556" s="4">
        <v>-2316</v>
      </c>
      <c r="F556" s="2">
        <v>6500</v>
      </c>
      <c r="G556" s="2" t="s">
        <v>10</v>
      </c>
    </row>
    <row r="557" spans="1:7" x14ac:dyDescent="0.25">
      <c r="A557" s="2" t="s">
        <v>603</v>
      </c>
      <c r="B557" s="3">
        <v>45601</v>
      </c>
      <c r="C557" s="2" t="s">
        <v>67</v>
      </c>
      <c r="D557" s="2" t="s">
        <v>59</v>
      </c>
      <c r="E557" s="4">
        <v>-1107.1300000000001</v>
      </c>
      <c r="F557" s="2">
        <v>6200</v>
      </c>
      <c r="G557" s="2" t="s">
        <v>10</v>
      </c>
    </row>
    <row r="558" spans="1:7" x14ac:dyDescent="0.25">
      <c r="A558" s="2" t="s">
        <v>604</v>
      </c>
      <c r="B558" s="3">
        <v>45511</v>
      </c>
      <c r="C558" s="2" t="s">
        <v>48</v>
      </c>
      <c r="D558" s="2" t="s">
        <v>9</v>
      </c>
      <c r="E558" s="4">
        <v>-1938.05</v>
      </c>
      <c r="F558" s="2">
        <v>6100</v>
      </c>
      <c r="G558" s="2" t="s">
        <v>10</v>
      </c>
    </row>
    <row r="559" spans="1:7" x14ac:dyDescent="0.25">
      <c r="A559" s="2" t="s">
        <v>605</v>
      </c>
      <c r="B559" s="3">
        <v>45444</v>
      </c>
      <c r="C559" s="2" t="s">
        <v>12</v>
      </c>
      <c r="D559" s="2" t="s">
        <v>13</v>
      </c>
      <c r="E559" s="4">
        <v>-2888.61</v>
      </c>
      <c r="F559" s="2">
        <v>6400</v>
      </c>
      <c r="G559" s="2" t="s">
        <v>10</v>
      </c>
    </row>
    <row r="560" spans="1:7" x14ac:dyDescent="0.25">
      <c r="A560" s="2" t="s">
        <v>606</v>
      </c>
      <c r="B560" s="3">
        <v>45441</v>
      </c>
      <c r="C560" s="2" t="s">
        <v>76</v>
      </c>
      <c r="D560" s="2" t="s">
        <v>28</v>
      </c>
      <c r="E560" s="4">
        <v>-15.74</v>
      </c>
      <c r="F560" s="2">
        <v>6900</v>
      </c>
      <c r="G560" s="2" t="s">
        <v>10</v>
      </c>
    </row>
    <row r="561" spans="1:7" x14ac:dyDescent="0.25">
      <c r="A561" s="2" t="s">
        <v>607</v>
      </c>
      <c r="B561" s="3">
        <v>45416</v>
      </c>
      <c r="C561" s="2" t="s">
        <v>97</v>
      </c>
      <c r="D561" s="2" t="s">
        <v>52</v>
      </c>
      <c r="E561" s="4">
        <v>-3575.5</v>
      </c>
      <c r="F561" s="2">
        <v>6000</v>
      </c>
      <c r="G561" s="2" t="s">
        <v>10</v>
      </c>
    </row>
    <row r="562" spans="1:7" x14ac:dyDescent="0.25">
      <c r="A562" s="2" t="s">
        <v>608</v>
      </c>
      <c r="B562" s="3">
        <v>45623</v>
      </c>
      <c r="C562" s="2" t="s">
        <v>48</v>
      </c>
      <c r="D562" s="2" t="s">
        <v>9</v>
      </c>
      <c r="E562" s="4">
        <v>-5232.3900000000003</v>
      </c>
      <c r="F562" s="2">
        <v>6100</v>
      </c>
      <c r="G562" s="2" t="s">
        <v>10</v>
      </c>
    </row>
    <row r="563" spans="1:7" x14ac:dyDescent="0.25">
      <c r="A563" s="2" t="s">
        <v>609</v>
      </c>
      <c r="B563" s="3">
        <v>45293</v>
      </c>
      <c r="C563" s="2" t="s">
        <v>15</v>
      </c>
      <c r="D563" s="2" t="s">
        <v>13</v>
      </c>
      <c r="E563" s="4">
        <v>-2381.16</v>
      </c>
      <c r="F563" s="2">
        <v>6400</v>
      </c>
      <c r="G563" s="2" t="s">
        <v>10</v>
      </c>
    </row>
    <row r="564" spans="1:7" x14ac:dyDescent="0.25">
      <c r="A564" s="2" t="s">
        <v>610</v>
      </c>
      <c r="B564" s="3">
        <v>45457</v>
      </c>
      <c r="C564" s="2" t="s">
        <v>79</v>
      </c>
      <c r="D564" s="2" t="s">
        <v>31</v>
      </c>
      <c r="E564" s="4">
        <v>263.22000000000003</v>
      </c>
      <c r="F564" s="2">
        <v>4900</v>
      </c>
      <c r="G564" s="2" t="s">
        <v>10</v>
      </c>
    </row>
    <row r="565" spans="1:7" x14ac:dyDescent="0.25">
      <c r="A565" s="2" t="s">
        <v>611</v>
      </c>
      <c r="B565" s="3">
        <v>45367</v>
      </c>
      <c r="C565" s="2" t="s">
        <v>21</v>
      </c>
      <c r="D565" s="2" t="s">
        <v>13</v>
      </c>
      <c r="E565" s="4">
        <v>-2907.53</v>
      </c>
      <c r="F565" s="2">
        <v>6400</v>
      </c>
      <c r="G565" s="2" t="s">
        <v>10</v>
      </c>
    </row>
    <row r="566" spans="1:7" x14ac:dyDescent="0.25">
      <c r="A566" s="2" t="s">
        <v>612</v>
      </c>
      <c r="B566" s="3">
        <v>45575</v>
      </c>
      <c r="C566" s="2" t="s">
        <v>94</v>
      </c>
      <c r="D566" s="2" t="s">
        <v>24</v>
      </c>
      <c r="E566" s="4">
        <v>-47.19</v>
      </c>
      <c r="F566" s="2">
        <v>6300</v>
      </c>
      <c r="G566" s="2" t="s">
        <v>10</v>
      </c>
    </row>
    <row r="567" spans="1:7" x14ac:dyDescent="0.25">
      <c r="A567" s="2" t="s">
        <v>613</v>
      </c>
      <c r="B567" s="3">
        <v>45559</v>
      </c>
      <c r="C567" s="2" t="s">
        <v>30</v>
      </c>
      <c r="D567" s="2" t="s">
        <v>31</v>
      </c>
      <c r="E567" s="4">
        <v>140.35</v>
      </c>
      <c r="F567" s="2">
        <v>4900</v>
      </c>
      <c r="G567" s="2" t="s">
        <v>10</v>
      </c>
    </row>
    <row r="568" spans="1:7" x14ac:dyDescent="0.25">
      <c r="A568" s="2" t="s">
        <v>614</v>
      </c>
      <c r="B568" s="3">
        <v>45408</v>
      </c>
      <c r="C568" s="2" t="s">
        <v>38</v>
      </c>
      <c r="D568" s="2" t="s">
        <v>39</v>
      </c>
      <c r="E568" s="4">
        <v>-2409.66</v>
      </c>
      <c r="F568" s="2">
        <v>6500</v>
      </c>
      <c r="G568" s="2" t="s">
        <v>10</v>
      </c>
    </row>
    <row r="569" spans="1:7" x14ac:dyDescent="0.25">
      <c r="A569" s="2" t="s">
        <v>615</v>
      </c>
      <c r="B569" s="3">
        <v>45510</v>
      </c>
      <c r="C569" s="2" t="s">
        <v>94</v>
      </c>
      <c r="D569" s="2" t="s">
        <v>24</v>
      </c>
      <c r="E569" s="4">
        <v>-545.71</v>
      </c>
      <c r="F569" s="2">
        <v>6300</v>
      </c>
      <c r="G569" s="2" t="s">
        <v>10</v>
      </c>
    </row>
    <row r="570" spans="1:7" x14ac:dyDescent="0.25">
      <c r="A570" s="2" t="s">
        <v>616</v>
      </c>
      <c r="B570" s="3">
        <v>45599</v>
      </c>
      <c r="C570" s="2" t="s">
        <v>48</v>
      </c>
      <c r="D570" s="2" t="s">
        <v>9</v>
      </c>
      <c r="E570" s="4">
        <v>-4120.03</v>
      </c>
      <c r="F570" s="2">
        <v>6100</v>
      </c>
      <c r="G570" s="2" t="s">
        <v>10</v>
      </c>
    </row>
    <row r="571" spans="1:7" x14ac:dyDescent="0.25">
      <c r="A571" s="2" t="s">
        <v>617</v>
      </c>
      <c r="B571" s="3">
        <v>45314</v>
      </c>
      <c r="C571" s="2" t="s">
        <v>79</v>
      </c>
      <c r="D571" s="2" t="s">
        <v>31</v>
      </c>
      <c r="E571" s="4">
        <v>178.33</v>
      </c>
      <c r="F571" s="2">
        <v>4900</v>
      </c>
      <c r="G571" s="2" t="s">
        <v>10</v>
      </c>
    </row>
    <row r="572" spans="1:7" x14ac:dyDescent="0.25">
      <c r="A572" s="2" t="s">
        <v>618</v>
      </c>
      <c r="B572" s="3">
        <v>45544</v>
      </c>
      <c r="C572" s="2" t="s">
        <v>34</v>
      </c>
      <c r="D572" s="2" t="s">
        <v>35</v>
      </c>
      <c r="E572" s="4">
        <v>10032.870000000001</v>
      </c>
      <c r="F572" s="2">
        <v>4000</v>
      </c>
      <c r="G572" s="2" t="s">
        <v>10</v>
      </c>
    </row>
    <row r="573" spans="1:7" x14ac:dyDescent="0.25">
      <c r="A573" s="2" t="s">
        <v>619</v>
      </c>
      <c r="B573" s="3">
        <v>45651</v>
      </c>
      <c r="C573" s="2" t="s">
        <v>56</v>
      </c>
      <c r="D573" s="2" t="s">
        <v>18</v>
      </c>
      <c r="E573" s="4">
        <v>-12559.86</v>
      </c>
      <c r="F573" s="2">
        <v>5100</v>
      </c>
      <c r="G573" s="2" t="s">
        <v>10</v>
      </c>
    </row>
    <row r="574" spans="1:7" x14ac:dyDescent="0.25">
      <c r="A574" s="2" t="s">
        <v>620</v>
      </c>
      <c r="B574" s="3">
        <v>45535</v>
      </c>
      <c r="C574" s="2" t="s">
        <v>48</v>
      </c>
      <c r="D574" s="2" t="s">
        <v>9</v>
      </c>
      <c r="E574" s="4">
        <v>-5274.96</v>
      </c>
      <c r="F574" s="2">
        <v>6100</v>
      </c>
      <c r="G574" s="2" t="s">
        <v>10</v>
      </c>
    </row>
    <row r="575" spans="1:7" x14ac:dyDescent="0.25">
      <c r="A575" s="2" t="s">
        <v>621</v>
      </c>
      <c r="B575" s="3">
        <v>45324</v>
      </c>
      <c r="C575" s="2" t="s">
        <v>8</v>
      </c>
      <c r="D575" s="2" t="s">
        <v>9</v>
      </c>
      <c r="E575" s="4">
        <v>-2715.39</v>
      </c>
      <c r="F575" s="2">
        <v>6100</v>
      </c>
      <c r="G575" s="2" t="s">
        <v>10</v>
      </c>
    </row>
    <row r="576" spans="1:7" x14ac:dyDescent="0.25">
      <c r="A576" s="2" t="s">
        <v>622</v>
      </c>
      <c r="B576" s="3">
        <v>45475</v>
      </c>
      <c r="C576" s="2" t="s">
        <v>8</v>
      </c>
      <c r="D576" s="2" t="s">
        <v>9</v>
      </c>
      <c r="E576" s="4">
        <v>-3848.12</v>
      </c>
      <c r="F576" s="2">
        <v>6100</v>
      </c>
      <c r="G576" s="2" t="s">
        <v>10</v>
      </c>
    </row>
    <row r="577" spans="1:7" x14ac:dyDescent="0.25">
      <c r="A577" s="2" t="s">
        <v>623</v>
      </c>
      <c r="B577" s="3">
        <v>45406</v>
      </c>
      <c r="C577" s="2" t="s">
        <v>69</v>
      </c>
      <c r="D577" s="2" t="s">
        <v>39</v>
      </c>
      <c r="E577" s="4">
        <v>-4909.95</v>
      </c>
      <c r="F577" s="2">
        <v>6500</v>
      </c>
      <c r="G577" s="2" t="s">
        <v>10</v>
      </c>
    </row>
    <row r="578" spans="1:7" x14ac:dyDescent="0.25">
      <c r="A578" s="2" t="s">
        <v>624</v>
      </c>
      <c r="B578" s="3">
        <v>45394</v>
      </c>
      <c r="C578" s="2" t="s">
        <v>44</v>
      </c>
      <c r="D578" s="2" t="s">
        <v>9</v>
      </c>
      <c r="E578" s="4">
        <v>-5510.12</v>
      </c>
      <c r="F578" s="2">
        <v>6100</v>
      </c>
      <c r="G578" s="2" t="s">
        <v>10</v>
      </c>
    </row>
    <row r="579" spans="1:7" x14ac:dyDescent="0.25">
      <c r="A579" s="2" t="s">
        <v>625</v>
      </c>
      <c r="B579" s="3">
        <v>45437</v>
      </c>
      <c r="C579" s="2" t="s">
        <v>103</v>
      </c>
      <c r="D579" s="2" t="s">
        <v>35</v>
      </c>
      <c r="E579" s="4">
        <v>5233.6000000000004</v>
      </c>
      <c r="F579" s="2">
        <v>4000</v>
      </c>
      <c r="G579" s="2" t="s">
        <v>10</v>
      </c>
    </row>
    <row r="580" spans="1:7" x14ac:dyDescent="0.25">
      <c r="A580" s="2" t="s">
        <v>626</v>
      </c>
      <c r="B580" s="3">
        <v>45483</v>
      </c>
      <c r="C580" s="2" t="s">
        <v>195</v>
      </c>
      <c r="D580" s="2" t="s">
        <v>28</v>
      </c>
      <c r="E580" s="4">
        <v>-124.22</v>
      </c>
      <c r="F580" s="2">
        <v>6900</v>
      </c>
      <c r="G580" s="2" t="s">
        <v>10</v>
      </c>
    </row>
    <row r="581" spans="1:7" x14ac:dyDescent="0.25">
      <c r="A581" s="2" t="s">
        <v>627</v>
      </c>
      <c r="B581" s="3">
        <v>45607</v>
      </c>
      <c r="C581" s="2" t="s">
        <v>69</v>
      </c>
      <c r="D581" s="2" t="s">
        <v>39</v>
      </c>
      <c r="E581" s="4">
        <v>-6872.82</v>
      </c>
      <c r="F581" s="2">
        <v>6500</v>
      </c>
      <c r="G581" s="2" t="s">
        <v>10</v>
      </c>
    </row>
    <row r="582" spans="1:7" x14ac:dyDescent="0.25">
      <c r="A582" s="2" t="s">
        <v>628</v>
      </c>
      <c r="B582" s="3">
        <v>45350</v>
      </c>
      <c r="C582" s="2" t="s">
        <v>69</v>
      </c>
      <c r="D582" s="2" t="s">
        <v>39</v>
      </c>
      <c r="E582" s="4">
        <v>-7773.41</v>
      </c>
      <c r="F582" s="2">
        <v>6500</v>
      </c>
      <c r="G582" s="2" t="s">
        <v>10</v>
      </c>
    </row>
    <row r="583" spans="1:7" x14ac:dyDescent="0.25">
      <c r="A583" s="2" t="s">
        <v>629</v>
      </c>
      <c r="B583" s="3">
        <v>45359</v>
      </c>
      <c r="C583" s="2" t="s">
        <v>48</v>
      </c>
      <c r="D583" s="2" t="s">
        <v>9</v>
      </c>
      <c r="E583" s="4">
        <v>-1069.0999999999999</v>
      </c>
      <c r="F583" s="2">
        <v>6100</v>
      </c>
      <c r="G583" s="2" t="s">
        <v>10</v>
      </c>
    </row>
    <row r="584" spans="1:7" x14ac:dyDescent="0.25">
      <c r="A584" s="2" t="s">
        <v>630</v>
      </c>
      <c r="B584" s="3">
        <v>45415</v>
      </c>
      <c r="C584" s="2" t="s">
        <v>58</v>
      </c>
      <c r="D584" s="2" t="s">
        <v>59</v>
      </c>
      <c r="E584" s="4">
        <v>-568.70000000000005</v>
      </c>
      <c r="F584" s="2">
        <v>6200</v>
      </c>
      <c r="G584" s="2" t="s">
        <v>10</v>
      </c>
    </row>
    <row r="585" spans="1:7" x14ac:dyDescent="0.25">
      <c r="A585" s="2" t="s">
        <v>631</v>
      </c>
      <c r="B585" s="3">
        <v>45627</v>
      </c>
      <c r="C585" s="2" t="s">
        <v>195</v>
      </c>
      <c r="D585" s="2" t="s">
        <v>28</v>
      </c>
      <c r="E585" s="4">
        <v>-82.12</v>
      </c>
      <c r="F585" s="2">
        <v>6900</v>
      </c>
      <c r="G585" s="2" t="s">
        <v>10</v>
      </c>
    </row>
    <row r="586" spans="1:7" x14ac:dyDescent="0.25">
      <c r="A586" s="2" t="s">
        <v>632</v>
      </c>
      <c r="B586" s="3">
        <v>45555</v>
      </c>
      <c r="C586" s="2" t="s">
        <v>58</v>
      </c>
      <c r="D586" s="2" t="s">
        <v>59</v>
      </c>
      <c r="E586" s="4">
        <v>-867.11</v>
      </c>
      <c r="F586" s="2">
        <v>6200</v>
      </c>
      <c r="G586" s="2" t="s">
        <v>10</v>
      </c>
    </row>
    <row r="587" spans="1:7" x14ac:dyDescent="0.25">
      <c r="A587" s="2" t="s">
        <v>633</v>
      </c>
      <c r="B587" s="3">
        <v>45643</v>
      </c>
      <c r="C587" s="2" t="s">
        <v>79</v>
      </c>
      <c r="D587" s="2" t="s">
        <v>31</v>
      </c>
      <c r="E587" s="4">
        <v>22.82</v>
      </c>
      <c r="F587" s="2">
        <v>4900</v>
      </c>
      <c r="G587" s="2" t="s">
        <v>10</v>
      </c>
    </row>
    <row r="588" spans="1:7" x14ac:dyDescent="0.25">
      <c r="A588" s="2" t="s">
        <v>634</v>
      </c>
      <c r="B588" s="3">
        <v>45388</v>
      </c>
      <c r="C588" s="2" t="s">
        <v>30</v>
      </c>
      <c r="D588" s="2" t="s">
        <v>31</v>
      </c>
      <c r="E588" s="4">
        <v>390.73</v>
      </c>
      <c r="F588" s="2">
        <v>4900</v>
      </c>
      <c r="G588" s="2" t="s">
        <v>10</v>
      </c>
    </row>
    <row r="589" spans="1:7" x14ac:dyDescent="0.25">
      <c r="A589" s="2" t="s">
        <v>635</v>
      </c>
      <c r="B589" s="3">
        <v>45547</v>
      </c>
      <c r="C589" s="2" t="s">
        <v>56</v>
      </c>
      <c r="D589" s="2" t="s">
        <v>18</v>
      </c>
      <c r="E589" s="4">
        <v>-3765.72</v>
      </c>
      <c r="F589" s="2">
        <v>5100</v>
      </c>
      <c r="G589" s="2" t="s">
        <v>10</v>
      </c>
    </row>
    <row r="590" spans="1:7" x14ac:dyDescent="0.25">
      <c r="A590" s="2" t="s">
        <v>636</v>
      </c>
      <c r="B590" s="3">
        <v>45392</v>
      </c>
      <c r="C590" s="2" t="s">
        <v>69</v>
      </c>
      <c r="D590" s="2" t="s">
        <v>39</v>
      </c>
      <c r="E590" s="4">
        <v>-1477.71</v>
      </c>
      <c r="F590" s="2">
        <v>6500</v>
      </c>
      <c r="G590" s="2" t="s">
        <v>10</v>
      </c>
    </row>
    <row r="591" spans="1:7" x14ac:dyDescent="0.25">
      <c r="A591" s="2" t="s">
        <v>637</v>
      </c>
      <c r="B591" s="3">
        <v>45294</v>
      </c>
      <c r="C591" s="2" t="s">
        <v>56</v>
      </c>
      <c r="D591" s="2" t="s">
        <v>18</v>
      </c>
      <c r="E591" s="4">
        <v>-1137.26</v>
      </c>
      <c r="F591" s="2">
        <v>5100</v>
      </c>
      <c r="G591" s="2" t="s">
        <v>10</v>
      </c>
    </row>
    <row r="592" spans="1:7" x14ac:dyDescent="0.25">
      <c r="A592" s="2" t="s">
        <v>638</v>
      </c>
      <c r="B592" s="3">
        <v>45369</v>
      </c>
      <c r="C592" s="2" t="s">
        <v>42</v>
      </c>
      <c r="D592" s="2" t="s">
        <v>39</v>
      </c>
      <c r="E592" s="4">
        <v>-3812.1</v>
      </c>
      <c r="F592" s="2">
        <v>6500</v>
      </c>
      <c r="G592" s="2" t="s">
        <v>10</v>
      </c>
    </row>
    <row r="593" spans="1:7" x14ac:dyDescent="0.25">
      <c r="A593" s="2" t="s">
        <v>639</v>
      </c>
      <c r="B593" s="3">
        <v>45495</v>
      </c>
      <c r="C593" s="2" t="s">
        <v>8</v>
      </c>
      <c r="D593" s="2" t="s">
        <v>9</v>
      </c>
      <c r="E593" s="4">
        <v>-5925.23</v>
      </c>
      <c r="F593" s="2">
        <v>6100</v>
      </c>
      <c r="G593" s="2" t="s">
        <v>10</v>
      </c>
    </row>
    <row r="594" spans="1:7" x14ac:dyDescent="0.25">
      <c r="A594" s="2" t="s">
        <v>640</v>
      </c>
      <c r="B594" s="3">
        <v>45427</v>
      </c>
      <c r="C594" s="2" t="s">
        <v>58</v>
      </c>
      <c r="D594" s="2" t="s">
        <v>59</v>
      </c>
      <c r="E594" s="4">
        <v>-326.26</v>
      </c>
      <c r="F594" s="2">
        <v>6200</v>
      </c>
      <c r="G594" s="2" t="s">
        <v>10</v>
      </c>
    </row>
    <row r="595" spans="1:7" x14ac:dyDescent="0.25">
      <c r="A595" s="2" t="s">
        <v>641</v>
      </c>
      <c r="B595" s="3">
        <v>45485</v>
      </c>
      <c r="C595" s="2" t="s">
        <v>127</v>
      </c>
      <c r="D595" s="2" t="s">
        <v>24</v>
      </c>
      <c r="E595" s="4">
        <v>-874.38</v>
      </c>
      <c r="F595" s="2">
        <v>6300</v>
      </c>
      <c r="G595" s="2" t="s">
        <v>10</v>
      </c>
    </row>
    <row r="596" spans="1:7" x14ac:dyDescent="0.25">
      <c r="A596" s="2" t="s">
        <v>642</v>
      </c>
      <c r="B596" s="3">
        <v>45377</v>
      </c>
      <c r="C596" s="2" t="s">
        <v>58</v>
      </c>
      <c r="D596" s="2" t="s">
        <v>59</v>
      </c>
      <c r="E596" s="4">
        <v>-309.82</v>
      </c>
      <c r="F596" s="2">
        <v>6200</v>
      </c>
      <c r="G596" s="2" t="s">
        <v>10</v>
      </c>
    </row>
    <row r="597" spans="1:7" x14ac:dyDescent="0.25">
      <c r="A597" s="2" t="s">
        <v>151</v>
      </c>
      <c r="B597" s="3">
        <v>45642</v>
      </c>
      <c r="C597" s="2" t="s">
        <v>56</v>
      </c>
      <c r="D597" s="2" t="s">
        <v>18</v>
      </c>
      <c r="E597" s="4">
        <v>-4585.2299999999996</v>
      </c>
      <c r="F597" s="2">
        <v>5100</v>
      </c>
      <c r="G597" s="2" t="s">
        <v>123</v>
      </c>
    </row>
    <row r="598" spans="1:7" x14ac:dyDescent="0.25">
      <c r="A598" s="2" t="s">
        <v>643</v>
      </c>
      <c r="B598" s="3">
        <v>45328</v>
      </c>
      <c r="C598" s="2" t="s">
        <v>44</v>
      </c>
      <c r="D598" s="2" t="s">
        <v>9</v>
      </c>
      <c r="E598" s="4">
        <v>-4734.58</v>
      </c>
      <c r="F598" s="2">
        <v>6100</v>
      </c>
      <c r="G598" s="2" t="s">
        <v>10</v>
      </c>
    </row>
    <row r="599" spans="1:7" x14ac:dyDescent="0.25">
      <c r="A599" s="2" t="s">
        <v>644</v>
      </c>
      <c r="B599" s="3">
        <v>45433</v>
      </c>
      <c r="C599" s="2" t="s">
        <v>15</v>
      </c>
      <c r="D599" s="2" t="s">
        <v>13</v>
      </c>
      <c r="E599" s="4">
        <v>-683.14</v>
      </c>
      <c r="F599" s="2">
        <v>6400</v>
      </c>
      <c r="G599" s="2" t="s">
        <v>10</v>
      </c>
    </row>
    <row r="600" spans="1:7" x14ac:dyDescent="0.25">
      <c r="A600" s="2" t="s">
        <v>645</v>
      </c>
      <c r="B600" s="3">
        <v>45635</v>
      </c>
      <c r="C600" s="2" t="s">
        <v>12</v>
      </c>
      <c r="D600" s="2" t="s">
        <v>13</v>
      </c>
      <c r="E600" s="4">
        <v>-549.26</v>
      </c>
      <c r="F600" s="2">
        <v>6400</v>
      </c>
      <c r="G600" s="2" t="s">
        <v>10</v>
      </c>
    </row>
    <row r="601" spans="1:7" x14ac:dyDescent="0.25">
      <c r="A601" s="2" t="s">
        <v>646</v>
      </c>
      <c r="B601" s="3">
        <v>45361</v>
      </c>
      <c r="C601" s="2" t="s">
        <v>17</v>
      </c>
      <c r="D601" s="2" t="s">
        <v>18</v>
      </c>
      <c r="E601" s="4">
        <v>-10831.59</v>
      </c>
      <c r="F601" s="2">
        <v>5100</v>
      </c>
      <c r="G601" s="2" t="s">
        <v>10</v>
      </c>
    </row>
    <row r="602" spans="1:7" x14ac:dyDescent="0.25">
      <c r="A602" s="2" t="s">
        <v>647</v>
      </c>
      <c r="B602" s="3">
        <v>45344</v>
      </c>
      <c r="C602" s="2" t="s">
        <v>15</v>
      </c>
      <c r="D602" s="2" t="s">
        <v>13</v>
      </c>
      <c r="E602" s="4">
        <v>-3106.18</v>
      </c>
      <c r="F602" s="2">
        <v>6400</v>
      </c>
      <c r="G602" s="2" t="s">
        <v>10</v>
      </c>
    </row>
    <row r="603" spans="1:7" x14ac:dyDescent="0.25">
      <c r="A603" s="2" t="s">
        <v>648</v>
      </c>
      <c r="B603" s="3">
        <v>45517</v>
      </c>
      <c r="C603" s="2" t="s">
        <v>195</v>
      </c>
      <c r="D603" s="2" t="s">
        <v>28</v>
      </c>
      <c r="E603" s="4">
        <v>-61.97</v>
      </c>
      <c r="F603" s="2">
        <v>6900</v>
      </c>
      <c r="G603" s="2" t="s">
        <v>10</v>
      </c>
    </row>
    <row r="604" spans="1:7" x14ac:dyDescent="0.25">
      <c r="A604" s="2" t="s">
        <v>649</v>
      </c>
      <c r="B604" s="3">
        <v>45655</v>
      </c>
      <c r="C604" s="2" t="s">
        <v>38</v>
      </c>
      <c r="D604" s="2" t="s">
        <v>39</v>
      </c>
      <c r="E604" s="4">
        <v>-7989.08</v>
      </c>
      <c r="F604" s="2">
        <v>6500</v>
      </c>
      <c r="G604" s="2" t="s">
        <v>10</v>
      </c>
    </row>
    <row r="605" spans="1:7" x14ac:dyDescent="0.25">
      <c r="A605" s="2" t="s">
        <v>650</v>
      </c>
      <c r="B605" s="3">
        <v>45576</v>
      </c>
      <c r="C605" s="2" t="s">
        <v>97</v>
      </c>
      <c r="D605" s="2" t="s">
        <v>52</v>
      </c>
      <c r="E605" s="4">
        <v>-5995.78</v>
      </c>
      <c r="F605" s="2">
        <v>6000</v>
      </c>
      <c r="G605" s="2" t="s">
        <v>10</v>
      </c>
    </row>
    <row r="606" spans="1:7" x14ac:dyDescent="0.25">
      <c r="A606" s="2" t="s">
        <v>651</v>
      </c>
      <c r="B606" s="3">
        <v>45401</v>
      </c>
      <c r="C606" s="2" t="s">
        <v>12</v>
      </c>
      <c r="D606" s="2" t="s">
        <v>13</v>
      </c>
      <c r="E606" s="4">
        <v>-1269.04</v>
      </c>
      <c r="F606" s="2">
        <v>6400</v>
      </c>
      <c r="G606" s="2" t="s">
        <v>10</v>
      </c>
    </row>
    <row r="607" spans="1:7" x14ac:dyDescent="0.25">
      <c r="A607" s="2" t="s">
        <v>652</v>
      </c>
      <c r="B607" s="3">
        <v>45485</v>
      </c>
      <c r="C607" s="2" t="s">
        <v>71</v>
      </c>
      <c r="D607" s="2" t="s">
        <v>59</v>
      </c>
      <c r="E607" s="4">
        <v>-937.63</v>
      </c>
      <c r="F607" s="2">
        <v>6200</v>
      </c>
      <c r="G607" s="2" t="s">
        <v>10</v>
      </c>
    </row>
    <row r="608" spans="1:7" x14ac:dyDescent="0.25">
      <c r="A608" s="2" t="s">
        <v>653</v>
      </c>
      <c r="B608" s="3">
        <v>45631</v>
      </c>
      <c r="C608" s="2" t="s">
        <v>51</v>
      </c>
      <c r="D608" s="2" t="s">
        <v>52</v>
      </c>
      <c r="E608" s="4">
        <v>-7320</v>
      </c>
      <c r="F608" s="2">
        <v>6000</v>
      </c>
      <c r="G608" s="2" t="s">
        <v>10</v>
      </c>
    </row>
    <row r="609" spans="1:7" x14ac:dyDescent="0.25">
      <c r="A609" s="2" t="s">
        <v>654</v>
      </c>
      <c r="B609" s="3">
        <v>45438</v>
      </c>
      <c r="C609" s="2" t="s">
        <v>34</v>
      </c>
      <c r="D609" s="2" t="s">
        <v>35</v>
      </c>
      <c r="E609" s="4">
        <v>24872.959999999999</v>
      </c>
      <c r="F609" s="2">
        <v>4000</v>
      </c>
      <c r="G609" s="2" t="s">
        <v>10</v>
      </c>
    </row>
    <row r="610" spans="1:7" x14ac:dyDescent="0.25">
      <c r="A610" s="2" t="s">
        <v>655</v>
      </c>
      <c r="B610" s="3">
        <v>45602</v>
      </c>
      <c r="C610" s="2" t="s">
        <v>51</v>
      </c>
      <c r="D610" s="2" t="s">
        <v>52</v>
      </c>
      <c r="E610" s="4">
        <v>-4962.75</v>
      </c>
      <c r="F610" s="2">
        <v>6000</v>
      </c>
      <c r="G610" s="2" t="s">
        <v>10</v>
      </c>
    </row>
    <row r="611" spans="1:7" x14ac:dyDescent="0.25">
      <c r="A611" s="2" t="s">
        <v>656</v>
      </c>
      <c r="B611" s="3">
        <v>45518</v>
      </c>
      <c r="C611" s="2" t="s">
        <v>103</v>
      </c>
      <c r="D611" s="2" t="s">
        <v>35</v>
      </c>
      <c r="E611" s="4">
        <v>8602.5400000000009</v>
      </c>
      <c r="F611" s="2">
        <v>4000</v>
      </c>
      <c r="G611" s="2" t="s">
        <v>10</v>
      </c>
    </row>
    <row r="612" spans="1:7" x14ac:dyDescent="0.25">
      <c r="A612" s="2" t="s">
        <v>657</v>
      </c>
      <c r="B612" s="3">
        <v>45640</v>
      </c>
      <c r="C612" s="2" t="s">
        <v>17</v>
      </c>
      <c r="D612" s="2" t="s">
        <v>18</v>
      </c>
      <c r="E612" s="4">
        <v>-1956.43</v>
      </c>
      <c r="F612" s="2">
        <v>5100</v>
      </c>
      <c r="G612" s="2" t="s">
        <v>10</v>
      </c>
    </row>
    <row r="613" spans="1:7" x14ac:dyDescent="0.25">
      <c r="A613" s="2" t="s">
        <v>658</v>
      </c>
      <c r="B613" s="3">
        <v>45576</v>
      </c>
      <c r="C613" s="2" t="s">
        <v>27</v>
      </c>
      <c r="D613" s="2" t="s">
        <v>28</v>
      </c>
      <c r="E613" s="4">
        <v>-9.76</v>
      </c>
      <c r="F613" s="2">
        <v>6900</v>
      </c>
      <c r="G613" s="2" t="s">
        <v>10</v>
      </c>
    </row>
    <row r="614" spans="1:7" x14ac:dyDescent="0.25">
      <c r="A614" s="2" t="s">
        <v>659</v>
      </c>
      <c r="B614" s="3">
        <v>45417</v>
      </c>
      <c r="C614" s="2" t="s">
        <v>23</v>
      </c>
      <c r="D614" s="2" t="s">
        <v>24</v>
      </c>
      <c r="E614" s="4">
        <v>-898.97</v>
      </c>
      <c r="F614" s="2">
        <v>6300</v>
      </c>
      <c r="G614" s="2" t="s">
        <v>10</v>
      </c>
    </row>
    <row r="615" spans="1:7" x14ac:dyDescent="0.25">
      <c r="A615" s="2" t="s">
        <v>660</v>
      </c>
      <c r="B615" s="3">
        <v>45364</v>
      </c>
      <c r="C615" s="2" t="s">
        <v>76</v>
      </c>
      <c r="D615" s="2" t="s">
        <v>28</v>
      </c>
      <c r="E615" s="4">
        <v>-90.21</v>
      </c>
      <c r="F615" s="2">
        <v>6900</v>
      </c>
      <c r="G615" s="2" t="s">
        <v>10</v>
      </c>
    </row>
    <row r="616" spans="1:7" x14ac:dyDescent="0.25">
      <c r="A616" s="2" t="s">
        <v>661</v>
      </c>
      <c r="B616" s="3">
        <v>45362</v>
      </c>
      <c r="C616" s="2" t="s">
        <v>127</v>
      </c>
      <c r="D616" s="2" t="s">
        <v>24</v>
      </c>
      <c r="E616" s="4">
        <v>-597.35</v>
      </c>
      <c r="F616" s="2">
        <v>6300</v>
      </c>
      <c r="G616" s="2" t="s">
        <v>10</v>
      </c>
    </row>
    <row r="617" spans="1:7" x14ac:dyDescent="0.25">
      <c r="A617" s="2" t="s">
        <v>662</v>
      </c>
      <c r="B617" s="3">
        <v>45642</v>
      </c>
      <c r="C617" s="2" t="s">
        <v>76</v>
      </c>
      <c r="D617" s="2" t="s">
        <v>28</v>
      </c>
      <c r="E617" s="4">
        <v>-82.89</v>
      </c>
      <c r="F617" s="2">
        <v>6900</v>
      </c>
      <c r="G617" s="2" t="s">
        <v>10</v>
      </c>
    </row>
    <row r="618" spans="1:7" x14ac:dyDescent="0.25">
      <c r="A618" s="2" t="s">
        <v>663</v>
      </c>
      <c r="B618" s="3">
        <v>45429</v>
      </c>
      <c r="C618" s="2" t="s">
        <v>23</v>
      </c>
      <c r="D618" s="2" t="s">
        <v>24</v>
      </c>
      <c r="E618" s="4">
        <v>-103.02</v>
      </c>
      <c r="F618" s="2">
        <v>6300</v>
      </c>
      <c r="G618" s="2" t="s">
        <v>10</v>
      </c>
    </row>
    <row r="619" spans="1:7" x14ac:dyDescent="0.25">
      <c r="A619" s="2" t="s">
        <v>664</v>
      </c>
      <c r="B619" s="3">
        <v>45295</v>
      </c>
      <c r="C619" s="2" t="s">
        <v>8</v>
      </c>
      <c r="D619" s="2" t="s">
        <v>9</v>
      </c>
      <c r="E619" s="4">
        <v>-3413.06</v>
      </c>
      <c r="F619" s="2">
        <v>6100</v>
      </c>
      <c r="G619" s="2" t="s">
        <v>10</v>
      </c>
    </row>
    <row r="620" spans="1:7" x14ac:dyDescent="0.25">
      <c r="A620" s="2" t="s">
        <v>665</v>
      </c>
      <c r="B620" s="3">
        <v>45406</v>
      </c>
      <c r="C620" s="2" t="s">
        <v>195</v>
      </c>
      <c r="D620" s="2" t="s">
        <v>28</v>
      </c>
      <c r="E620" s="4">
        <v>-51.72</v>
      </c>
      <c r="F620" s="2">
        <v>6900</v>
      </c>
      <c r="G620" s="2" t="s">
        <v>10</v>
      </c>
    </row>
    <row r="621" spans="1:7" x14ac:dyDescent="0.25">
      <c r="A621" s="2" t="s">
        <v>666</v>
      </c>
      <c r="B621" s="3">
        <v>45487</v>
      </c>
      <c r="C621" s="2" t="s">
        <v>27</v>
      </c>
      <c r="D621" s="2" t="s">
        <v>28</v>
      </c>
      <c r="E621" s="4">
        <v>-111.45</v>
      </c>
      <c r="F621" s="2">
        <v>6900</v>
      </c>
      <c r="G621" s="2" t="s">
        <v>10</v>
      </c>
    </row>
    <row r="622" spans="1:7" x14ac:dyDescent="0.25">
      <c r="A622" s="2" t="s">
        <v>667</v>
      </c>
      <c r="B622" s="3">
        <v>45651</v>
      </c>
      <c r="C622" s="2" t="s">
        <v>12</v>
      </c>
      <c r="D622" s="2" t="s">
        <v>13</v>
      </c>
      <c r="E622" s="4">
        <v>-284.60000000000002</v>
      </c>
      <c r="F622" s="2">
        <v>6400</v>
      </c>
      <c r="G622" s="2" t="s">
        <v>10</v>
      </c>
    </row>
    <row r="623" spans="1:7" x14ac:dyDescent="0.25">
      <c r="A623" s="2" t="s">
        <v>668</v>
      </c>
      <c r="B623" s="3">
        <v>45312</v>
      </c>
      <c r="C623" s="2" t="s">
        <v>38</v>
      </c>
      <c r="D623" s="2" t="s">
        <v>39</v>
      </c>
      <c r="E623" s="4">
        <v>-7296.07</v>
      </c>
      <c r="F623" s="2">
        <v>6500</v>
      </c>
      <c r="G623" s="2" t="s">
        <v>10</v>
      </c>
    </row>
    <row r="624" spans="1:7" x14ac:dyDescent="0.25">
      <c r="A624" s="2" t="s">
        <v>669</v>
      </c>
      <c r="B624" s="3">
        <v>45398</v>
      </c>
      <c r="C624" s="2" t="s">
        <v>195</v>
      </c>
      <c r="D624" s="2" t="s">
        <v>28</v>
      </c>
      <c r="E624" s="4">
        <v>-140.28</v>
      </c>
      <c r="F624" s="2">
        <v>6900</v>
      </c>
      <c r="G624" s="2" t="s">
        <v>10</v>
      </c>
    </row>
    <row r="625" spans="1:7" x14ac:dyDescent="0.25">
      <c r="A625" s="2" t="s">
        <v>670</v>
      </c>
      <c r="B625" s="3">
        <v>45593</v>
      </c>
      <c r="C625" s="2" t="s">
        <v>51</v>
      </c>
      <c r="D625" s="2" t="s">
        <v>52</v>
      </c>
      <c r="E625" s="4">
        <v>-6111.37</v>
      </c>
      <c r="F625" s="2">
        <v>6000</v>
      </c>
      <c r="G625" s="2" t="s">
        <v>10</v>
      </c>
    </row>
    <row r="626" spans="1:7" x14ac:dyDescent="0.25">
      <c r="A626" s="2" t="s">
        <v>451</v>
      </c>
      <c r="B626" s="3">
        <v>45648</v>
      </c>
      <c r="C626" s="2" t="s">
        <v>116</v>
      </c>
      <c r="D626" s="2" t="s">
        <v>35</v>
      </c>
      <c r="E626" s="4">
        <v>10232.219999999999</v>
      </c>
      <c r="F626" s="2">
        <v>4000</v>
      </c>
      <c r="G626" s="2" t="s">
        <v>123</v>
      </c>
    </row>
    <row r="627" spans="1:7" x14ac:dyDescent="0.25">
      <c r="A627" s="2" t="s">
        <v>671</v>
      </c>
      <c r="B627" s="3">
        <v>45337</v>
      </c>
      <c r="C627" s="2" t="s">
        <v>56</v>
      </c>
      <c r="D627" s="2" t="s">
        <v>18</v>
      </c>
      <c r="E627" s="4">
        <v>-10519.65</v>
      </c>
      <c r="F627" s="2">
        <v>5100</v>
      </c>
      <c r="G627" s="2" t="s">
        <v>10</v>
      </c>
    </row>
    <row r="628" spans="1:7" x14ac:dyDescent="0.25">
      <c r="A628" s="2" t="s">
        <v>672</v>
      </c>
      <c r="B628" s="3">
        <v>45592</v>
      </c>
      <c r="C628" s="2" t="s">
        <v>51</v>
      </c>
      <c r="D628" s="2" t="s">
        <v>52</v>
      </c>
      <c r="E628" s="4">
        <v>-6169.22</v>
      </c>
      <c r="F628" s="2">
        <v>6000</v>
      </c>
      <c r="G628" s="2" t="s">
        <v>10</v>
      </c>
    </row>
    <row r="629" spans="1:7" x14ac:dyDescent="0.25">
      <c r="A629" s="2" t="s">
        <v>673</v>
      </c>
      <c r="B629" s="3">
        <v>45384</v>
      </c>
      <c r="C629" s="2" t="s">
        <v>23</v>
      </c>
      <c r="D629" s="2" t="s">
        <v>24</v>
      </c>
      <c r="E629" s="4">
        <v>-384.63</v>
      </c>
      <c r="F629" s="2">
        <v>6300</v>
      </c>
      <c r="G629" s="2" t="s">
        <v>10</v>
      </c>
    </row>
    <row r="630" spans="1:7" x14ac:dyDescent="0.25">
      <c r="A630" s="2" t="s">
        <v>674</v>
      </c>
      <c r="B630" s="3">
        <v>45352</v>
      </c>
      <c r="C630" s="2" t="s">
        <v>69</v>
      </c>
      <c r="D630" s="2" t="s">
        <v>39</v>
      </c>
      <c r="E630" s="4">
        <v>-6331.59</v>
      </c>
      <c r="F630" s="2">
        <v>6500</v>
      </c>
      <c r="G630" s="2" t="s">
        <v>10</v>
      </c>
    </row>
    <row r="631" spans="1:7" x14ac:dyDescent="0.25">
      <c r="A631" s="2" t="s">
        <v>675</v>
      </c>
      <c r="B631" s="3">
        <v>45572</v>
      </c>
      <c r="C631" s="2" t="s">
        <v>44</v>
      </c>
      <c r="D631" s="2" t="s">
        <v>9</v>
      </c>
      <c r="E631" s="4">
        <v>-3837.64</v>
      </c>
      <c r="F631" s="2">
        <v>6100</v>
      </c>
      <c r="G631" s="2" t="s">
        <v>10</v>
      </c>
    </row>
    <row r="632" spans="1:7" x14ac:dyDescent="0.25">
      <c r="A632" s="2" t="s">
        <v>676</v>
      </c>
      <c r="B632" s="3">
        <v>45403</v>
      </c>
      <c r="C632" s="2" t="s">
        <v>42</v>
      </c>
      <c r="D632" s="2" t="s">
        <v>39</v>
      </c>
      <c r="E632" s="4">
        <v>-2071.65</v>
      </c>
      <c r="F632" s="2">
        <v>6500</v>
      </c>
      <c r="G632" s="2" t="s">
        <v>10</v>
      </c>
    </row>
    <row r="633" spans="1:7" x14ac:dyDescent="0.25">
      <c r="A633" s="2" t="s">
        <v>677</v>
      </c>
      <c r="B633" s="3">
        <v>45298</v>
      </c>
      <c r="C633" s="2" t="s">
        <v>127</v>
      </c>
      <c r="D633" s="2" t="s">
        <v>24</v>
      </c>
      <c r="E633" s="4">
        <v>-198.46</v>
      </c>
      <c r="F633" s="2">
        <v>6300</v>
      </c>
      <c r="G633" s="2" t="s">
        <v>10</v>
      </c>
    </row>
    <row r="634" spans="1:7" x14ac:dyDescent="0.25">
      <c r="A634" s="2" t="s">
        <v>678</v>
      </c>
      <c r="B634" s="3">
        <v>45477</v>
      </c>
      <c r="C634" s="2" t="s">
        <v>116</v>
      </c>
      <c r="D634" s="2" t="s">
        <v>35</v>
      </c>
      <c r="E634" s="4">
        <v>23086.49</v>
      </c>
      <c r="F634" s="2">
        <v>4000</v>
      </c>
      <c r="G634" s="2" t="s">
        <v>10</v>
      </c>
    </row>
    <row r="635" spans="1:7" x14ac:dyDescent="0.25">
      <c r="A635" s="2" t="s">
        <v>679</v>
      </c>
      <c r="B635" s="3">
        <v>45603</v>
      </c>
      <c r="C635" s="2" t="s">
        <v>38</v>
      </c>
      <c r="D635" s="2" t="s">
        <v>39</v>
      </c>
      <c r="E635" s="4">
        <v>-4076.65</v>
      </c>
      <c r="F635" s="2">
        <v>6500</v>
      </c>
      <c r="G635" s="2" t="s">
        <v>10</v>
      </c>
    </row>
    <row r="636" spans="1:7" x14ac:dyDescent="0.25">
      <c r="A636" s="2" t="s">
        <v>680</v>
      </c>
      <c r="B636" s="3">
        <v>45489</v>
      </c>
      <c r="C636" s="2" t="s">
        <v>58</v>
      </c>
      <c r="D636" s="2" t="s">
        <v>59</v>
      </c>
      <c r="E636" s="4">
        <v>-1134.8900000000001</v>
      </c>
      <c r="F636" s="2">
        <v>6200</v>
      </c>
      <c r="G636" s="2" t="s">
        <v>10</v>
      </c>
    </row>
    <row r="637" spans="1:7" x14ac:dyDescent="0.25">
      <c r="A637" s="2" t="s">
        <v>681</v>
      </c>
      <c r="B637" s="3">
        <v>45303</v>
      </c>
      <c r="C637" s="2" t="s">
        <v>79</v>
      </c>
      <c r="D637" s="2" t="s">
        <v>31</v>
      </c>
      <c r="E637" s="4">
        <v>369.07</v>
      </c>
      <c r="F637" s="2">
        <v>4900</v>
      </c>
      <c r="G637" s="2" t="s">
        <v>10</v>
      </c>
    </row>
    <row r="638" spans="1:7" x14ac:dyDescent="0.25">
      <c r="A638" s="2" t="s">
        <v>682</v>
      </c>
      <c r="B638" s="3">
        <v>45322</v>
      </c>
      <c r="C638" s="2" t="s">
        <v>56</v>
      </c>
      <c r="D638" s="2" t="s">
        <v>18</v>
      </c>
      <c r="E638" s="4">
        <v>-1401.08</v>
      </c>
      <c r="F638" s="2">
        <v>5100</v>
      </c>
      <c r="G638" s="2" t="s">
        <v>10</v>
      </c>
    </row>
    <row r="639" spans="1:7" x14ac:dyDescent="0.25">
      <c r="A639" s="2" t="s">
        <v>683</v>
      </c>
      <c r="B639" s="3">
        <v>45322</v>
      </c>
      <c r="C639" s="2" t="s">
        <v>103</v>
      </c>
      <c r="D639" s="2" t="s">
        <v>35</v>
      </c>
      <c r="E639" s="4">
        <v>12411.71</v>
      </c>
      <c r="F639" s="2">
        <v>4000</v>
      </c>
      <c r="G639" s="2" t="s">
        <v>10</v>
      </c>
    </row>
    <row r="640" spans="1:7" x14ac:dyDescent="0.25">
      <c r="A640" s="2" t="s">
        <v>684</v>
      </c>
      <c r="B640" s="3">
        <v>45457</v>
      </c>
      <c r="C640" s="2" t="s">
        <v>17</v>
      </c>
      <c r="D640" s="2" t="s">
        <v>18</v>
      </c>
      <c r="E640" s="4">
        <v>-11936.47</v>
      </c>
      <c r="F640" s="2">
        <v>5100</v>
      </c>
      <c r="G640" s="2" t="s">
        <v>10</v>
      </c>
    </row>
    <row r="641" spans="1:7" x14ac:dyDescent="0.25">
      <c r="A641" s="2" t="s">
        <v>685</v>
      </c>
      <c r="B641" s="3">
        <v>45346</v>
      </c>
      <c r="C641" s="2" t="s">
        <v>58</v>
      </c>
      <c r="D641" s="2" t="s">
        <v>59</v>
      </c>
      <c r="E641" s="4">
        <v>-565.49</v>
      </c>
      <c r="F641" s="2">
        <v>6200</v>
      </c>
      <c r="G641" s="2" t="s">
        <v>10</v>
      </c>
    </row>
    <row r="642" spans="1:7" x14ac:dyDescent="0.25">
      <c r="A642" s="2" t="s">
        <v>686</v>
      </c>
      <c r="B642" s="3">
        <v>45654</v>
      </c>
      <c r="C642" s="2" t="s">
        <v>42</v>
      </c>
      <c r="D642" s="2" t="s">
        <v>39</v>
      </c>
      <c r="E642" s="4">
        <v>-1355.6</v>
      </c>
      <c r="F642" s="2">
        <v>6500</v>
      </c>
      <c r="G642" s="2" t="s">
        <v>10</v>
      </c>
    </row>
    <row r="643" spans="1:7" x14ac:dyDescent="0.25">
      <c r="A643" s="2" t="s">
        <v>687</v>
      </c>
      <c r="B643" s="3">
        <v>45517</v>
      </c>
      <c r="C643" s="2" t="s">
        <v>81</v>
      </c>
      <c r="D643" s="2" t="s">
        <v>18</v>
      </c>
      <c r="E643" s="4">
        <v>-14982.66</v>
      </c>
      <c r="F643" s="2">
        <v>5100</v>
      </c>
      <c r="G643" s="2" t="s">
        <v>10</v>
      </c>
    </row>
    <row r="644" spans="1:7" x14ac:dyDescent="0.25">
      <c r="A644" s="2" t="s">
        <v>688</v>
      </c>
      <c r="B644" s="3">
        <v>45314</v>
      </c>
      <c r="C644" s="2" t="s">
        <v>38</v>
      </c>
      <c r="D644" s="2" t="s">
        <v>39</v>
      </c>
      <c r="E644" s="4">
        <v>-917.64</v>
      </c>
      <c r="F644" s="2">
        <v>6500</v>
      </c>
      <c r="G644" s="2" t="s">
        <v>10</v>
      </c>
    </row>
    <row r="645" spans="1:7" x14ac:dyDescent="0.25">
      <c r="A645" s="2" t="s">
        <v>689</v>
      </c>
      <c r="B645" s="3">
        <v>45482</v>
      </c>
      <c r="C645" s="2" t="s">
        <v>48</v>
      </c>
      <c r="D645" s="2" t="s">
        <v>9</v>
      </c>
      <c r="E645" s="4">
        <v>-5471.55</v>
      </c>
      <c r="F645" s="2">
        <v>6100</v>
      </c>
      <c r="G645" s="2" t="s">
        <v>10</v>
      </c>
    </row>
    <row r="646" spans="1:7" x14ac:dyDescent="0.25">
      <c r="A646" s="2" t="s">
        <v>690</v>
      </c>
      <c r="B646" s="3">
        <v>45320</v>
      </c>
      <c r="C646" s="2" t="s">
        <v>51</v>
      </c>
      <c r="D646" s="2" t="s">
        <v>52</v>
      </c>
      <c r="E646" s="4">
        <v>-6149.94</v>
      </c>
      <c r="F646" s="2">
        <v>6000</v>
      </c>
      <c r="G646" s="2" t="s">
        <v>10</v>
      </c>
    </row>
    <row r="647" spans="1:7" x14ac:dyDescent="0.25">
      <c r="A647" s="2" t="s">
        <v>691</v>
      </c>
      <c r="B647" s="3">
        <v>45445</v>
      </c>
      <c r="C647" s="2" t="s">
        <v>15</v>
      </c>
      <c r="D647" s="2" t="s">
        <v>13</v>
      </c>
      <c r="E647" s="4">
        <v>-3290.71</v>
      </c>
      <c r="F647" s="2">
        <v>6400</v>
      </c>
      <c r="G647" s="2" t="s">
        <v>10</v>
      </c>
    </row>
    <row r="648" spans="1:7" x14ac:dyDescent="0.25">
      <c r="A648" s="2" t="s">
        <v>692</v>
      </c>
      <c r="B648" s="3">
        <v>45305</v>
      </c>
      <c r="C648" s="2" t="s">
        <v>48</v>
      </c>
      <c r="D648" s="2" t="s">
        <v>9</v>
      </c>
      <c r="E648" s="4">
        <v>-2808.98</v>
      </c>
      <c r="F648" s="2">
        <v>6100</v>
      </c>
      <c r="G648" s="2" t="s">
        <v>10</v>
      </c>
    </row>
    <row r="649" spans="1:7" x14ac:dyDescent="0.25">
      <c r="A649" s="2" t="s">
        <v>693</v>
      </c>
      <c r="B649" s="3">
        <v>45539</v>
      </c>
      <c r="C649" s="2" t="s">
        <v>38</v>
      </c>
      <c r="D649" s="2" t="s">
        <v>39</v>
      </c>
      <c r="E649" s="4">
        <v>-2289.8000000000002</v>
      </c>
      <c r="F649" s="2">
        <v>6500</v>
      </c>
      <c r="G649" s="2" t="s">
        <v>10</v>
      </c>
    </row>
    <row r="650" spans="1:7" x14ac:dyDescent="0.25">
      <c r="A650" s="2" t="s">
        <v>694</v>
      </c>
      <c r="B650" s="3">
        <v>45648</v>
      </c>
      <c r="C650" s="2" t="s">
        <v>67</v>
      </c>
      <c r="D650" s="2" t="s">
        <v>59</v>
      </c>
      <c r="E650" s="4">
        <v>-298.31</v>
      </c>
      <c r="F650" s="2">
        <v>6200</v>
      </c>
      <c r="G650" s="2" t="s">
        <v>10</v>
      </c>
    </row>
    <row r="651" spans="1:7" x14ac:dyDescent="0.25">
      <c r="A651" s="2" t="s">
        <v>695</v>
      </c>
      <c r="B651" s="3">
        <v>45312</v>
      </c>
      <c r="C651" s="2" t="s">
        <v>146</v>
      </c>
      <c r="D651" s="2" t="s">
        <v>31</v>
      </c>
      <c r="E651" s="4">
        <v>283.58</v>
      </c>
      <c r="F651" s="2">
        <v>4900</v>
      </c>
      <c r="G651" s="2" t="s">
        <v>10</v>
      </c>
    </row>
    <row r="652" spans="1:7" x14ac:dyDescent="0.25">
      <c r="A652" s="2" t="s">
        <v>696</v>
      </c>
      <c r="B652" s="3">
        <v>45617</v>
      </c>
      <c r="C652" s="2" t="s">
        <v>34</v>
      </c>
      <c r="D652" s="2" t="s">
        <v>35</v>
      </c>
      <c r="E652" s="4">
        <v>11033.95</v>
      </c>
      <c r="F652" s="2">
        <v>4000</v>
      </c>
      <c r="G652" s="2" t="s">
        <v>10</v>
      </c>
    </row>
    <row r="653" spans="1:7" x14ac:dyDescent="0.25">
      <c r="A653" s="2" t="s">
        <v>697</v>
      </c>
      <c r="B653" s="3">
        <v>45568</v>
      </c>
      <c r="C653" s="2" t="s">
        <v>56</v>
      </c>
      <c r="D653" s="2" t="s">
        <v>18</v>
      </c>
      <c r="E653" s="4">
        <v>-11785.74</v>
      </c>
      <c r="F653" s="2">
        <v>5100</v>
      </c>
      <c r="G653" s="2" t="s">
        <v>10</v>
      </c>
    </row>
    <row r="654" spans="1:7" x14ac:dyDescent="0.25">
      <c r="A654" s="2" t="s">
        <v>698</v>
      </c>
      <c r="B654" s="3">
        <v>45467</v>
      </c>
      <c r="C654" s="2" t="s">
        <v>27</v>
      </c>
      <c r="D654" s="2" t="s">
        <v>28</v>
      </c>
      <c r="E654" s="4">
        <v>-72.38</v>
      </c>
      <c r="F654" s="2">
        <v>6900</v>
      </c>
      <c r="G654" s="2" t="s">
        <v>10</v>
      </c>
    </row>
    <row r="655" spans="1:7" x14ac:dyDescent="0.25">
      <c r="A655" s="2" t="s">
        <v>699</v>
      </c>
      <c r="B655" s="3">
        <v>45613</v>
      </c>
      <c r="C655" s="2" t="s">
        <v>8</v>
      </c>
      <c r="D655" s="2" t="s">
        <v>9</v>
      </c>
      <c r="E655" s="4">
        <v>-5337.17</v>
      </c>
      <c r="F655" s="2">
        <v>6100</v>
      </c>
      <c r="G655" s="2" t="s">
        <v>123</v>
      </c>
    </row>
    <row r="656" spans="1:7" x14ac:dyDescent="0.25">
      <c r="A656" s="2" t="s">
        <v>700</v>
      </c>
      <c r="B656" s="3">
        <v>45625</v>
      </c>
      <c r="C656" s="2" t="s">
        <v>69</v>
      </c>
      <c r="D656" s="2" t="s">
        <v>39</v>
      </c>
      <c r="E656" s="4">
        <v>-6760.25</v>
      </c>
      <c r="F656" s="2">
        <v>6500</v>
      </c>
      <c r="G656" s="2" t="s">
        <v>10</v>
      </c>
    </row>
    <row r="657" spans="1:7" x14ac:dyDescent="0.25">
      <c r="A657" s="2" t="s">
        <v>701</v>
      </c>
      <c r="B657" s="3">
        <v>45436</v>
      </c>
      <c r="C657" s="2" t="s">
        <v>146</v>
      </c>
      <c r="D657" s="2" t="s">
        <v>31</v>
      </c>
      <c r="E657" s="4">
        <v>343.46</v>
      </c>
      <c r="F657" s="2">
        <v>4900</v>
      </c>
      <c r="G657" s="2" t="s">
        <v>10</v>
      </c>
    </row>
    <row r="658" spans="1:7" x14ac:dyDescent="0.25">
      <c r="A658" s="2" t="s">
        <v>702</v>
      </c>
      <c r="B658" s="3">
        <v>45563</v>
      </c>
      <c r="C658" s="2" t="s">
        <v>127</v>
      </c>
      <c r="D658" s="2" t="s">
        <v>24</v>
      </c>
      <c r="E658" s="4">
        <v>-701.07</v>
      </c>
      <c r="F658" s="2">
        <v>6300</v>
      </c>
      <c r="G658" s="2" t="s">
        <v>10</v>
      </c>
    </row>
    <row r="659" spans="1:7" x14ac:dyDescent="0.25">
      <c r="A659" s="2" t="s">
        <v>703</v>
      </c>
      <c r="B659" s="3">
        <v>45425</v>
      </c>
      <c r="C659" s="2" t="s">
        <v>116</v>
      </c>
      <c r="D659" s="2" t="s">
        <v>35</v>
      </c>
      <c r="E659" s="4">
        <v>19890.560000000001</v>
      </c>
      <c r="F659" s="2">
        <v>4000</v>
      </c>
      <c r="G659" s="2" t="s">
        <v>10</v>
      </c>
    </row>
    <row r="660" spans="1:7" x14ac:dyDescent="0.25">
      <c r="A660" s="2" t="s">
        <v>704</v>
      </c>
      <c r="B660" s="3">
        <v>45435</v>
      </c>
      <c r="C660" s="2" t="s">
        <v>23</v>
      </c>
      <c r="D660" s="2" t="s">
        <v>24</v>
      </c>
      <c r="E660" s="4">
        <v>-777.5</v>
      </c>
      <c r="F660" s="2">
        <v>6300</v>
      </c>
      <c r="G660" s="2" t="s">
        <v>10</v>
      </c>
    </row>
    <row r="661" spans="1:7" x14ac:dyDescent="0.25">
      <c r="A661" s="2" t="s">
        <v>705</v>
      </c>
      <c r="B661" s="3">
        <v>45471</v>
      </c>
      <c r="C661" s="2" t="s">
        <v>79</v>
      </c>
      <c r="D661" s="2" t="s">
        <v>31</v>
      </c>
      <c r="E661" s="4">
        <v>102.05</v>
      </c>
      <c r="F661" s="2">
        <v>4900</v>
      </c>
      <c r="G661" s="2" t="s">
        <v>10</v>
      </c>
    </row>
    <row r="662" spans="1:7" x14ac:dyDescent="0.25">
      <c r="A662" s="2" t="s">
        <v>699</v>
      </c>
      <c r="B662" s="3">
        <v>45613</v>
      </c>
      <c r="C662" s="2" t="s">
        <v>8</v>
      </c>
      <c r="D662" s="2" t="s">
        <v>9</v>
      </c>
      <c r="E662" s="4">
        <v>-5337.17</v>
      </c>
      <c r="F662" s="2">
        <v>6100</v>
      </c>
      <c r="G662" s="2" t="s">
        <v>123</v>
      </c>
    </row>
    <row r="663" spans="1:7" x14ac:dyDescent="0.25">
      <c r="A663" s="2" t="s">
        <v>706</v>
      </c>
      <c r="B663" s="3">
        <v>45386</v>
      </c>
      <c r="C663" s="2" t="s">
        <v>17</v>
      </c>
      <c r="D663" s="2" t="s">
        <v>18</v>
      </c>
      <c r="E663" s="4">
        <v>-9548.1</v>
      </c>
      <c r="F663" s="2">
        <v>5100</v>
      </c>
      <c r="G663" s="2" t="s">
        <v>10</v>
      </c>
    </row>
    <row r="664" spans="1:7" x14ac:dyDescent="0.25">
      <c r="A664" s="2" t="s">
        <v>707</v>
      </c>
      <c r="B664" s="3">
        <v>45441</v>
      </c>
      <c r="C664" s="2" t="s">
        <v>76</v>
      </c>
      <c r="D664" s="2" t="s">
        <v>28</v>
      </c>
      <c r="E664" s="4">
        <v>-66.77</v>
      </c>
      <c r="F664" s="2">
        <v>6900</v>
      </c>
      <c r="G664" s="2" t="s">
        <v>10</v>
      </c>
    </row>
    <row r="665" spans="1:7" x14ac:dyDescent="0.25">
      <c r="A665" s="2" t="s">
        <v>708</v>
      </c>
      <c r="B665" s="3">
        <v>45432</v>
      </c>
      <c r="C665" s="2" t="s">
        <v>63</v>
      </c>
      <c r="D665" s="2" t="s">
        <v>52</v>
      </c>
      <c r="E665" s="4">
        <v>-11460.78</v>
      </c>
      <c r="F665" s="2">
        <v>6000</v>
      </c>
      <c r="G665" s="2" t="s">
        <v>10</v>
      </c>
    </row>
    <row r="666" spans="1:7" x14ac:dyDescent="0.25">
      <c r="A666" s="2" t="s">
        <v>709</v>
      </c>
      <c r="B666" s="3">
        <v>45403</v>
      </c>
      <c r="C666" s="2" t="s">
        <v>146</v>
      </c>
      <c r="D666" s="2" t="s">
        <v>31</v>
      </c>
      <c r="E666" s="4">
        <v>311.44</v>
      </c>
      <c r="F666" s="2">
        <v>4900</v>
      </c>
      <c r="G666" s="2" t="s">
        <v>10</v>
      </c>
    </row>
    <row r="667" spans="1:7" x14ac:dyDescent="0.25">
      <c r="A667" s="2" t="s">
        <v>710</v>
      </c>
      <c r="B667" s="3">
        <v>45653</v>
      </c>
      <c r="C667" s="2" t="s">
        <v>15</v>
      </c>
      <c r="D667" s="2" t="s">
        <v>13</v>
      </c>
      <c r="E667" s="4">
        <v>-2820.75</v>
      </c>
      <c r="F667" s="2">
        <v>6400</v>
      </c>
      <c r="G667" s="2" t="s">
        <v>10</v>
      </c>
    </row>
    <row r="668" spans="1:7" x14ac:dyDescent="0.25">
      <c r="A668" s="2" t="s">
        <v>711</v>
      </c>
      <c r="B668" s="3">
        <v>45456</v>
      </c>
      <c r="C668" s="2" t="s">
        <v>34</v>
      </c>
      <c r="D668" s="2" t="s">
        <v>35</v>
      </c>
      <c r="E668" s="4">
        <v>13470.09</v>
      </c>
      <c r="F668" s="2">
        <v>4000</v>
      </c>
      <c r="G668" s="2" t="s">
        <v>10</v>
      </c>
    </row>
    <row r="669" spans="1:7" x14ac:dyDescent="0.25">
      <c r="A669" s="2" t="s">
        <v>712</v>
      </c>
      <c r="B669" s="3">
        <v>45598</v>
      </c>
      <c r="C669" s="2" t="s">
        <v>44</v>
      </c>
      <c r="D669" s="2" t="s">
        <v>9</v>
      </c>
      <c r="E669" s="4">
        <v>-3718.36</v>
      </c>
      <c r="F669" s="2">
        <v>6100</v>
      </c>
      <c r="G669" s="2" t="s">
        <v>10</v>
      </c>
    </row>
    <row r="670" spans="1:7" x14ac:dyDescent="0.25">
      <c r="A670" s="2" t="s">
        <v>713</v>
      </c>
      <c r="B670" s="3">
        <v>45332</v>
      </c>
      <c r="C670" s="2" t="s">
        <v>51</v>
      </c>
      <c r="D670" s="2" t="s">
        <v>52</v>
      </c>
      <c r="E670" s="4">
        <v>-8224.61</v>
      </c>
      <c r="F670" s="2">
        <v>6000</v>
      </c>
      <c r="G670" s="2" t="s">
        <v>10</v>
      </c>
    </row>
    <row r="671" spans="1:7" x14ac:dyDescent="0.25">
      <c r="A671" s="2" t="s">
        <v>714</v>
      </c>
      <c r="B671" s="3">
        <v>45529</v>
      </c>
      <c r="C671" s="2" t="s">
        <v>63</v>
      </c>
      <c r="D671" s="2" t="s">
        <v>52</v>
      </c>
      <c r="E671" s="4">
        <v>-6964.8</v>
      </c>
      <c r="F671" s="2">
        <v>6000</v>
      </c>
      <c r="G671" s="2" t="s">
        <v>10</v>
      </c>
    </row>
    <row r="672" spans="1:7" x14ac:dyDescent="0.25">
      <c r="A672" s="2" t="s">
        <v>715</v>
      </c>
      <c r="B672" s="3">
        <v>45341</v>
      </c>
      <c r="C672" s="2" t="s">
        <v>81</v>
      </c>
      <c r="D672" s="2" t="s">
        <v>18</v>
      </c>
      <c r="E672" s="4">
        <v>-9280.0400000000009</v>
      </c>
      <c r="F672" s="2">
        <v>5100</v>
      </c>
      <c r="G672" s="2" t="s">
        <v>10</v>
      </c>
    </row>
    <row r="673" spans="1:7" x14ac:dyDescent="0.25">
      <c r="A673" s="2" t="s">
        <v>716</v>
      </c>
      <c r="B673" s="3">
        <v>45597</v>
      </c>
      <c r="C673" s="2" t="s">
        <v>34</v>
      </c>
      <c r="D673" s="2" t="s">
        <v>35</v>
      </c>
      <c r="E673" s="4">
        <v>13241.76</v>
      </c>
      <c r="F673" s="2">
        <v>4000</v>
      </c>
      <c r="G673" s="2" t="s">
        <v>10</v>
      </c>
    </row>
    <row r="674" spans="1:7" x14ac:dyDescent="0.25">
      <c r="A674" s="2" t="s">
        <v>717</v>
      </c>
      <c r="B674" s="3">
        <v>45483</v>
      </c>
      <c r="C674" s="2" t="s">
        <v>94</v>
      </c>
      <c r="D674" s="2" t="s">
        <v>24</v>
      </c>
      <c r="E674" s="4">
        <v>-300.13</v>
      </c>
      <c r="F674" s="2">
        <v>6300</v>
      </c>
      <c r="G674" s="2" t="s">
        <v>10</v>
      </c>
    </row>
    <row r="675" spans="1:7" x14ac:dyDescent="0.25">
      <c r="A675" s="2" t="s">
        <v>718</v>
      </c>
      <c r="B675" s="3">
        <v>45529</v>
      </c>
      <c r="C675" s="2" t="s">
        <v>71</v>
      </c>
      <c r="D675" s="2" t="s">
        <v>59</v>
      </c>
      <c r="E675" s="4">
        <v>-551.76</v>
      </c>
      <c r="F675" s="2">
        <v>6200</v>
      </c>
      <c r="G675" s="2" t="s">
        <v>10</v>
      </c>
    </row>
    <row r="676" spans="1:7" x14ac:dyDescent="0.25">
      <c r="A676" s="2" t="s">
        <v>719</v>
      </c>
      <c r="B676" s="3">
        <v>45560</v>
      </c>
      <c r="C676" s="2" t="s">
        <v>17</v>
      </c>
      <c r="D676" s="2" t="s">
        <v>18</v>
      </c>
      <c r="E676" s="4">
        <v>-5621.77</v>
      </c>
      <c r="F676" s="2">
        <v>5100</v>
      </c>
      <c r="G676" s="2" t="s">
        <v>10</v>
      </c>
    </row>
    <row r="677" spans="1:7" x14ac:dyDescent="0.25">
      <c r="A677" s="2" t="s">
        <v>720</v>
      </c>
      <c r="B677" s="3">
        <v>45346</v>
      </c>
      <c r="C677" s="2" t="s">
        <v>48</v>
      </c>
      <c r="D677" s="2" t="s">
        <v>9</v>
      </c>
      <c r="E677" s="4">
        <v>-1781.3</v>
      </c>
      <c r="F677" s="2">
        <v>6100</v>
      </c>
      <c r="G677" s="2" t="s">
        <v>10</v>
      </c>
    </row>
    <row r="678" spans="1:7" x14ac:dyDescent="0.25">
      <c r="A678" s="2" t="s">
        <v>721</v>
      </c>
      <c r="B678" s="3">
        <v>45645</v>
      </c>
      <c r="C678" s="2" t="s">
        <v>127</v>
      </c>
      <c r="D678" s="2" t="s">
        <v>24</v>
      </c>
      <c r="E678" s="4">
        <v>-55.28</v>
      </c>
      <c r="F678" s="2">
        <v>6300</v>
      </c>
      <c r="G678" s="2" t="s">
        <v>10</v>
      </c>
    </row>
    <row r="679" spans="1:7" x14ac:dyDescent="0.25">
      <c r="A679" s="2" t="s">
        <v>722</v>
      </c>
      <c r="B679" s="3">
        <v>45611</v>
      </c>
      <c r="C679" s="2" t="s">
        <v>56</v>
      </c>
      <c r="D679" s="2" t="s">
        <v>18</v>
      </c>
      <c r="E679" s="4">
        <v>-5038.1000000000004</v>
      </c>
      <c r="F679" s="2">
        <v>5100</v>
      </c>
      <c r="G679" s="2" t="s">
        <v>10</v>
      </c>
    </row>
    <row r="680" spans="1:7" x14ac:dyDescent="0.25">
      <c r="A680" s="2" t="s">
        <v>723</v>
      </c>
      <c r="B680" s="3">
        <v>45453</v>
      </c>
      <c r="C680" s="2" t="s">
        <v>48</v>
      </c>
      <c r="D680" s="2" t="s">
        <v>9</v>
      </c>
      <c r="E680" s="4">
        <v>-4196.6000000000004</v>
      </c>
      <c r="F680" s="2">
        <v>6100</v>
      </c>
      <c r="G680" s="2" t="s">
        <v>10</v>
      </c>
    </row>
    <row r="681" spans="1:7" x14ac:dyDescent="0.25">
      <c r="A681" s="2" t="s">
        <v>724</v>
      </c>
      <c r="B681" s="3">
        <v>45480</v>
      </c>
      <c r="C681" s="2" t="s">
        <v>44</v>
      </c>
      <c r="D681" s="2" t="s">
        <v>9</v>
      </c>
      <c r="E681" s="4">
        <v>-5249.34</v>
      </c>
      <c r="F681" s="2">
        <v>6100</v>
      </c>
      <c r="G681" s="2" t="s">
        <v>10</v>
      </c>
    </row>
    <row r="682" spans="1:7" x14ac:dyDescent="0.25">
      <c r="A682" s="2" t="s">
        <v>725</v>
      </c>
      <c r="B682" s="3">
        <v>45581</v>
      </c>
      <c r="C682" s="2" t="s">
        <v>94</v>
      </c>
      <c r="D682" s="2" t="s">
        <v>24</v>
      </c>
      <c r="E682" s="4">
        <v>-171.33</v>
      </c>
      <c r="F682" s="2">
        <v>6300</v>
      </c>
      <c r="G682" s="2" t="s">
        <v>10</v>
      </c>
    </row>
    <row r="683" spans="1:7" x14ac:dyDescent="0.25">
      <c r="A683" s="2" t="s">
        <v>726</v>
      </c>
      <c r="B683" s="3">
        <v>45512</v>
      </c>
      <c r="C683" s="2" t="s">
        <v>97</v>
      </c>
      <c r="D683" s="2" t="s">
        <v>52</v>
      </c>
      <c r="E683" s="4">
        <v>-4325.87</v>
      </c>
      <c r="F683" s="2">
        <v>6000</v>
      </c>
      <c r="G683" s="2" t="s">
        <v>10</v>
      </c>
    </row>
    <row r="684" spans="1:7" x14ac:dyDescent="0.25">
      <c r="A684" s="2" t="s">
        <v>727</v>
      </c>
      <c r="B684" s="3">
        <v>45380</v>
      </c>
      <c r="C684" s="2" t="s">
        <v>67</v>
      </c>
      <c r="D684" s="2" t="s">
        <v>59</v>
      </c>
      <c r="E684" s="4">
        <v>-122.58</v>
      </c>
      <c r="F684" s="2">
        <v>6200</v>
      </c>
      <c r="G684" s="2" t="s">
        <v>10</v>
      </c>
    </row>
    <row r="685" spans="1:7" x14ac:dyDescent="0.25">
      <c r="A685" s="2" t="s">
        <v>728</v>
      </c>
      <c r="B685" s="3">
        <v>45646</v>
      </c>
      <c r="C685" s="2" t="s">
        <v>81</v>
      </c>
      <c r="D685" s="2" t="s">
        <v>18</v>
      </c>
      <c r="E685" s="4">
        <v>-1215.5899999999999</v>
      </c>
      <c r="F685" s="2">
        <v>5100</v>
      </c>
      <c r="G685" s="2" t="s">
        <v>10</v>
      </c>
    </row>
    <row r="686" spans="1:7" x14ac:dyDescent="0.25">
      <c r="A686" s="2" t="s">
        <v>729</v>
      </c>
      <c r="B686" s="3">
        <v>45443</v>
      </c>
      <c r="C686" s="2" t="s">
        <v>81</v>
      </c>
      <c r="D686" s="2" t="s">
        <v>18</v>
      </c>
      <c r="E686" s="4">
        <v>-13873.73</v>
      </c>
      <c r="F686" s="2">
        <v>5100</v>
      </c>
      <c r="G686" s="2" t="s">
        <v>10</v>
      </c>
    </row>
    <row r="687" spans="1:7" x14ac:dyDescent="0.25">
      <c r="A687" s="2" t="s">
        <v>730</v>
      </c>
      <c r="B687" s="3">
        <v>45513</v>
      </c>
      <c r="C687" s="2" t="s">
        <v>23</v>
      </c>
      <c r="D687" s="2" t="s">
        <v>24</v>
      </c>
      <c r="E687" s="4">
        <v>-103.28</v>
      </c>
      <c r="F687" s="2">
        <v>6300</v>
      </c>
      <c r="G687" s="2" t="s">
        <v>10</v>
      </c>
    </row>
    <row r="688" spans="1:7" x14ac:dyDescent="0.25">
      <c r="A688" s="2" t="s">
        <v>731</v>
      </c>
      <c r="B688" s="3">
        <v>45482</v>
      </c>
      <c r="C688" s="2" t="s">
        <v>34</v>
      </c>
      <c r="D688" s="2" t="s">
        <v>35</v>
      </c>
      <c r="E688" s="4">
        <v>619</v>
      </c>
      <c r="F688" s="2">
        <v>4000</v>
      </c>
      <c r="G688" s="2" t="s">
        <v>10</v>
      </c>
    </row>
    <row r="689" spans="1:7" x14ac:dyDescent="0.25">
      <c r="A689" s="2" t="s">
        <v>732</v>
      </c>
      <c r="B689" s="3">
        <v>45531</v>
      </c>
      <c r="C689" s="2" t="s">
        <v>97</v>
      </c>
      <c r="D689" s="2" t="s">
        <v>52</v>
      </c>
      <c r="E689" s="4">
        <v>-3981.78</v>
      </c>
      <c r="F689" s="2">
        <v>6000</v>
      </c>
      <c r="G689" s="2" t="s">
        <v>10</v>
      </c>
    </row>
    <row r="690" spans="1:7" x14ac:dyDescent="0.25">
      <c r="A690" s="2" t="s">
        <v>733</v>
      </c>
      <c r="B690" s="3">
        <v>45292</v>
      </c>
      <c r="C690" s="2" t="s">
        <v>76</v>
      </c>
      <c r="D690" s="2" t="s">
        <v>28</v>
      </c>
      <c r="E690" s="4">
        <v>-40.65</v>
      </c>
      <c r="F690" s="2">
        <v>6900</v>
      </c>
      <c r="G690" s="2" t="s">
        <v>10</v>
      </c>
    </row>
    <row r="691" spans="1:7" x14ac:dyDescent="0.25">
      <c r="A691" s="2" t="s">
        <v>734</v>
      </c>
      <c r="B691" s="3">
        <v>45619</v>
      </c>
      <c r="C691" s="2" t="s">
        <v>17</v>
      </c>
      <c r="D691" s="2" t="s">
        <v>18</v>
      </c>
      <c r="E691" s="4">
        <v>-11050.24</v>
      </c>
      <c r="F691" s="2">
        <v>5100</v>
      </c>
      <c r="G691" s="2" t="s">
        <v>10</v>
      </c>
    </row>
    <row r="692" spans="1:7" x14ac:dyDescent="0.25">
      <c r="A692" s="2" t="s">
        <v>735</v>
      </c>
      <c r="B692" s="3">
        <v>45536</v>
      </c>
      <c r="C692" s="2" t="s">
        <v>103</v>
      </c>
      <c r="D692" s="2" t="s">
        <v>35</v>
      </c>
      <c r="E692" s="4">
        <v>20698.18</v>
      </c>
      <c r="F692" s="2">
        <v>4000</v>
      </c>
      <c r="G692" s="2" t="s">
        <v>10</v>
      </c>
    </row>
    <row r="693" spans="1:7" x14ac:dyDescent="0.25">
      <c r="A693" s="2" t="s">
        <v>736</v>
      </c>
      <c r="B693" s="3">
        <v>45463</v>
      </c>
      <c r="C693" s="2" t="s">
        <v>12</v>
      </c>
      <c r="D693" s="2" t="s">
        <v>13</v>
      </c>
      <c r="E693" s="4">
        <v>-3019.6</v>
      </c>
      <c r="F693" s="2">
        <v>6400</v>
      </c>
      <c r="G693" s="2" t="s">
        <v>10</v>
      </c>
    </row>
    <row r="694" spans="1:7" x14ac:dyDescent="0.25">
      <c r="A694" s="2" t="s">
        <v>737</v>
      </c>
      <c r="B694" s="3">
        <v>45578</v>
      </c>
      <c r="C694" s="2" t="s">
        <v>30</v>
      </c>
      <c r="D694" s="2" t="s">
        <v>31</v>
      </c>
      <c r="E694" s="4">
        <v>363.5</v>
      </c>
      <c r="F694" s="2">
        <v>4900</v>
      </c>
      <c r="G694" s="2" t="s">
        <v>10</v>
      </c>
    </row>
    <row r="695" spans="1:7" x14ac:dyDescent="0.25">
      <c r="A695" s="2" t="s">
        <v>738</v>
      </c>
      <c r="B695" s="3">
        <v>45398</v>
      </c>
      <c r="C695" s="2" t="s">
        <v>94</v>
      </c>
      <c r="D695" s="2" t="s">
        <v>24</v>
      </c>
      <c r="E695" s="4">
        <v>-189.22</v>
      </c>
      <c r="F695" s="2">
        <v>6300</v>
      </c>
      <c r="G695" s="2" t="s">
        <v>10</v>
      </c>
    </row>
    <row r="696" spans="1:7" x14ac:dyDescent="0.25">
      <c r="A696" s="2" t="s">
        <v>739</v>
      </c>
      <c r="B696" s="3">
        <v>45506</v>
      </c>
      <c r="C696" s="2" t="s">
        <v>81</v>
      </c>
      <c r="D696" s="2" t="s">
        <v>18</v>
      </c>
      <c r="E696" s="4">
        <v>-8353.4500000000007</v>
      </c>
      <c r="F696" s="2">
        <v>5100</v>
      </c>
      <c r="G696" s="2" t="s">
        <v>10</v>
      </c>
    </row>
    <row r="697" spans="1:7" x14ac:dyDescent="0.25">
      <c r="A697" s="2" t="s">
        <v>740</v>
      </c>
      <c r="B697" s="3">
        <v>45321</v>
      </c>
      <c r="C697" s="2" t="s">
        <v>195</v>
      </c>
      <c r="D697" s="2" t="s">
        <v>28</v>
      </c>
      <c r="E697" s="4">
        <v>-123.78</v>
      </c>
      <c r="F697" s="2">
        <v>6900</v>
      </c>
      <c r="G697" s="2" t="s">
        <v>10</v>
      </c>
    </row>
    <row r="698" spans="1:7" x14ac:dyDescent="0.25">
      <c r="A698" s="2" t="s">
        <v>741</v>
      </c>
      <c r="B698" s="3">
        <v>45335</v>
      </c>
      <c r="C698" s="2" t="s">
        <v>38</v>
      </c>
      <c r="D698" s="2" t="s">
        <v>39</v>
      </c>
      <c r="E698" s="4">
        <v>-496.77</v>
      </c>
      <c r="F698" s="2">
        <v>6500</v>
      </c>
      <c r="G698" s="2" t="s">
        <v>10</v>
      </c>
    </row>
    <row r="699" spans="1:7" x14ac:dyDescent="0.25">
      <c r="A699" s="2" t="s">
        <v>742</v>
      </c>
      <c r="B699" s="3">
        <v>45399</v>
      </c>
      <c r="C699" s="2" t="s">
        <v>81</v>
      </c>
      <c r="D699" s="2" t="s">
        <v>18</v>
      </c>
      <c r="E699" s="4">
        <v>-14765.94</v>
      </c>
      <c r="F699" s="2">
        <v>5100</v>
      </c>
      <c r="G699" s="2" t="s">
        <v>10</v>
      </c>
    </row>
    <row r="700" spans="1:7" x14ac:dyDescent="0.25">
      <c r="A700" s="2" t="s">
        <v>743</v>
      </c>
      <c r="B700" s="3">
        <v>45563</v>
      </c>
      <c r="C700" s="2" t="s">
        <v>51</v>
      </c>
      <c r="D700" s="2" t="s">
        <v>52</v>
      </c>
      <c r="E700" s="4">
        <v>-8635.0300000000007</v>
      </c>
      <c r="F700" s="2">
        <v>6000</v>
      </c>
      <c r="G700" s="2" t="s">
        <v>10</v>
      </c>
    </row>
    <row r="701" spans="1:7" x14ac:dyDescent="0.25">
      <c r="A701" s="2" t="s">
        <v>744</v>
      </c>
      <c r="B701" s="3">
        <v>45570</v>
      </c>
      <c r="C701" s="2" t="s">
        <v>146</v>
      </c>
      <c r="D701" s="2" t="s">
        <v>31</v>
      </c>
      <c r="E701" s="4">
        <v>208.72</v>
      </c>
      <c r="F701" s="2">
        <v>4900</v>
      </c>
      <c r="G701" s="2" t="s">
        <v>10</v>
      </c>
    </row>
    <row r="702" spans="1:7" x14ac:dyDescent="0.25">
      <c r="A702" s="2" t="s">
        <v>745</v>
      </c>
      <c r="B702" s="3">
        <v>45508</v>
      </c>
      <c r="C702" s="2" t="s">
        <v>8</v>
      </c>
      <c r="D702" s="2" t="s">
        <v>9</v>
      </c>
      <c r="E702" s="4">
        <v>-3270.12</v>
      </c>
      <c r="F702" s="2">
        <v>6100</v>
      </c>
      <c r="G702" s="2" t="s">
        <v>10</v>
      </c>
    </row>
    <row r="703" spans="1:7" x14ac:dyDescent="0.25">
      <c r="A703" s="2" t="s">
        <v>746</v>
      </c>
      <c r="B703" s="3">
        <v>45553</v>
      </c>
      <c r="C703" s="2" t="s">
        <v>69</v>
      </c>
      <c r="D703" s="2" t="s">
        <v>39</v>
      </c>
      <c r="E703" s="4">
        <v>-324.81</v>
      </c>
      <c r="F703" s="2">
        <v>6500</v>
      </c>
      <c r="G703" s="2" t="s">
        <v>10</v>
      </c>
    </row>
    <row r="704" spans="1:7" x14ac:dyDescent="0.25">
      <c r="A704" s="2" t="s">
        <v>747</v>
      </c>
      <c r="B704" s="3">
        <v>45415</v>
      </c>
      <c r="C704" s="2" t="s">
        <v>97</v>
      </c>
      <c r="D704" s="2" t="s">
        <v>52</v>
      </c>
      <c r="E704" s="4">
        <v>-6878.55</v>
      </c>
      <c r="F704" s="2">
        <v>6000</v>
      </c>
      <c r="G704" s="2" t="s">
        <v>10</v>
      </c>
    </row>
    <row r="705" spans="1:7" x14ac:dyDescent="0.25">
      <c r="A705" s="2" t="s">
        <v>748</v>
      </c>
      <c r="B705" s="3">
        <v>45516</v>
      </c>
      <c r="C705" s="2" t="s">
        <v>15</v>
      </c>
      <c r="D705" s="2" t="s">
        <v>13</v>
      </c>
      <c r="E705" s="4">
        <v>-2554.14</v>
      </c>
      <c r="F705" s="2">
        <v>6400</v>
      </c>
      <c r="G705" s="2" t="s">
        <v>10</v>
      </c>
    </row>
    <row r="706" spans="1:7" x14ac:dyDescent="0.25">
      <c r="A706" s="2" t="s">
        <v>749</v>
      </c>
      <c r="B706" s="3">
        <v>45309</v>
      </c>
      <c r="C706" s="2" t="s">
        <v>58</v>
      </c>
      <c r="D706" s="2" t="s">
        <v>59</v>
      </c>
      <c r="E706" s="4">
        <v>-322.62</v>
      </c>
      <c r="F706" s="2">
        <v>6200</v>
      </c>
      <c r="G706" s="2" t="s">
        <v>10</v>
      </c>
    </row>
    <row r="707" spans="1:7" x14ac:dyDescent="0.25">
      <c r="A707" s="2" t="s">
        <v>750</v>
      </c>
      <c r="B707" s="3">
        <v>45413</v>
      </c>
      <c r="C707" s="2" t="s">
        <v>8</v>
      </c>
      <c r="D707" s="2" t="s">
        <v>9</v>
      </c>
      <c r="E707" s="4">
        <v>-2880.32</v>
      </c>
      <c r="F707" s="2">
        <v>6100</v>
      </c>
      <c r="G707" s="2" t="s">
        <v>10</v>
      </c>
    </row>
    <row r="708" spans="1:7" x14ac:dyDescent="0.25">
      <c r="A708" s="2" t="s">
        <v>751</v>
      </c>
      <c r="B708" s="3">
        <v>45651</v>
      </c>
      <c r="C708" s="2" t="s">
        <v>42</v>
      </c>
      <c r="D708" s="2" t="s">
        <v>39</v>
      </c>
      <c r="E708" s="4">
        <v>-6049.43</v>
      </c>
      <c r="F708" s="2">
        <v>6500</v>
      </c>
      <c r="G708" s="2" t="s">
        <v>10</v>
      </c>
    </row>
    <row r="709" spans="1:7" x14ac:dyDescent="0.25">
      <c r="A709" s="2" t="s">
        <v>752</v>
      </c>
      <c r="B709" s="3">
        <v>45518</v>
      </c>
      <c r="C709" s="2" t="s">
        <v>15</v>
      </c>
      <c r="D709" s="2" t="s">
        <v>13</v>
      </c>
      <c r="E709" s="4">
        <v>-1373.45</v>
      </c>
      <c r="F709" s="2">
        <v>6400</v>
      </c>
      <c r="G709" s="2" t="s">
        <v>10</v>
      </c>
    </row>
    <row r="710" spans="1:7" x14ac:dyDescent="0.25">
      <c r="A710" s="2" t="s">
        <v>753</v>
      </c>
      <c r="B710" s="3">
        <v>45635</v>
      </c>
      <c r="C710" s="2" t="s">
        <v>116</v>
      </c>
      <c r="D710" s="2" t="s">
        <v>35</v>
      </c>
      <c r="E710" s="4">
        <v>10795.45</v>
      </c>
      <c r="F710" s="2">
        <v>4000</v>
      </c>
      <c r="G710" s="2" t="s">
        <v>10</v>
      </c>
    </row>
    <row r="711" spans="1:7" x14ac:dyDescent="0.25">
      <c r="A711" s="2" t="s">
        <v>754</v>
      </c>
      <c r="B711" s="3">
        <v>45404</v>
      </c>
      <c r="C711" s="2" t="s">
        <v>27</v>
      </c>
      <c r="D711" s="2" t="s">
        <v>28</v>
      </c>
      <c r="E711" s="4">
        <v>-13.53</v>
      </c>
      <c r="F711" s="2">
        <v>6900</v>
      </c>
      <c r="G711" s="2" t="s">
        <v>10</v>
      </c>
    </row>
    <row r="712" spans="1:7" x14ac:dyDescent="0.25">
      <c r="A712" s="2" t="s">
        <v>755</v>
      </c>
      <c r="B712" s="3">
        <v>45301</v>
      </c>
      <c r="C712" s="2" t="s">
        <v>56</v>
      </c>
      <c r="D712" s="2" t="s">
        <v>18</v>
      </c>
      <c r="E712" s="4">
        <v>-5316.82</v>
      </c>
      <c r="F712" s="2">
        <v>5100</v>
      </c>
      <c r="G712" s="2" t="s">
        <v>10</v>
      </c>
    </row>
    <row r="713" spans="1:7" x14ac:dyDescent="0.25">
      <c r="A713" s="2" t="s">
        <v>756</v>
      </c>
      <c r="B713" s="3">
        <v>45463</v>
      </c>
      <c r="C713" s="2" t="s">
        <v>21</v>
      </c>
      <c r="D713" s="2" t="s">
        <v>13</v>
      </c>
      <c r="E713" s="4">
        <v>-2036.07</v>
      </c>
      <c r="F713" s="2">
        <v>6400</v>
      </c>
      <c r="G713" s="2" t="s">
        <v>10</v>
      </c>
    </row>
    <row r="714" spans="1:7" x14ac:dyDescent="0.25">
      <c r="A714" s="2" t="s">
        <v>757</v>
      </c>
      <c r="B714" s="3">
        <v>45477</v>
      </c>
      <c r="C714" s="2" t="s">
        <v>27</v>
      </c>
      <c r="D714" s="2" t="s">
        <v>28</v>
      </c>
      <c r="E714" s="4">
        <v>-53.74</v>
      </c>
      <c r="F714" s="2">
        <v>6900</v>
      </c>
      <c r="G714" s="2" t="s">
        <v>10</v>
      </c>
    </row>
    <row r="715" spans="1:7" x14ac:dyDescent="0.25">
      <c r="A715" s="2" t="s">
        <v>758</v>
      </c>
      <c r="B715" s="3">
        <v>45477</v>
      </c>
      <c r="C715" s="2" t="s">
        <v>27</v>
      </c>
      <c r="D715" s="2" t="s">
        <v>28</v>
      </c>
      <c r="E715" s="4">
        <v>-107.34</v>
      </c>
      <c r="F715" s="2">
        <v>6900</v>
      </c>
      <c r="G715" s="2" t="s">
        <v>10</v>
      </c>
    </row>
    <row r="716" spans="1:7" x14ac:dyDescent="0.25">
      <c r="A716" s="2" t="s">
        <v>759</v>
      </c>
      <c r="B716" s="3">
        <v>45370</v>
      </c>
      <c r="C716" s="2" t="s">
        <v>12</v>
      </c>
      <c r="D716" s="2" t="s">
        <v>13</v>
      </c>
      <c r="E716" s="4">
        <v>-2033.39</v>
      </c>
      <c r="F716" s="2">
        <v>6400</v>
      </c>
      <c r="G716" s="2" t="s">
        <v>10</v>
      </c>
    </row>
    <row r="717" spans="1:7" x14ac:dyDescent="0.25">
      <c r="A717" s="2" t="s">
        <v>760</v>
      </c>
      <c r="B717" s="3">
        <v>45557</v>
      </c>
      <c r="C717" s="2" t="s">
        <v>127</v>
      </c>
      <c r="D717" s="2" t="s">
        <v>24</v>
      </c>
      <c r="E717" s="4">
        <v>-273.49</v>
      </c>
      <c r="F717" s="2">
        <v>6300</v>
      </c>
      <c r="G717" s="2" t="s">
        <v>10</v>
      </c>
    </row>
    <row r="718" spans="1:7" x14ac:dyDescent="0.25">
      <c r="A718" s="2" t="s">
        <v>761</v>
      </c>
      <c r="B718" s="3">
        <v>45615</v>
      </c>
      <c r="C718" s="2" t="s">
        <v>94</v>
      </c>
      <c r="D718" s="2" t="s">
        <v>24</v>
      </c>
      <c r="E718" s="4">
        <v>-514.4</v>
      </c>
      <c r="F718" s="2">
        <v>6300</v>
      </c>
      <c r="G718" s="2" t="s">
        <v>10</v>
      </c>
    </row>
    <row r="719" spans="1:7" x14ac:dyDescent="0.25">
      <c r="A719" s="2" t="s">
        <v>762</v>
      </c>
      <c r="B719" s="3">
        <v>45341</v>
      </c>
      <c r="C719" s="2" t="s">
        <v>56</v>
      </c>
      <c r="D719" s="2" t="s">
        <v>18</v>
      </c>
      <c r="E719" s="4">
        <v>-11270.25</v>
      </c>
      <c r="F719" s="2">
        <v>5100</v>
      </c>
      <c r="G719" s="2" t="s">
        <v>10</v>
      </c>
    </row>
    <row r="720" spans="1:7" x14ac:dyDescent="0.25">
      <c r="A720" s="2" t="s">
        <v>763</v>
      </c>
      <c r="B720" s="3">
        <v>45340</v>
      </c>
      <c r="C720" s="2" t="s">
        <v>81</v>
      </c>
      <c r="D720" s="2" t="s">
        <v>18</v>
      </c>
      <c r="E720" s="4">
        <v>-6394.91</v>
      </c>
      <c r="F720" s="2">
        <v>5100</v>
      </c>
      <c r="G720" s="2" t="s">
        <v>10</v>
      </c>
    </row>
    <row r="721" spans="1:7" x14ac:dyDescent="0.25">
      <c r="A721" s="2" t="s">
        <v>764</v>
      </c>
      <c r="B721" s="3">
        <v>45389</v>
      </c>
      <c r="C721" s="2" t="s">
        <v>195</v>
      </c>
      <c r="D721" s="2" t="s">
        <v>28</v>
      </c>
      <c r="E721" s="4">
        <v>-19.54</v>
      </c>
      <c r="F721" s="2">
        <v>6900</v>
      </c>
      <c r="G721" s="2" t="s">
        <v>123</v>
      </c>
    </row>
    <row r="722" spans="1:7" x14ac:dyDescent="0.25">
      <c r="A722" s="2" t="s">
        <v>765</v>
      </c>
      <c r="B722" s="3">
        <v>45581</v>
      </c>
      <c r="C722" s="2" t="s">
        <v>15</v>
      </c>
      <c r="D722" s="2" t="s">
        <v>13</v>
      </c>
      <c r="E722" s="4">
        <v>-3335.6</v>
      </c>
      <c r="F722" s="2">
        <v>6400</v>
      </c>
      <c r="G722" s="2" t="s">
        <v>10</v>
      </c>
    </row>
    <row r="723" spans="1:7" x14ac:dyDescent="0.25">
      <c r="A723" s="2" t="s">
        <v>766</v>
      </c>
      <c r="B723" s="3">
        <v>45466</v>
      </c>
      <c r="C723" s="2" t="s">
        <v>94</v>
      </c>
      <c r="D723" s="2" t="s">
        <v>24</v>
      </c>
      <c r="E723" s="4">
        <v>-517.27</v>
      </c>
      <c r="F723" s="2">
        <v>6300</v>
      </c>
      <c r="G723" s="2" t="s">
        <v>10</v>
      </c>
    </row>
    <row r="724" spans="1:7" x14ac:dyDescent="0.25">
      <c r="A724" s="2" t="s">
        <v>767</v>
      </c>
      <c r="B724" s="3">
        <v>45329</v>
      </c>
      <c r="C724" s="2" t="s">
        <v>94</v>
      </c>
      <c r="D724" s="2" t="s">
        <v>24</v>
      </c>
      <c r="E724" s="4">
        <v>-655.22</v>
      </c>
      <c r="F724" s="2">
        <v>6300</v>
      </c>
      <c r="G724" s="2" t="s">
        <v>10</v>
      </c>
    </row>
    <row r="725" spans="1:7" x14ac:dyDescent="0.25">
      <c r="A725" s="2" t="s">
        <v>768</v>
      </c>
      <c r="B725" s="3">
        <v>45589</v>
      </c>
      <c r="C725" s="2" t="s">
        <v>42</v>
      </c>
      <c r="D725" s="2" t="s">
        <v>39</v>
      </c>
      <c r="E725" s="4">
        <v>-1805.83</v>
      </c>
      <c r="F725" s="2">
        <v>6500</v>
      </c>
      <c r="G725" s="2" t="s">
        <v>10</v>
      </c>
    </row>
    <row r="726" spans="1:7" x14ac:dyDescent="0.25">
      <c r="A726" s="2" t="s">
        <v>769</v>
      </c>
      <c r="B726" s="3">
        <v>45388</v>
      </c>
      <c r="C726" s="2" t="s">
        <v>30</v>
      </c>
      <c r="D726" s="2" t="s">
        <v>31</v>
      </c>
      <c r="E726" s="4">
        <v>222.38</v>
      </c>
      <c r="F726" s="2">
        <v>4900</v>
      </c>
      <c r="G726" s="2" t="s">
        <v>10</v>
      </c>
    </row>
    <row r="727" spans="1:7" x14ac:dyDescent="0.25">
      <c r="A727" s="2" t="s">
        <v>770</v>
      </c>
      <c r="B727" s="3">
        <v>45493</v>
      </c>
      <c r="C727" s="2" t="s">
        <v>103</v>
      </c>
      <c r="D727" s="2" t="s">
        <v>35</v>
      </c>
      <c r="E727" s="4">
        <v>11860.06</v>
      </c>
      <c r="F727" s="2">
        <v>4000</v>
      </c>
      <c r="G727" s="2" t="s">
        <v>10</v>
      </c>
    </row>
    <row r="728" spans="1:7" x14ac:dyDescent="0.25">
      <c r="A728" s="2" t="s">
        <v>771</v>
      </c>
      <c r="B728" s="3">
        <v>45485</v>
      </c>
      <c r="C728" s="2" t="s">
        <v>103</v>
      </c>
      <c r="D728" s="2" t="s">
        <v>35</v>
      </c>
      <c r="E728" s="4">
        <v>21227.19</v>
      </c>
      <c r="F728" s="2">
        <v>4000</v>
      </c>
      <c r="G728" s="2" t="s">
        <v>10</v>
      </c>
    </row>
    <row r="729" spans="1:7" x14ac:dyDescent="0.25">
      <c r="A729" s="2" t="s">
        <v>772</v>
      </c>
      <c r="B729" s="3">
        <v>45549</v>
      </c>
      <c r="C729" s="2" t="s">
        <v>23</v>
      </c>
      <c r="D729" s="2" t="s">
        <v>24</v>
      </c>
      <c r="E729" s="4">
        <v>-603.84</v>
      </c>
      <c r="F729" s="2">
        <v>6300</v>
      </c>
      <c r="G729" s="2" t="s">
        <v>10</v>
      </c>
    </row>
    <row r="730" spans="1:7" x14ac:dyDescent="0.25">
      <c r="A730" s="2" t="s">
        <v>773</v>
      </c>
      <c r="B730" s="3">
        <v>45345</v>
      </c>
      <c r="C730" s="2" t="s">
        <v>69</v>
      </c>
      <c r="D730" s="2" t="s">
        <v>39</v>
      </c>
      <c r="E730" s="4">
        <v>-543.34</v>
      </c>
      <c r="F730" s="2">
        <v>6500</v>
      </c>
      <c r="G730" s="2" t="s">
        <v>10</v>
      </c>
    </row>
    <row r="731" spans="1:7" x14ac:dyDescent="0.25">
      <c r="A731" s="2" t="s">
        <v>774</v>
      </c>
      <c r="B731" s="3">
        <v>45474</v>
      </c>
      <c r="C731" s="2" t="s">
        <v>69</v>
      </c>
      <c r="D731" s="2" t="s">
        <v>39</v>
      </c>
      <c r="E731" s="4">
        <v>-7832.28</v>
      </c>
      <c r="F731" s="2">
        <v>6500</v>
      </c>
      <c r="G731" s="2" t="s">
        <v>10</v>
      </c>
    </row>
    <row r="732" spans="1:7" x14ac:dyDescent="0.25">
      <c r="A732" s="2" t="s">
        <v>775</v>
      </c>
      <c r="B732" s="3">
        <v>45320</v>
      </c>
      <c r="C732" s="2" t="s">
        <v>23</v>
      </c>
      <c r="D732" s="2" t="s">
        <v>24</v>
      </c>
      <c r="E732" s="4">
        <v>-580.27</v>
      </c>
      <c r="F732" s="2">
        <v>6300</v>
      </c>
      <c r="G732" s="2" t="s">
        <v>10</v>
      </c>
    </row>
    <row r="733" spans="1:7" x14ac:dyDescent="0.25">
      <c r="A733" s="2" t="s">
        <v>776</v>
      </c>
      <c r="B733" s="3">
        <v>45472</v>
      </c>
      <c r="C733" s="2" t="s">
        <v>116</v>
      </c>
      <c r="D733" s="2" t="s">
        <v>35</v>
      </c>
      <c r="E733" s="4">
        <v>1151.1600000000001</v>
      </c>
      <c r="F733" s="2">
        <v>4000</v>
      </c>
      <c r="G733" s="2" t="s">
        <v>10</v>
      </c>
    </row>
    <row r="734" spans="1:7" x14ac:dyDescent="0.25">
      <c r="A734" s="2" t="s">
        <v>777</v>
      </c>
      <c r="B734" s="3">
        <v>45380</v>
      </c>
      <c r="C734" s="2" t="s">
        <v>30</v>
      </c>
      <c r="D734" s="2" t="s">
        <v>31</v>
      </c>
      <c r="E734" s="4">
        <v>175.62</v>
      </c>
      <c r="F734" s="2">
        <v>4900</v>
      </c>
      <c r="G734" s="2" t="s">
        <v>10</v>
      </c>
    </row>
    <row r="735" spans="1:7" x14ac:dyDescent="0.25">
      <c r="A735" s="2" t="s">
        <v>778</v>
      </c>
      <c r="B735" s="3">
        <v>45414</v>
      </c>
      <c r="C735" s="2" t="s">
        <v>56</v>
      </c>
      <c r="D735" s="2" t="s">
        <v>18</v>
      </c>
      <c r="E735" s="4">
        <v>-11345.48</v>
      </c>
      <c r="F735" s="2">
        <v>5100</v>
      </c>
      <c r="G735" s="2" t="s">
        <v>10</v>
      </c>
    </row>
    <row r="736" spans="1:7" x14ac:dyDescent="0.25">
      <c r="A736" s="2" t="s">
        <v>779</v>
      </c>
      <c r="B736" s="3">
        <v>45542</v>
      </c>
      <c r="C736" s="2" t="s">
        <v>12</v>
      </c>
      <c r="D736" s="2" t="s">
        <v>13</v>
      </c>
      <c r="E736" s="4">
        <v>-2223.11</v>
      </c>
      <c r="F736" s="2">
        <v>6400</v>
      </c>
      <c r="G736" s="2" t="s">
        <v>10</v>
      </c>
    </row>
    <row r="737" spans="1:7" x14ac:dyDescent="0.25">
      <c r="A737" s="2" t="s">
        <v>780</v>
      </c>
      <c r="B737" s="3">
        <v>45619</v>
      </c>
      <c r="C737" s="2" t="s">
        <v>58</v>
      </c>
      <c r="D737" s="2" t="s">
        <v>59</v>
      </c>
      <c r="E737" s="4">
        <v>-108.51</v>
      </c>
      <c r="F737" s="2">
        <v>6200</v>
      </c>
      <c r="G737" s="2" t="s">
        <v>10</v>
      </c>
    </row>
    <row r="738" spans="1:7" x14ac:dyDescent="0.25">
      <c r="A738" s="2" t="s">
        <v>781</v>
      </c>
      <c r="B738" s="3">
        <v>45491</v>
      </c>
      <c r="C738" s="2" t="s">
        <v>34</v>
      </c>
      <c r="D738" s="2" t="s">
        <v>35</v>
      </c>
      <c r="E738" s="4">
        <v>7381.96</v>
      </c>
      <c r="F738" s="2">
        <v>4000</v>
      </c>
      <c r="G738" s="2" t="s">
        <v>10</v>
      </c>
    </row>
    <row r="739" spans="1:7" x14ac:dyDescent="0.25">
      <c r="A739" s="2" t="s">
        <v>782</v>
      </c>
      <c r="B739" s="3">
        <v>45384</v>
      </c>
      <c r="C739" s="2" t="s">
        <v>94</v>
      </c>
      <c r="D739" s="2" t="s">
        <v>24</v>
      </c>
      <c r="E739" s="4">
        <v>-199.4</v>
      </c>
      <c r="F739" s="2">
        <v>6300</v>
      </c>
      <c r="G739" s="2" t="s">
        <v>10</v>
      </c>
    </row>
    <row r="740" spans="1:7" x14ac:dyDescent="0.25">
      <c r="A740" s="2" t="s">
        <v>783</v>
      </c>
      <c r="B740" s="3">
        <v>45405</v>
      </c>
      <c r="C740" s="2" t="s">
        <v>42</v>
      </c>
      <c r="D740" s="2" t="s">
        <v>39</v>
      </c>
      <c r="E740" s="4">
        <v>-7849.45</v>
      </c>
      <c r="F740" s="2">
        <v>6500</v>
      </c>
      <c r="G740" s="2" t="s">
        <v>10</v>
      </c>
    </row>
    <row r="741" spans="1:7" x14ac:dyDescent="0.25">
      <c r="A741" s="2" t="s">
        <v>784</v>
      </c>
      <c r="B741" s="3">
        <v>45584</v>
      </c>
      <c r="C741" s="2" t="s">
        <v>44</v>
      </c>
      <c r="D741" s="2" t="s">
        <v>9</v>
      </c>
      <c r="E741" s="4">
        <v>-1151.0999999999999</v>
      </c>
      <c r="F741" s="2">
        <v>6100</v>
      </c>
      <c r="G741" s="2" t="s">
        <v>10</v>
      </c>
    </row>
    <row r="742" spans="1:7" x14ac:dyDescent="0.25">
      <c r="A742" s="2" t="s">
        <v>785</v>
      </c>
      <c r="B742" s="3">
        <v>45562</v>
      </c>
      <c r="C742" s="2" t="s">
        <v>15</v>
      </c>
      <c r="D742" s="2" t="s">
        <v>13</v>
      </c>
      <c r="E742" s="4">
        <v>-3200.57</v>
      </c>
      <c r="F742" s="2">
        <v>6400</v>
      </c>
      <c r="G742" s="2" t="s">
        <v>10</v>
      </c>
    </row>
    <row r="743" spans="1:7" x14ac:dyDescent="0.25">
      <c r="A743" s="2" t="s">
        <v>786</v>
      </c>
      <c r="B743" s="3">
        <v>45434</v>
      </c>
      <c r="C743" s="2" t="s">
        <v>69</v>
      </c>
      <c r="D743" s="2" t="s">
        <v>39</v>
      </c>
      <c r="E743" s="4">
        <v>-7425.14</v>
      </c>
      <c r="F743" s="2">
        <v>6500</v>
      </c>
      <c r="G743" s="2" t="s">
        <v>10</v>
      </c>
    </row>
    <row r="744" spans="1:7" x14ac:dyDescent="0.25">
      <c r="A744" s="2" t="s">
        <v>787</v>
      </c>
      <c r="B744" s="3">
        <v>45420</v>
      </c>
      <c r="C744" s="2" t="s">
        <v>21</v>
      </c>
      <c r="D744" s="2" t="s">
        <v>13</v>
      </c>
      <c r="E744" s="4">
        <v>-804.88</v>
      </c>
      <c r="F744" s="2">
        <v>6400</v>
      </c>
      <c r="G744" s="2" t="s">
        <v>10</v>
      </c>
    </row>
    <row r="745" spans="1:7" x14ac:dyDescent="0.25">
      <c r="A745" s="2" t="s">
        <v>788</v>
      </c>
      <c r="B745" s="3">
        <v>45337</v>
      </c>
      <c r="C745" s="2" t="s">
        <v>21</v>
      </c>
      <c r="D745" s="2" t="s">
        <v>13</v>
      </c>
      <c r="E745" s="4">
        <v>-202.77</v>
      </c>
      <c r="F745" s="2">
        <v>6400</v>
      </c>
      <c r="G745" s="2" t="s">
        <v>10</v>
      </c>
    </row>
    <row r="746" spans="1:7" x14ac:dyDescent="0.25">
      <c r="A746" s="2" t="s">
        <v>764</v>
      </c>
      <c r="B746" s="3">
        <v>45389</v>
      </c>
      <c r="C746" s="2" t="s">
        <v>195</v>
      </c>
      <c r="D746" s="2" t="s">
        <v>28</v>
      </c>
      <c r="E746" s="4">
        <v>-19.54</v>
      </c>
      <c r="F746" s="2">
        <v>6900</v>
      </c>
      <c r="G746" s="2" t="s">
        <v>123</v>
      </c>
    </row>
    <row r="747" spans="1:7" x14ac:dyDescent="0.25">
      <c r="A747" s="2" t="s">
        <v>789</v>
      </c>
      <c r="B747" s="3">
        <v>45628</v>
      </c>
      <c r="C747" s="2" t="s">
        <v>116</v>
      </c>
      <c r="D747" s="2" t="s">
        <v>35</v>
      </c>
      <c r="E747" s="4">
        <v>22723.62</v>
      </c>
      <c r="F747" s="2">
        <v>4000</v>
      </c>
      <c r="G747" s="2" t="s">
        <v>10</v>
      </c>
    </row>
    <row r="748" spans="1:7" x14ac:dyDescent="0.25">
      <c r="A748" s="2" t="s">
        <v>790</v>
      </c>
      <c r="B748" s="3">
        <v>45318</v>
      </c>
      <c r="C748" s="2" t="s">
        <v>56</v>
      </c>
      <c r="D748" s="2" t="s">
        <v>18</v>
      </c>
      <c r="E748" s="4">
        <v>-4601.7</v>
      </c>
      <c r="F748" s="2">
        <v>5100</v>
      </c>
      <c r="G748" s="2" t="s">
        <v>10</v>
      </c>
    </row>
    <row r="749" spans="1:7" x14ac:dyDescent="0.25">
      <c r="A749" s="2" t="s">
        <v>791</v>
      </c>
      <c r="B749" s="3">
        <v>45602</v>
      </c>
      <c r="C749" s="2" t="s">
        <v>17</v>
      </c>
      <c r="D749" s="2" t="s">
        <v>18</v>
      </c>
      <c r="E749" s="4">
        <v>-5625.4</v>
      </c>
      <c r="F749" s="2">
        <v>5100</v>
      </c>
      <c r="G749" s="2" t="s">
        <v>10</v>
      </c>
    </row>
    <row r="750" spans="1:7" x14ac:dyDescent="0.25">
      <c r="A750" s="2" t="s">
        <v>792</v>
      </c>
      <c r="B750" s="3">
        <v>45441</v>
      </c>
      <c r="C750" s="2" t="s">
        <v>76</v>
      </c>
      <c r="D750" s="2" t="s">
        <v>28</v>
      </c>
      <c r="E750" s="4">
        <v>-36.36</v>
      </c>
      <c r="F750" s="2">
        <v>6900</v>
      </c>
      <c r="G750" s="2" t="s">
        <v>10</v>
      </c>
    </row>
    <row r="751" spans="1:7" x14ac:dyDescent="0.25">
      <c r="A751" s="2" t="s">
        <v>793</v>
      </c>
      <c r="B751" s="3">
        <v>45643</v>
      </c>
      <c r="C751" s="2" t="s">
        <v>44</v>
      </c>
      <c r="D751" s="2" t="s">
        <v>9</v>
      </c>
      <c r="E751" s="4">
        <v>-3563.35</v>
      </c>
      <c r="F751" s="2">
        <v>6100</v>
      </c>
      <c r="G751" s="2" t="s">
        <v>10</v>
      </c>
    </row>
    <row r="752" spans="1:7" x14ac:dyDescent="0.25">
      <c r="A752" s="2" t="s">
        <v>794</v>
      </c>
      <c r="B752" s="3">
        <v>45403</v>
      </c>
      <c r="C752" s="2" t="s">
        <v>56</v>
      </c>
      <c r="D752" s="2" t="s">
        <v>18</v>
      </c>
      <c r="E752" s="4">
        <v>-2983.94</v>
      </c>
      <c r="F752" s="2">
        <v>5100</v>
      </c>
      <c r="G752" s="2" t="s">
        <v>10</v>
      </c>
    </row>
    <row r="753" spans="1:7" x14ac:dyDescent="0.25">
      <c r="A753" s="2" t="s">
        <v>795</v>
      </c>
      <c r="B753" s="3">
        <v>45567</v>
      </c>
      <c r="C753" s="2" t="s">
        <v>51</v>
      </c>
      <c r="D753" s="2" t="s">
        <v>52</v>
      </c>
      <c r="E753" s="4">
        <v>-7143.09</v>
      </c>
      <c r="F753" s="2">
        <v>6000</v>
      </c>
      <c r="G753" s="2" t="s">
        <v>10</v>
      </c>
    </row>
    <row r="754" spans="1:7" x14ac:dyDescent="0.25">
      <c r="A754" s="2" t="s">
        <v>796</v>
      </c>
      <c r="B754" s="3">
        <v>45431</v>
      </c>
      <c r="C754" s="2" t="s">
        <v>27</v>
      </c>
      <c r="D754" s="2" t="s">
        <v>28</v>
      </c>
      <c r="E754" s="4">
        <v>-26.76</v>
      </c>
      <c r="F754" s="2">
        <v>6900</v>
      </c>
      <c r="G754" s="2" t="s">
        <v>10</v>
      </c>
    </row>
    <row r="755" spans="1:7" x14ac:dyDescent="0.25">
      <c r="A755" s="2" t="s">
        <v>797</v>
      </c>
      <c r="B755" s="3">
        <v>45449</v>
      </c>
      <c r="C755" s="2" t="s">
        <v>116</v>
      </c>
      <c r="D755" s="2" t="s">
        <v>35</v>
      </c>
      <c r="E755" s="4">
        <v>3747.28</v>
      </c>
      <c r="F755" s="2">
        <v>4000</v>
      </c>
      <c r="G755" s="2" t="s">
        <v>10</v>
      </c>
    </row>
    <row r="756" spans="1:7" x14ac:dyDescent="0.25">
      <c r="A756" s="2" t="s">
        <v>798</v>
      </c>
      <c r="B756" s="3">
        <v>45621</v>
      </c>
      <c r="C756" s="2" t="s">
        <v>116</v>
      </c>
      <c r="D756" s="2" t="s">
        <v>35</v>
      </c>
      <c r="E756" s="4">
        <v>21285.33</v>
      </c>
      <c r="F756" s="2">
        <v>4000</v>
      </c>
      <c r="G756" s="2" t="s">
        <v>10</v>
      </c>
    </row>
    <row r="757" spans="1:7" x14ac:dyDescent="0.25">
      <c r="A757" s="2" t="s">
        <v>799</v>
      </c>
      <c r="B757" s="3">
        <v>45576</v>
      </c>
      <c r="C757" s="2" t="s">
        <v>12</v>
      </c>
      <c r="D757" s="2" t="s">
        <v>13</v>
      </c>
      <c r="E757" s="4">
        <v>-2728.51</v>
      </c>
      <c r="F757" s="2">
        <v>6400</v>
      </c>
      <c r="G757" s="2" t="s">
        <v>10</v>
      </c>
    </row>
    <row r="758" spans="1:7" x14ac:dyDescent="0.25">
      <c r="A758" s="2" t="s">
        <v>800</v>
      </c>
      <c r="B758" s="3">
        <v>45406</v>
      </c>
      <c r="C758" s="2" t="s">
        <v>79</v>
      </c>
      <c r="D758" s="2" t="s">
        <v>31</v>
      </c>
      <c r="E758" s="4">
        <v>133.99</v>
      </c>
      <c r="F758" s="2">
        <v>4900</v>
      </c>
      <c r="G758" s="2" t="s">
        <v>10</v>
      </c>
    </row>
    <row r="759" spans="1:7" x14ac:dyDescent="0.25">
      <c r="A759" s="2" t="s">
        <v>801</v>
      </c>
      <c r="B759" s="3">
        <v>45365</v>
      </c>
      <c r="C759" s="2" t="s">
        <v>56</v>
      </c>
      <c r="D759" s="2" t="s">
        <v>18</v>
      </c>
      <c r="E759" s="4">
        <v>-6228.96</v>
      </c>
      <c r="F759" s="2">
        <v>5100</v>
      </c>
      <c r="G759" s="2" t="s">
        <v>10</v>
      </c>
    </row>
    <row r="760" spans="1:7" x14ac:dyDescent="0.25">
      <c r="A760" s="2" t="s">
        <v>802</v>
      </c>
      <c r="B760" s="3">
        <v>45486</v>
      </c>
      <c r="C760" s="2" t="s">
        <v>116</v>
      </c>
      <c r="D760" s="2" t="s">
        <v>35</v>
      </c>
      <c r="E760" s="4">
        <v>12220.92</v>
      </c>
      <c r="F760" s="2">
        <v>4000</v>
      </c>
      <c r="G760" s="2" t="s">
        <v>10</v>
      </c>
    </row>
    <row r="761" spans="1:7" x14ac:dyDescent="0.25">
      <c r="A761" s="2" t="s">
        <v>803</v>
      </c>
      <c r="B761" s="3">
        <v>45402</v>
      </c>
      <c r="C761" s="2" t="s">
        <v>56</v>
      </c>
      <c r="D761" s="2" t="s">
        <v>18</v>
      </c>
      <c r="E761" s="4">
        <v>-6550.66</v>
      </c>
      <c r="F761" s="2">
        <v>5100</v>
      </c>
      <c r="G761" s="2" t="s">
        <v>10</v>
      </c>
    </row>
    <row r="762" spans="1:7" x14ac:dyDescent="0.25">
      <c r="A762" s="2" t="s">
        <v>804</v>
      </c>
      <c r="B762" s="3">
        <v>45632</v>
      </c>
      <c r="C762" s="2" t="s">
        <v>44</v>
      </c>
      <c r="D762" s="2" t="s">
        <v>9</v>
      </c>
      <c r="E762" s="4">
        <v>-1870.26</v>
      </c>
      <c r="F762" s="2">
        <v>6100</v>
      </c>
      <c r="G762" s="2" t="s">
        <v>10</v>
      </c>
    </row>
    <row r="763" spans="1:7" x14ac:dyDescent="0.25">
      <c r="A763" s="2" t="s">
        <v>805</v>
      </c>
      <c r="B763" s="3">
        <v>45380</v>
      </c>
      <c r="C763" s="2" t="s">
        <v>146</v>
      </c>
      <c r="D763" s="2" t="s">
        <v>31</v>
      </c>
      <c r="E763" s="4">
        <v>79.59</v>
      </c>
      <c r="F763" s="2">
        <v>4900</v>
      </c>
      <c r="G763" s="2" t="s">
        <v>10</v>
      </c>
    </row>
    <row r="764" spans="1:7" x14ac:dyDescent="0.25">
      <c r="A764" s="2" t="s">
        <v>806</v>
      </c>
      <c r="B764" s="3">
        <v>45612</v>
      </c>
      <c r="C764" s="2" t="s">
        <v>38</v>
      </c>
      <c r="D764" s="2" t="s">
        <v>39</v>
      </c>
      <c r="E764" s="4">
        <v>-1122.9100000000001</v>
      </c>
      <c r="F764" s="2">
        <v>6500</v>
      </c>
      <c r="G764" s="2" t="s">
        <v>10</v>
      </c>
    </row>
    <row r="765" spans="1:7" x14ac:dyDescent="0.25">
      <c r="A765" s="2" t="s">
        <v>807</v>
      </c>
      <c r="B765" s="3">
        <v>45445</v>
      </c>
      <c r="C765" s="2" t="s">
        <v>94</v>
      </c>
      <c r="D765" s="2" t="s">
        <v>24</v>
      </c>
      <c r="E765" s="4">
        <v>-684.87</v>
      </c>
      <c r="F765" s="2">
        <v>6300</v>
      </c>
      <c r="G765" s="2" t="s">
        <v>10</v>
      </c>
    </row>
    <row r="766" spans="1:7" x14ac:dyDescent="0.25">
      <c r="A766" s="2" t="s">
        <v>808</v>
      </c>
      <c r="B766" s="3">
        <v>45345</v>
      </c>
      <c r="C766" s="2" t="s">
        <v>38</v>
      </c>
      <c r="D766" s="2" t="s">
        <v>39</v>
      </c>
      <c r="E766" s="4">
        <v>-956.96</v>
      </c>
      <c r="F766" s="2">
        <v>6500</v>
      </c>
      <c r="G766" s="2" t="s">
        <v>10</v>
      </c>
    </row>
    <row r="767" spans="1:7" x14ac:dyDescent="0.25">
      <c r="A767" s="2" t="s">
        <v>809</v>
      </c>
      <c r="B767" s="3">
        <v>45467</v>
      </c>
      <c r="C767" s="2" t="s">
        <v>76</v>
      </c>
      <c r="D767" s="2" t="s">
        <v>28</v>
      </c>
      <c r="E767" s="4">
        <v>-52.88</v>
      </c>
      <c r="F767" s="2">
        <v>6900</v>
      </c>
      <c r="G767" s="2" t="s">
        <v>10</v>
      </c>
    </row>
    <row r="768" spans="1:7" x14ac:dyDescent="0.25">
      <c r="A768" s="2" t="s">
        <v>292</v>
      </c>
      <c r="B768" s="3">
        <v>45383</v>
      </c>
      <c r="C768" s="2" t="s">
        <v>38</v>
      </c>
      <c r="D768" s="2" t="s">
        <v>39</v>
      </c>
      <c r="E768" s="4">
        <v>-1605.2</v>
      </c>
      <c r="F768" s="2">
        <v>6500</v>
      </c>
      <c r="G768" s="2" t="s">
        <v>123</v>
      </c>
    </row>
    <row r="769" spans="1:7" x14ac:dyDescent="0.25">
      <c r="A769" s="2" t="s">
        <v>810</v>
      </c>
      <c r="B769" s="3">
        <v>45615</v>
      </c>
      <c r="C769" s="2" t="s">
        <v>127</v>
      </c>
      <c r="D769" s="2" t="s">
        <v>24</v>
      </c>
      <c r="E769" s="4">
        <v>-510.16</v>
      </c>
      <c r="F769" s="2">
        <v>6300</v>
      </c>
      <c r="G769" s="2" t="s">
        <v>10</v>
      </c>
    </row>
    <row r="770" spans="1:7" x14ac:dyDescent="0.25">
      <c r="A770" s="2" t="s">
        <v>811</v>
      </c>
      <c r="B770" s="3">
        <v>45472</v>
      </c>
      <c r="C770" s="2" t="s">
        <v>38</v>
      </c>
      <c r="D770" s="2" t="s">
        <v>39</v>
      </c>
      <c r="E770" s="4">
        <v>-1696.13</v>
      </c>
      <c r="F770" s="2">
        <v>6500</v>
      </c>
      <c r="G770" s="2" t="s">
        <v>10</v>
      </c>
    </row>
    <row r="771" spans="1:7" x14ac:dyDescent="0.25">
      <c r="A771" s="2" t="s">
        <v>812</v>
      </c>
      <c r="B771" s="3">
        <v>45581</v>
      </c>
      <c r="C771" s="2" t="s">
        <v>76</v>
      </c>
      <c r="D771" s="2" t="s">
        <v>28</v>
      </c>
      <c r="E771" s="4">
        <v>-46.48</v>
      </c>
      <c r="F771" s="2">
        <v>6900</v>
      </c>
      <c r="G771" s="2" t="s">
        <v>10</v>
      </c>
    </row>
    <row r="772" spans="1:7" x14ac:dyDescent="0.25">
      <c r="A772" s="2" t="s">
        <v>813</v>
      </c>
      <c r="B772" s="3">
        <v>45384</v>
      </c>
      <c r="C772" s="2" t="s">
        <v>27</v>
      </c>
      <c r="D772" s="2" t="s">
        <v>28</v>
      </c>
      <c r="E772" s="4">
        <v>-116.92</v>
      </c>
      <c r="F772" s="2">
        <v>6900</v>
      </c>
      <c r="G772" s="2" t="s">
        <v>10</v>
      </c>
    </row>
    <row r="773" spans="1:7" x14ac:dyDescent="0.25">
      <c r="A773" s="2" t="s">
        <v>814</v>
      </c>
      <c r="B773" s="3">
        <v>45391</v>
      </c>
      <c r="C773" s="2" t="s">
        <v>69</v>
      </c>
      <c r="D773" s="2" t="s">
        <v>39</v>
      </c>
      <c r="E773" s="4">
        <v>-5006.49</v>
      </c>
      <c r="F773" s="2">
        <v>6500</v>
      </c>
      <c r="G773" s="2" t="s">
        <v>10</v>
      </c>
    </row>
    <row r="774" spans="1:7" x14ac:dyDescent="0.25">
      <c r="A774" s="2" t="s">
        <v>815</v>
      </c>
      <c r="B774" s="3">
        <v>45626</v>
      </c>
      <c r="C774" s="2" t="s">
        <v>30</v>
      </c>
      <c r="D774" s="2" t="s">
        <v>31</v>
      </c>
      <c r="E774" s="4">
        <v>237.79</v>
      </c>
      <c r="F774" s="2">
        <v>4900</v>
      </c>
      <c r="G774" s="2" t="s">
        <v>10</v>
      </c>
    </row>
    <row r="775" spans="1:7" x14ac:dyDescent="0.25">
      <c r="A775" s="2" t="s">
        <v>816</v>
      </c>
      <c r="B775" s="3">
        <v>45386</v>
      </c>
      <c r="C775" s="2" t="s">
        <v>63</v>
      </c>
      <c r="D775" s="2" t="s">
        <v>52</v>
      </c>
      <c r="E775" s="4">
        <v>-5059.67</v>
      </c>
      <c r="F775" s="2">
        <v>6000</v>
      </c>
      <c r="G775" s="2" t="s">
        <v>10</v>
      </c>
    </row>
    <row r="776" spans="1:7" x14ac:dyDescent="0.25">
      <c r="A776" s="2" t="s">
        <v>817</v>
      </c>
      <c r="B776" s="3">
        <v>45605</v>
      </c>
      <c r="C776" s="2" t="s">
        <v>76</v>
      </c>
      <c r="D776" s="2" t="s">
        <v>28</v>
      </c>
      <c r="E776" s="4">
        <v>-27.58</v>
      </c>
      <c r="F776" s="2">
        <v>6900</v>
      </c>
      <c r="G776" s="2" t="s">
        <v>10</v>
      </c>
    </row>
    <row r="777" spans="1:7" x14ac:dyDescent="0.25">
      <c r="A777" s="2" t="s">
        <v>818</v>
      </c>
      <c r="B777" s="3">
        <v>45444</v>
      </c>
      <c r="C777" s="2" t="s">
        <v>67</v>
      </c>
      <c r="D777" s="2" t="s">
        <v>59</v>
      </c>
      <c r="E777" s="4">
        <v>-902.86</v>
      </c>
      <c r="F777" s="2">
        <v>6200</v>
      </c>
      <c r="G777" s="2" t="s">
        <v>10</v>
      </c>
    </row>
    <row r="778" spans="1:7" x14ac:dyDescent="0.25">
      <c r="A778" s="2" t="s">
        <v>819</v>
      </c>
      <c r="B778" s="3">
        <v>45417</v>
      </c>
      <c r="C778" s="2" t="s">
        <v>56</v>
      </c>
      <c r="D778" s="2" t="s">
        <v>18</v>
      </c>
      <c r="E778" s="4">
        <v>-12818.82</v>
      </c>
      <c r="F778" s="2">
        <v>5100</v>
      </c>
      <c r="G778" s="2" t="s">
        <v>10</v>
      </c>
    </row>
    <row r="779" spans="1:7" x14ac:dyDescent="0.25">
      <c r="A779" s="2" t="s">
        <v>820</v>
      </c>
      <c r="B779" s="3">
        <v>45613</v>
      </c>
      <c r="C779" s="2" t="s">
        <v>30</v>
      </c>
      <c r="D779" s="2" t="s">
        <v>31</v>
      </c>
      <c r="E779" s="4">
        <v>129.16999999999999</v>
      </c>
      <c r="F779" s="2">
        <v>4900</v>
      </c>
      <c r="G779" s="2" t="s">
        <v>10</v>
      </c>
    </row>
    <row r="780" spans="1:7" x14ac:dyDescent="0.25">
      <c r="A780" s="2" t="s">
        <v>821</v>
      </c>
      <c r="B780" s="3">
        <v>45552</v>
      </c>
      <c r="C780" s="2" t="s">
        <v>63</v>
      </c>
      <c r="D780" s="2" t="s">
        <v>52</v>
      </c>
      <c r="E780" s="4">
        <v>-11329.86</v>
      </c>
      <c r="F780" s="2">
        <v>6000</v>
      </c>
      <c r="G780" s="2" t="s">
        <v>10</v>
      </c>
    </row>
    <row r="781" spans="1:7" x14ac:dyDescent="0.25">
      <c r="A781" s="2" t="s">
        <v>822</v>
      </c>
      <c r="B781" s="3">
        <v>45602</v>
      </c>
      <c r="C781" s="2" t="s">
        <v>30</v>
      </c>
      <c r="D781" s="2" t="s">
        <v>31</v>
      </c>
      <c r="E781" s="4">
        <v>372.22</v>
      </c>
      <c r="F781" s="2">
        <v>4900</v>
      </c>
      <c r="G781" s="2" t="s">
        <v>10</v>
      </c>
    </row>
    <row r="782" spans="1:7" x14ac:dyDescent="0.25">
      <c r="A782" s="2" t="s">
        <v>823</v>
      </c>
      <c r="B782" s="3">
        <v>45603</v>
      </c>
      <c r="C782" s="2" t="s">
        <v>79</v>
      </c>
      <c r="D782" s="2" t="s">
        <v>31</v>
      </c>
      <c r="E782" s="4">
        <v>151.76</v>
      </c>
      <c r="F782" s="2">
        <v>4900</v>
      </c>
      <c r="G782" s="2" t="s">
        <v>10</v>
      </c>
    </row>
    <row r="783" spans="1:7" x14ac:dyDescent="0.25">
      <c r="A783" s="2" t="s">
        <v>824</v>
      </c>
      <c r="B783" s="3">
        <v>45653</v>
      </c>
      <c r="C783" s="2" t="s">
        <v>34</v>
      </c>
      <c r="D783" s="2" t="s">
        <v>35</v>
      </c>
      <c r="E783" s="4">
        <v>1793.77</v>
      </c>
      <c r="F783" s="2">
        <v>4000</v>
      </c>
      <c r="G783" s="2" t="s">
        <v>10</v>
      </c>
    </row>
    <row r="784" spans="1:7" x14ac:dyDescent="0.25">
      <c r="A784" s="2" t="s">
        <v>825</v>
      </c>
      <c r="B784" s="3">
        <v>45351</v>
      </c>
      <c r="C784" s="2" t="s">
        <v>23</v>
      </c>
      <c r="D784" s="2" t="s">
        <v>24</v>
      </c>
      <c r="E784" s="4">
        <v>-529.17999999999995</v>
      </c>
      <c r="F784" s="2">
        <v>6300</v>
      </c>
      <c r="G784" s="2" t="s">
        <v>10</v>
      </c>
    </row>
    <row r="785" spans="1:7" x14ac:dyDescent="0.25">
      <c r="A785" s="2" t="s">
        <v>826</v>
      </c>
      <c r="B785" s="3">
        <v>45417</v>
      </c>
      <c r="C785" s="2" t="s">
        <v>42</v>
      </c>
      <c r="D785" s="2" t="s">
        <v>39</v>
      </c>
      <c r="E785" s="4">
        <v>-6067.1</v>
      </c>
      <c r="F785" s="2">
        <v>6500</v>
      </c>
      <c r="G785" s="2" t="s">
        <v>10</v>
      </c>
    </row>
    <row r="786" spans="1:7" x14ac:dyDescent="0.25">
      <c r="A786" s="2" t="s">
        <v>827</v>
      </c>
      <c r="B786" s="3">
        <v>45539</v>
      </c>
      <c r="C786" s="2" t="s">
        <v>127</v>
      </c>
      <c r="D786" s="2" t="s">
        <v>24</v>
      </c>
      <c r="E786" s="4">
        <v>-733.07</v>
      </c>
      <c r="F786" s="2">
        <v>6300</v>
      </c>
      <c r="G786" s="2" t="s">
        <v>10</v>
      </c>
    </row>
    <row r="787" spans="1:7" x14ac:dyDescent="0.25">
      <c r="A787" s="2" t="s">
        <v>828</v>
      </c>
      <c r="B787" s="3">
        <v>45532</v>
      </c>
      <c r="C787" s="2" t="s">
        <v>94</v>
      </c>
      <c r="D787" s="2" t="s">
        <v>24</v>
      </c>
      <c r="E787" s="4">
        <v>-454.78</v>
      </c>
      <c r="F787" s="2">
        <v>6300</v>
      </c>
      <c r="G787" s="2" t="s">
        <v>10</v>
      </c>
    </row>
    <row r="788" spans="1:7" x14ac:dyDescent="0.25">
      <c r="A788" s="2" t="s">
        <v>829</v>
      </c>
      <c r="B788" s="3">
        <v>45333</v>
      </c>
      <c r="C788" s="2" t="s">
        <v>12</v>
      </c>
      <c r="D788" s="2" t="s">
        <v>13</v>
      </c>
      <c r="E788" s="4">
        <v>-152.35</v>
      </c>
      <c r="F788" s="2">
        <v>6400</v>
      </c>
      <c r="G788" s="2" t="s">
        <v>10</v>
      </c>
    </row>
    <row r="789" spans="1:7" x14ac:dyDescent="0.25">
      <c r="A789" s="2" t="s">
        <v>830</v>
      </c>
      <c r="B789" s="3">
        <v>45601</v>
      </c>
      <c r="C789" s="2" t="s">
        <v>38</v>
      </c>
      <c r="D789" s="2" t="s">
        <v>39</v>
      </c>
      <c r="E789" s="4">
        <v>-4025.33</v>
      </c>
      <c r="F789" s="2">
        <v>6500</v>
      </c>
      <c r="G789" s="2" t="s">
        <v>10</v>
      </c>
    </row>
    <row r="790" spans="1:7" x14ac:dyDescent="0.25">
      <c r="A790" s="2" t="s">
        <v>831</v>
      </c>
      <c r="B790" s="3">
        <v>45551</v>
      </c>
      <c r="C790" s="2" t="s">
        <v>94</v>
      </c>
      <c r="D790" s="2" t="s">
        <v>24</v>
      </c>
      <c r="E790" s="4">
        <v>-622.99</v>
      </c>
      <c r="F790" s="2">
        <v>6300</v>
      </c>
      <c r="G790" s="2" t="s">
        <v>10</v>
      </c>
    </row>
    <row r="791" spans="1:7" x14ac:dyDescent="0.25">
      <c r="A791" s="2" t="s">
        <v>832</v>
      </c>
      <c r="B791" s="3">
        <v>45332</v>
      </c>
      <c r="C791" s="2" t="s">
        <v>15</v>
      </c>
      <c r="D791" s="2" t="s">
        <v>13</v>
      </c>
      <c r="E791" s="4">
        <v>-3452.22</v>
      </c>
      <c r="F791" s="2">
        <v>6400</v>
      </c>
      <c r="G791" s="2" t="s">
        <v>10</v>
      </c>
    </row>
    <row r="792" spans="1:7" x14ac:dyDescent="0.25">
      <c r="A792" s="2" t="s">
        <v>833</v>
      </c>
      <c r="B792" s="3">
        <v>45350</v>
      </c>
      <c r="C792" s="2" t="s">
        <v>27</v>
      </c>
      <c r="D792" s="2" t="s">
        <v>28</v>
      </c>
      <c r="E792" s="4">
        <v>-52.07</v>
      </c>
      <c r="F792" s="2">
        <v>6900</v>
      </c>
      <c r="G792" s="2" t="s">
        <v>10</v>
      </c>
    </row>
    <row r="793" spans="1:7" x14ac:dyDescent="0.25">
      <c r="A793" s="2" t="s">
        <v>834</v>
      </c>
      <c r="B793" s="3">
        <v>45315</v>
      </c>
      <c r="C793" s="2" t="s">
        <v>23</v>
      </c>
      <c r="D793" s="2" t="s">
        <v>24</v>
      </c>
      <c r="E793" s="4">
        <v>-790.47</v>
      </c>
      <c r="F793" s="2">
        <v>6300</v>
      </c>
      <c r="G793" s="2" t="s">
        <v>10</v>
      </c>
    </row>
    <row r="794" spans="1:7" x14ac:dyDescent="0.25">
      <c r="A794" s="2" t="s">
        <v>835</v>
      </c>
      <c r="B794" s="3">
        <v>45554</v>
      </c>
      <c r="C794" s="2" t="s">
        <v>94</v>
      </c>
      <c r="D794" s="2" t="s">
        <v>24</v>
      </c>
      <c r="E794" s="4">
        <v>-102.08</v>
      </c>
      <c r="F794" s="2">
        <v>6300</v>
      </c>
      <c r="G794" s="2" t="s">
        <v>10</v>
      </c>
    </row>
    <row r="795" spans="1:7" x14ac:dyDescent="0.25">
      <c r="A795" s="2" t="s">
        <v>836</v>
      </c>
      <c r="B795" s="3">
        <v>45630</v>
      </c>
      <c r="C795" s="2" t="s">
        <v>27</v>
      </c>
      <c r="D795" s="2" t="s">
        <v>28</v>
      </c>
      <c r="E795" s="4">
        <v>-29.08</v>
      </c>
      <c r="F795" s="2">
        <v>6900</v>
      </c>
      <c r="G795" s="2" t="s">
        <v>10</v>
      </c>
    </row>
    <row r="796" spans="1:7" x14ac:dyDescent="0.25">
      <c r="A796" s="2" t="s">
        <v>837</v>
      </c>
      <c r="B796" s="3">
        <v>45473</v>
      </c>
      <c r="C796" s="2" t="s">
        <v>12</v>
      </c>
      <c r="D796" s="2" t="s">
        <v>13</v>
      </c>
      <c r="E796" s="4">
        <v>-2279.0500000000002</v>
      </c>
      <c r="F796" s="2">
        <v>6400</v>
      </c>
      <c r="G796" s="2" t="s">
        <v>10</v>
      </c>
    </row>
    <row r="797" spans="1:7" x14ac:dyDescent="0.25">
      <c r="A797" s="2" t="s">
        <v>838</v>
      </c>
      <c r="B797" s="3">
        <v>45479</v>
      </c>
      <c r="C797" s="2" t="s">
        <v>48</v>
      </c>
      <c r="D797" s="2" t="s">
        <v>9</v>
      </c>
      <c r="E797" s="4">
        <v>-5901.23</v>
      </c>
      <c r="F797" s="2">
        <v>6100</v>
      </c>
      <c r="G797" s="2" t="s">
        <v>10</v>
      </c>
    </row>
    <row r="798" spans="1:7" x14ac:dyDescent="0.25">
      <c r="A798" s="2" t="s">
        <v>839</v>
      </c>
      <c r="B798" s="3">
        <v>45472</v>
      </c>
      <c r="C798" s="2" t="s">
        <v>8</v>
      </c>
      <c r="D798" s="2" t="s">
        <v>9</v>
      </c>
      <c r="E798" s="4">
        <v>-4406.41</v>
      </c>
      <c r="F798" s="2">
        <v>6100</v>
      </c>
      <c r="G798" s="2" t="s">
        <v>10</v>
      </c>
    </row>
    <row r="799" spans="1:7" x14ac:dyDescent="0.25">
      <c r="A799" s="2" t="s">
        <v>840</v>
      </c>
      <c r="B799" s="3">
        <v>45428</v>
      </c>
      <c r="C799" s="2" t="s">
        <v>42</v>
      </c>
      <c r="D799" s="2" t="s">
        <v>39</v>
      </c>
      <c r="E799" s="4">
        <v>-854.56</v>
      </c>
      <c r="F799" s="2">
        <v>6500</v>
      </c>
      <c r="G799" s="2" t="s">
        <v>10</v>
      </c>
    </row>
    <row r="800" spans="1:7" x14ac:dyDescent="0.25">
      <c r="A800" s="2" t="s">
        <v>841</v>
      </c>
      <c r="B800" s="3">
        <v>45570</v>
      </c>
      <c r="C800" s="2" t="s">
        <v>48</v>
      </c>
      <c r="D800" s="2" t="s">
        <v>9</v>
      </c>
      <c r="E800" s="4">
        <v>-5429.37</v>
      </c>
      <c r="F800" s="2">
        <v>6100</v>
      </c>
      <c r="G800" s="2" t="s">
        <v>10</v>
      </c>
    </row>
    <row r="801" spans="1:7" x14ac:dyDescent="0.25">
      <c r="A801" s="2" t="s">
        <v>842</v>
      </c>
      <c r="B801" s="3">
        <v>45567</v>
      </c>
      <c r="C801" s="2" t="s">
        <v>79</v>
      </c>
      <c r="D801" s="2" t="s">
        <v>31</v>
      </c>
      <c r="E801" s="4">
        <v>46.14</v>
      </c>
      <c r="F801" s="2">
        <v>4900</v>
      </c>
      <c r="G801" s="2" t="s">
        <v>10</v>
      </c>
    </row>
    <row r="802" spans="1:7" x14ac:dyDescent="0.25">
      <c r="A802" s="2" t="s">
        <v>843</v>
      </c>
      <c r="B802" s="3">
        <v>45328</v>
      </c>
      <c r="C802" s="2" t="s">
        <v>17</v>
      </c>
      <c r="D802" s="2" t="s">
        <v>18</v>
      </c>
      <c r="E802" s="4">
        <v>-10827.32</v>
      </c>
      <c r="F802" s="2">
        <v>5100</v>
      </c>
      <c r="G802" s="2" t="s">
        <v>10</v>
      </c>
    </row>
    <row r="803" spans="1:7" x14ac:dyDescent="0.25">
      <c r="A803" s="2" t="s">
        <v>844</v>
      </c>
      <c r="B803" s="3">
        <v>45509</v>
      </c>
      <c r="C803" s="2" t="s">
        <v>146</v>
      </c>
      <c r="D803" s="2" t="s">
        <v>31</v>
      </c>
      <c r="E803" s="4">
        <v>39.92</v>
      </c>
      <c r="F803" s="2">
        <v>4900</v>
      </c>
      <c r="G803" s="2" t="s">
        <v>10</v>
      </c>
    </row>
    <row r="804" spans="1:7" x14ac:dyDescent="0.25">
      <c r="A804" s="2" t="s">
        <v>845</v>
      </c>
      <c r="B804" s="3">
        <v>45604</v>
      </c>
      <c r="C804" s="2" t="s">
        <v>195</v>
      </c>
      <c r="D804" s="2" t="s">
        <v>28</v>
      </c>
      <c r="E804" s="4">
        <v>-97.66</v>
      </c>
      <c r="F804" s="2">
        <v>6900</v>
      </c>
      <c r="G804" s="2" t="s">
        <v>10</v>
      </c>
    </row>
    <row r="805" spans="1:7" x14ac:dyDescent="0.25">
      <c r="A805" s="2" t="s">
        <v>846</v>
      </c>
      <c r="B805" s="3">
        <v>45492</v>
      </c>
      <c r="C805" s="2" t="s">
        <v>67</v>
      </c>
      <c r="D805" s="2" t="s">
        <v>59</v>
      </c>
      <c r="E805" s="4">
        <v>-312.05</v>
      </c>
      <c r="F805" s="2">
        <v>6200</v>
      </c>
      <c r="G805" s="2" t="s">
        <v>10</v>
      </c>
    </row>
    <row r="806" spans="1:7" x14ac:dyDescent="0.25">
      <c r="A806" s="2" t="s">
        <v>847</v>
      </c>
      <c r="B806" s="3">
        <v>45329</v>
      </c>
      <c r="C806" s="2" t="s">
        <v>97</v>
      </c>
      <c r="D806" s="2" t="s">
        <v>52</v>
      </c>
      <c r="E806" s="4">
        <v>-10705.12</v>
      </c>
      <c r="F806" s="2">
        <v>6000</v>
      </c>
      <c r="G806" s="2" t="s">
        <v>10</v>
      </c>
    </row>
    <row r="807" spans="1:7" x14ac:dyDescent="0.25">
      <c r="A807" s="2" t="s">
        <v>848</v>
      </c>
      <c r="B807" s="3">
        <v>45348</v>
      </c>
      <c r="C807" s="2" t="s">
        <v>34</v>
      </c>
      <c r="D807" s="2" t="s">
        <v>35</v>
      </c>
      <c r="E807" s="4">
        <v>5117.62</v>
      </c>
      <c r="F807" s="2">
        <v>4000</v>
      </c>
      <c r="G807" s="2" t="s">
        <v>10</v>
      </c>
    </row>
    <row r="808" spans="1:7" x14ac:dyDescent="0.25">
      <c r="A808" s="2" t="s">
        <v>849</v>
      </c>
      <c r="B808" s="3">
        <v>45400</v>
      </c>
      <c r="C808" s="2" t="s">
        <v>38</v>
      </c>
      <c r="D808" s="2" t="s">
        <v>39</v>
      </c>
      <c r="E808" s="4">
        <v>-5298.6</v>
      </c>
      <c r="F808" s="2">
        <v>6500</v>
      </c>
      <c r="G808" s="2" t="s">
        <v>10</v>
      </c>
    </row>
    <row r="809" spans="1:7" x14ac:dyDescent="0.25">
      <c r="A809" s="2" t="s">
        <v>850</v>
      </c>
      <c r="B809" s="3">
        <v>45401</v>
      </c>
      <c r="C809" s="2" t="s">
        <v>12</v>
      </c>
      <c r="D809" s="2" t="s">
        <v>13</v>
      </c>
      <c r="E809" s="4">
        <v>-2878.61</v>
      </c>
      <c r="F809" s="2">
        <v>6400</v>
      </c>
      <c r="G809" s="2" t="s">
        <v>10</v>
      </c>
    </row>
    <row r="810" spans="1:7" x14ac:dyDescent="0.25">
      <c r="A810" s="2" t="s">
        <v>851</v>
      </c>
      <c r="B810" s="3">
        <v>45297</v>
      </c>
      <c r="C810" s="2" t="s">
        <v>56</v>
      </c>
      <c r="D810" s="2" t="s">
        <v>18</v>
      </c>
      <c r="E810" s="4">
        <v>-9103.07</v>
      </c>
      <c r="F810" s="2">
        <v>5100</v>
      </c>
      <c r="G810" s="2" t="s">
        <v>10</v>
      </c>
    </row>
    <row r="811" spans="1:7" x14ac:dyDescent="0.25">
      <c r="A811" s="2" t="s">
        <v>852</v>
      </c>
      <c r="B811" s="3">
        <v>45435</v>
      </c>
      <c r="C811" s="2" t="s">
        <v>38</v>
      </c>
      <c r="D811" s="2" t="s">
        <v>39</v>
      </c>
      <c r="E811" s="4">
        <v>-2528.27</v>
      </c>
      <c r="F811" s="2">
        <v>6500</v>
      </c>
      <c r="G811" s="2" t="s">
        <v>10</v>
      </c>
    </row>
    <row r="812" spans="1:7" x14ac:dyDescent="0.25">
      <c r="A812" s="2" t="s">
        <v>853</v>
      </c>
      <c r="B812" s="3">
        <v>45428</v>
      </c>
      <c r="C812" s="2" t="s">
        <v>127</v>
      </c>
      <c r="D812" s="2" t="s">
        <v>24</v>
      </c>
      <c r="E812" s="4">
        <v>-895.61</v>
      </c>
      <c r="F812" s="2">
        <v>6300</v>
      </c>
      <c r="G812" s="2" t="s">
        <v>10</v>
      </c>
    </row>
    <row r="813" spans="1:7" x14ac:dyDescent="0.25">
      <c r="A813" s="2" t="s">
        <v>854</v>
      </c>
      <c r="B813" s="3">
        <v>45468</v>
      </c>
      <c r="C813" s="2" t="s">
        <v>63</v>
      </c>
      <c r="D813" s="2" t="s">
        <v>52</v>
      </c>
      <c r="E813" s="4">
        <v>-7908.52</v>
      </c>
      <c r="F813" s="2">
        <v>6000</v>
      </c>
      <c r="G813" s="2" t="s">
        <v>10</v>
      </c>
    </row>
    <row r="814" spans="1:7" x14ac:dyDescent="0.25">
      <c r="A814" s="2" t="s">
        <v>855</v>
      </c>
      <c r="B814" s="3">
        <v>45603</v>
      </c>
      <c r="C814" s="2" t="s">
        <v>69</v>
      </c>
      <c r="D814" s="2" t="s">
        <v>39</v>
      </c>
      <c r="E814" s="4">
        <v>-4247.0600000000004</v>
      </c>
      <c r="F814" s="2">
        <v>6500</v>
      </c>
      <c r="G814" s="2" t="s">
        <v>10</v>
      </c>
    </row>
    <row r="815" spans="1:7" x14ac:dyDescent="0.25">
      <c r="A815" s="2" t="s">
        <v>856</v>
      </c>
      <c r="B815" s="3">
        <v>45574</v>
      </c>
      <c r="C815" s="2" t="s">
        <v>116</v>
      </c>
      <c r="D815" s="2" t="s">
        <v>35</v>
      </c>
      <c r="E815" s="4">
        <v>1703.38</v>
      </c>
      <c r="F815" s="2">
        <v>4000</v>
      </c>
      <c r="G815" s="2" t="s">
        <v>10</v>
      </c>
    </row>
    <row r="816" spans="1:7" x14ac:dyDescent="0.25">
      <c r="A816" s="2" t="s">
        <v>857</v>
      </c>
      <c r="B816" s="3">
        <v>45601</v>
      </c>
      <c r="C816" s="2" t="s">
        <v>103</v>
      </c>
      <c r="D816" s="2" t="s">
        <v>35</v>
      </c>
      <c r="E816" s="4">
        <v>1660.63</v>
      </c>
      <c r="F816" s="2">
        <v>4000</v>
      </c>
      <c r="G816" s="2" t="s">
        <v>10</v>
      </c>
    </row>
    <row r="817" spans="1:7" x14ac:dyDescent="0.25">
      <c r="A817" s="2" t="s">
        <v>858</v>
      </c>
      <c r="B817" s="3">
        <v>45543</v>
      </c>
      <c r="C817" s="2" t="s">
        <v>58</v>
      </c>
      <c r="D817" s="2" t="s">
        <v>59</v>
      </c>
      <c r="E817" s="4">
        <v>-1071.6199999999999</v>
      </c>
      <c r="F817" s="2">
        <v>6200</v>
      </c>
      <c r="G817" s="2" t="s">
        <v>10</v>
      </c>
    </row>
    <row r="818" spans="1:7" x14ac:dyDescent="0.25">
      <c r="A818" s="2" t="s">
        <v>859</v>
      </c>
      <c r="B818" s="3">
        <v>45638</v>
      </c>
      <c r="C818" s="2" t="s">
        <v>42</v>
      </c>
      <c r="D818" s="2" t="s">
        <v>39</v>
      </c>
      <c r="E818" s="4">
        <v>-1913.81</v>
      </c>
      <c r="F818" s="2">
        <v>6500</v>
      </c>
      <c r="G818" s="2" t="s">
        <v>10</v>
      </c>
    </row>
    <row r="819" spans="1:7" x14ac:dyDescent="0.25">
      <c r="A819" s="2" t="s">
        <v>860</v>
      </c>
      <c r="B819" s="3">
        <v>45413</v>
      </c>
      <c r="C819" s="2" t="s">
        <v>44</v>
      </c>
      <c r="D819" s="2" t="s">
        <v>9</v>
      </c>
      <c r="E819" s="4">
        <v>-1398.97</v>
      </c>
      <c r="F819" s="2">
        <v>6100</v>
      </c>
      <c r="G819" s="2" t="s">
        <v>10</v>
      </c>
    </row>
    <row r="820" spans="1:7" x14ac:dyDescent="0.25">
      <c r="A820" s="2" t="s">
        <v>861</v>
      </c>
      <c r="B820" s="3">
        <v>45340</v>
      </c>
      <c r="C820" s="2" t="s">
        <v>116</v>
      </c>
      <c r="D820" s="2" t="s">
        <v>35</v>
      </c>
      <c r="E820" s="4">
        <v>8823.5300000000007</v>
      </c>
      <c r="F820" s="2">
        <v>4000</v>
      </c>
      <c r="G820" s="2" t="s">
        <v>10</v>
      </c>
    </row>
    <row r="821" spans="1:7" x14ac:dyDescent="0.25">
      <c r="A821" s="2" t="s">
        <v>862</v>
      </c>
      <c r="B821" s="3">
        <v>45477</v>
      </c>
      <c r="C821" s="2" t="s">
        <v>23</v>
      </c>
      <c r="D821" s="2" t="s">
        <v>24</v>
      </c>
      <c r="E821" s="4">
        <v>-719.38</v>
      </c>
      <c r="F821" s="2">
        <v>6300</v>
      </c>
      <c r="G821" s="2" t="s">
        <v>10</v>
      </c>
    </row>
    <row r="822" spans="1:7" x14ac:dyDescent="0.25">
      <c r="A822" s="2" t="s">
        <v>863</v>
      </c>
      <c r="B822" s="3">
        <v>45457</v>
      </c>
      <c r="C822" s="2" t="s">
        <v>48</v>
      </c>
      <c r="D822" s="2" t="s">
        <v>9</v>
      </c>
      <c r="E822" s="4">
        <v>-5922.24</v>
      </c>
      <c r="F822" s="2">
        <v>6100</v>
      </c>
      <c r="G822" s="2" t="s">
        <v>10</v>
      </c>
    </row>
    <row r="823" spans="1:7" x14ac:dyDescent="0.25">
      <c r="A823" s="2" t="s">
        <v>864</v>
      </c>
      <c r="B823" s="3">
        <v>45304</v>
      </c>
      <c r="C823" s="2" t="s">
        <v>79</v>
      </c>
      <c r="D823" s="2" t="s">
        <v>31</v>
      </c>
      <c r="E823" s="4">
        <v>137.83000000000001</v>
      </c>
      <c r="F823" s="2">
        <v>4900</v>
      </c>
      <c r="G823" s="2" t="s">
        <v>10</v>
      </c>
    </row>
    <row r="824" spans="1:7" x14ac:dyDescent="0.25">
      <c r="A824" s="2" t="s">
        <v>865</v>
      </c>
      <c r="B824" s="3">
        <v>45633</v>
      </c>
      <c r="C824" s="2" t="s">
        <v>42</v>
      </c>
      <c r="D824" s="2" t="s">
        <v>39</v>
      </c>
      <c r="E824" s="4">
        <v>-3251.55</v>
      </c>
      <c r="F824" s="2">
        <v>6500</v>
      </c>
      <c r="G824" s="2" t="s">
        <v>10</v>
      </c>
    </row>
    <row r="825" spans="1:7" x14ac:dyDescent="0.25">
      <c r="A825" s="2" t="s">
        <v>866</v>
      </c>
      <c r="B825" s="3">
        <v>45627</v>
      </c>
      <c r="C825" s="2" t="s">
        <v>21</v>
      </c>
      <c r="D825" s="2" t="s">
        <v>13</v>
      </c>
      <c r="E825" s="4">
        <v>-2640.97</v>
      </c>
      <c r="F825" s="2">
        <v>6400</v>
      </c>
      <c r="G825" s="2" t="s">
        <v>10</v>
      </c>
    </row>
    <row r="826" spans="1:7" x14ac:dyDescent="0.25">
      <c r="A826" s="2" t="s">
        <v>867</v>
      </c>
      <c r="B826" s="3">
        <v>45329</v>
      </c>
      <c r="C826" s="2" t="s">
        <v>51</v>
      </c>
      <c r="D826" s="2" t="s">
        <v>52</v>
      </c>
      <c r="E826" s="4">
        <v>-11429.78</v>
      </c>
      <c r="F826" s="2">
        <v>6000</v>
      </c>
      <c r="G826" s="2" t="s">
        <v>10</v>
      </c>
    </row>
    <row r="827" spans="1:7" x14ac:dyDescent="0.25">
      <c r="A827" s="2" t="s">
        <v>868</v>
      </c>
      <c r="B827" s="3">
        <v>45380</v>
      </c>
      <c r="C827" s="2" t="s">
        <v>69</v>
      </c>
      <c r="D827" s="2" t="s">
        <v>39</v>
      </c>
      <c r="E827" s="4">
        <v>-1609.9</v>
      </c>
      <c r="F827" s="2">
        <v>6500</v>
      </c>
      <c r="G827" s="2" t="s">
        <v>10</v>
      </c>
    </row>
    <row r="828" spans="1:7" x14ac:dyDescent="0.25">
      <c r="A828" s="2" t="s">
        <v>869</v>
      </c>
      <c r="B828" s="3">
        <v>45640</v>
      </c>
      <c r="C828" s="2" t="s">
        <v>8</v>
      </c>
      <c r="D828" s="2" t="s">
        <v>9</v>
      </c>
      <c r="E828" s="4">
        <v>-1412.79</v>
      </c>
      <c r="F828" s="2">
        <v>6100</v>
      </c>
      <c r="G828" s="2" t="s">
        <v>10</v>
      </c>
    </row>
    <row r="829" spans="1:7" x14ac:dyDescent="0.25">
      <c r="A829" s="2" t="s">
        <v>870</v>
      </c>
      <c r="B829" s="3">
        <v>45361</v>
      </c>
      <c r="C829" s="2" t="s">
        <v>63</v>
      </c>
      <c r="D829" s="2" t="s">
        <v>52</v>
      </c>
      <c r="E829" s="4">
        <v>-2410.4699999999998</v>
      </c>
      <c r="F829" s="2">
        <v>6000</v>
      </c>
      <c r="G829" s="2" t="s">
        <v>10</v>
      </c>
    </row>
    <row r="830" spans="1:7" x14ac:dyDescent="0.25">
      <c r="A830" s="2" t="s">
        <v>871</v>
      </c>
      <c r="B830" s="3">
        <v>45619</v>
      </c>
      <c r="C830" s="2" t="s">
        <v>67</v>
      </c>
      <c r="D830" s="2" t="s">
        <v>59</v>
      </c>
      <c r="E830" s="4">
        <v>-719.81</v>
      </c>
      <c r="F830" s="2">
        <v>6200</v>
      </c>
      <c r="G830" s="2" t="s">
        <v>10</v>
      </c>
    </row>
    <row r="831" spans="1:7" x14ac:dyDescent="0.25">
      <c r="A831" s="2" t="s">
        <v>872</v>
      </c>
      <c r="B831" s="3">
        <v>45600</v>
      </c>
      <c r="C831" s="2" t="s">
        <v>71</v>
      </c>
      <c r="D831" s="2" t="s">
        <v>59</v>
      </c>
      <c r="E831" s="4">
        <v>-1039.32</v>
      </c>
      <c r="F831" s="2">
        <v>6200</v>
      </c>
      <c r="G831" s="2" t="s">
        <v>10</v>
      </c>
    </row>
    <row r="832" spans="1:7" x14ac:dyDescent="0.25">
      <c r="A832" s="2" t="s">
        <v>873</v>
      </c>
      <c r="B832" s="3">
        <v>45475</v>
      </c>
      <c r="C832" s="2" t="s">
        <v>30</v>
      </c>
      <c r="D832" s="2" t="s">
        <v>31</v>
      </c>
      <c r="E832" s="4">
        <v>262.64</v>
      </c>
      <c r="F832" s="2">
        <v>4900</v>
      </c>
      <c r="G832" s="2" t="s">
        <v>10</v>
      </c>
    </row>
    <row r="833" spans="1:7" x14ac:dyDescent="0.25">
      <c r="A833" s="2" t="s">
        <v>874</v>
      </c>
      <c r="B833" s="3">
        <v>45402</v>
      </c>
      <c r="C833" s="2" t="s">
        <v>146</v>
      </c>
      <c r="D833" s="2" t="s">
        <v>31</v>
      </c>
      <c r="E833" s="4">
        <v>93.95</v>
      </c>
      <c r="F833" s="2">
        <v>4900</v>
      </c>
      <c r="G833" s="2" t="s">
        <v>10</v>
      </c>
    </row>
    <row r="834" spans="1:7" x14ac:dyDescent="0.25">
      <c r="A834" s="2" t="s">
        <v>875</v>
      </c>
      <c r="B834" s="3">
        <v>45575</v>
      </c>
      <c r="C834" s="2" t="s">
        <v>81</v>
      </c>
      <c r="D834" s="2" t="s">
        <v>18</v>
      </c>
      <c r="E834" s="4">
        <v>-6932.44</v>
      </c>
      <c r="F834" s="2">
        <v>5100</v>
      </c>
      <c r="G834" s="2" t="s">
        <v>10</v>
      </c>
    </row>
    <row r="835" spans="1:7" x14ac:dyDescent="0.25">
      <c r="A835" s="2" t="s">
        <v>876</v>
      </c>
      <c r="B835" s="3">
        <v>45537</v>
      </c>
      <c r="C835" s="2" t="s">
        <v>27</v>
      </c>
      <c r="D835" s="2" t="s">
        <v>28</v>
      </c>
      <c r="E835" s="4">
        <v>-128.38999999999999</v>
      </c>
      <c r="F835" s="2">
        <v>6900</v>
      </c>
      <c r="G835" s="2" t="s">
        <v>10</v>
      </c>
    </row>
    <row r="836" spans="1:7" x14ac:dyDescent="0.25">
      <c r="A836" s="2" t="s">
        <v>877</v>
      </c>
      <c r="B836" s="3">
        <v>45483</v>
      </c>
      <c r="C836" s="2" t="s">
        <v>146</v>
      </c>
      <c r="D836" s="2" t="s">
        <v>31</v>
      </c>
      <c r="E836" s="4">
        <v>10.44</v>
      </c>
      <c r="F836" s="2">
        <v>4900</v>
      </c>
      <c r="G836" s="2" t="s">
        <v>10</v>
      </c>
    </row>
    <row r="837" spans="1:7" x14ac:dyDescent="0.25">
      <c r="A837" s="2" t="s">
        <v>878</v>
      </c>
      <c r="B837" s="3">
        <v>45627</v>
      </c>
      <c r="C837" s="2" t="s">
        <v>79</v>
      </c>
      <c r="D837" s="2" t="s">
        <v>31</v>
      </c>
      <c r="E837" s="4">
        <v>87.31</v>
      </c>
      <c r="F837" s="2">
        <v>4900</v>
      </c>
      <c r="G837" s="2" t="s">
        <v>10</v>
      </c>
    </row>
    <row r="838" spans="1:7" x14ac:dyDescent="0.25">
      <c r="A838" s="2" t="s">
        <v>879</v>
      </c>
      <c r="B838" s="3">
        <v>45639</v>
      </c>
      <c r="C838" s="2" t="s">
        <v>27</v>
      </c>
      <c r="D838" s="2" t="s">
        <v>28</v>
      </c>
      <c r="E838" s="4">
        <v>-114.41</v>
      </c>
      <c r="F838" s="2">
        <v>6900</v>
      </c>
      <c r="G838" s="2" t="s">
        <v>10</v>
      </c>
    </row>
    <row r="839" spans="1:7" x14ac:dyDescent="0.25">
      <c r="A839" s="2" t="s">
        <v>880</v>
      </c>
      <c r="B839" s="3">
        <v>45348</v>
      </c>
      <c r="C839" s="2" t="s">
        <v>15</v>
      </c>
      <c r="D839" s="2" t="s">
        <v>13</v>
      </c>
      <c r="E839" s="4">
        <v>-3339.96</v>
      </c>
      <c r="F839" s="2">
        <v>6400</v>
      </c>
      <c r="G839" s="2" t="s">
        <v>10</v>
      </c>
    </row>
    <row r="840" spans="1:7" x14ac:dyDescent="0.25">
      <c r="A840" s="2" t="s">
        <v>881</v>
      </c>
      <c r="B840" s="3">
        <v>45452</v>
      </c>
      <c r="C840" s="2" t="s">
        <v>15</v>
      </c>
      <c r="D840" s="2" t="s">
        <v>13</v>
      </c>
      <c r="E840" s="4">
        <v>-3070.22</v>
      </c>
      <c r="F840" s="2">
        <v>6400</v>
      </c>
      <c r="G840" s="2" t="s">
        <v>10</v>
      </c>
    </row>
    <row r="841" spans="1:7" x14ac:dyDescent="0.25">
      <c r="A841" s="2" t="s">
        <v>882</v>
      </c>
      <c r="B841" s="3">
        <v>45379</v>
      </c>
      <c r="C841" s="2" t="s">
        <v>51</v>
      </c>
      <c r="D841" s="2" t="s">
        <v>52</v>
      </c>
      <c r="E841" s="4">
        <v>-5804.82</v>
      </c>
      <c r="F841" s="2">
        <v>6000</v>
      </c>
      <c r="G841" s="2" t="s">
        <v>10</v>
      </c>
    </row>
    <row r="842" spans="1:7" x14ac:dyDescent="0.25">
      <c r="A842" s="2" t="s">
        <v>883</v>
      </c>
      <c r="B842" s="3">
        <v>45504</v>
      </c>
      <c r="C842" s="2" t="s">
        <v>97</v>
      </c>
      <c r="D842" s="2" t="s">
        <v>52</v>
      </c>
      <c r="E842" s="4">
        <v>-3288.58</v>
      </c>
      <c r="F842" s="2">
        <v>6000</v>
      </c>
      <c r="G842" s="2" t="s">
        <v>10</v>
      </c>
    </row>
    <row r="843" spans="1:7" x14ac:dyDescent="0.25">
      <c r="A843" s="2" t="s">
        <v>884</v>
      </c>
      <c r="B843" s="3">
        <v>45653</v>
      </c>
      <c r="C843" s="2" t="s">
        <v>63</v>
      </c>
      <c r="D843" s="2" t="s">
        <v>52</v>
      </c>
      <c r="E843" s="4">
        <v>-9119.86</v>
      </c>
      <c r="F843" s="2">
        <v>6000</v>
      </c>
      <c r="G843" s="2" t="s">
        <v>10</v>
      </c>
    </row>
    <row r="844" spans="1:7" x14ac:dyDescent="0.25">
      <c r="A844" s="2" t="s">
        <v>885</v>
      </c>
      <c r="B844" s="3">
        <v>45540</v>
      </c>
      <c r="C844" s="2" t="s">
        <v>116</v>
      </c>
      <c r="D844" s="2" t="s">
        <v>35</v>
      </c>
      <c r="E844" s="4">
        <v>1261.21</v>
      </c>
      <c r="F844" s="2">
        <v>4000</v>
      </c>
      <c r="G844" s="2" t="s">
        <v>10</v>
      </c>
    </row>
    <row r="845" spans="1:7" x14ac:dyDescent="0.25">
      <c r="A845" s="2" t="s">
        <v>886</v>
      </c>
      <c r="B845" s="3">
        <v>45460</v>
      </c>
      <c r="C845" s="2" t="s">
        <v>15</v>
      </c>
      <c r="D845" s="2" t="s">
        <v>13</v>
      </c>
      <c r="E845" s="4">
        <v>-2387.65</v>
      </c>
      <c r="F845" s="2">
        <v>6400</v>
      </c>
      <c r="G845" s="2" t="s">
        <v>10</v>
      </c>
    </row>
    <row r="846" spans="1:7" x14ac:dyDescent="0.25">
      <c r="A846" s="2" t="s">
        <v>887</v>
      </c>
      <c r="B846" s="3">
        <v>45511</v>
      </c>
      <c r="C846" s="2" t="s">
        <v>63</v>
      </c>
      <c r="D846" s="2" t="s">
        <v>52</v>
      </c>
      <c r="E846" s="4">
        <v>-5886.3</v>
      </c>
      <c r="F846" s="2">
        <v>6000</v>
      </c>
      <c r="G846" s="2" t="s">
        <v>10</v>
      </c>
    </row>
    <row r="847" spans="1:7" x14ac:dyDescent="0.25">
      <c r="A847" s="2" t="s">
        <v>888</v>
      </c>
      <c r="B847" s="3">
        <v>45577</v>
      </c>
      <c r="C847" s="2" t="s">
        <v>79</v>
      </c>
      <c r="D847" s="2" t="s">
        <v>31</v>
      </c>
      <c r="E847" s="4">
        <v>247.18</v>
      </c>
      <c r="F847" s="2">
        <v>4900</v>
      </c>
      <c r="G847" s="2" t="s">
        <v>10</v>
      </c>
    </row>
    <row r="848" spans="1:7" x14ac:dyDescent="0.25">
      <c r="A848" s="2" t="s">
        <v>889</v>
      </c>
      <c r="B848" s="3">
        <v>45462</v>
      </c>
      <c r="C848" s="2" t="s">
        <v>15</v>
      </c>
      <c r="D848" s="2" t="s">
        <v>13</v>
      </c>
      <c r="E848" s="4">
        <v>-3097.04</v>
      </c>
      <c r="F848" s="2">
        <v>6400</v>
      </c>
      <c r="G848" s="2" t="s">
        <v>10</v>
      </c>
    </row>
    <row r="849" spans="1:7" x14ac:dyDescent="0.25">
      <c r="A849" s="2" t="s">
        <v>890</v>
      </c>
      <c r="B849" s="3">
        <v>45330</v>
      </c>
      <c r="C849" s="2" t="s">
        <v>8</v>
      </c>
      <c r="D849" s="2" t="s">
        <v>9</v>
      </c>
      <c r="E849" s="4">
        <v>-2085.79</v>
      </c>
      <c r="F849" s="2">
        <v>6100</v>
      </c>
      <c r="G849" s="2" t="s">
        <v>10</v>
      </c>
    </row>
    <row r="850" spans="1:7" x14ac:dyDescent="0.25">
      <c r="A850" s="2" t="s">
        <v>891</v>
      </c>
      <c r="B850" s="3">
        <v>45397</v>
      </c>
      <c r="C850" s="2" t="s">
        <v>17</v>
      </c>
      <c r="D850" s="2" t="s">
        <v>18</v>
      </c>
      <c r="E850" s="4">
        <v>-6853.08</v>
      </c>
      <c r="F850" s="2">
        <v>5100</v>
      </c>
      <c r="G850" s="2" t="s">
        <v>10</v>
      </c>
    </row>
    <row r="851" spans="1:7" x14ac:dyDescent="0.25">
      <c r="A851" s="2" t="s">
        <v>892</v>
      </c>
      <c r="B851" s="3">
        <v>45439</v>
      </c>
      <c r="C851" s="2" t="s">
        <v>23</v>
      </c>
      <c r="D851" s="2" t="s">
        <v>24</v>
      </c>
      <c r="E851" s="4">
        <v>-90.64</v>
      </c>
      <c r="F851" s="2">
        <v>6300</v>
      </c>
      <c r="G851" s="2" t="s">
        <v>10</v>
      </c>
    </row>
    <row r="852" spans="1:7" x14ac:dyDescent="0.25">
      <c r="A852" s="2" t="s">
        <v>893</v>
      </c>
      <c r="B852" s="3">
        <v>45435</v>
      </c>
      <c r="C852" s="2" t="s">
        <v>58</v>
      </c>
      <c r="D852" s="2" t="s">
        <v>59</v>
      </c>
      <c r="E852" s="4">
        <v>-282.14999999999998</v>
      </c>
      <c r="F852" s="2">
        <v>6200</v>
      </c>
      <c r="G852" s="2" t="s">
        <v>10</v>
      </c>
    </row>
    <row r="853" spans="1:7" x14ac:dyDescent="0.25">
      <c r="A853" s="2" t="s">
        <v>894</v>
      </c>
      <c r="B853" s="3">
        <v>45312</v>
      </c>
      <c r="C853" s="2" t="s">
        <v>127</v>
      </c>
      <c r="D853" s="2" t="s">
        <v>24</v>
      </c>
      <c r="E853" s="4">
        <v>-570.41999999999996</v>
      </c>
      <c r="F853" s="2">
        <v>6300</v>
      </c>
      <c r="G853" s="2" t="s">
        <v>10</v>
      </c>
    </row>
    <row r="854" spans="1:7" x14ac:dyDescent="0.25">
      <c r="A854" s="2" t="s">
        <v>895</v>
      </c>
      <c r="B854" s="3">
        <v>45359</v>
      </c>
      <c r="C854" s="2" t="s">
        <v>69</v>
      </c>
      <c r="D854" s="2" t="s">
        <v>39</v>
      </c>
      <c r="E854" s="4">
        <v>-3083.69</v>
      </c>
      <c r="F854" s="2">
        <v>6500</v>
      </c>
      <c r="G854" s="2" t="s">
        <v>10</v>
      </c>
    </row>
    <row r="855" spans="1:7" x14ac:dyDescent="0.25">
      <c r="A855" s="2" t="s">
        <v>896</v>
      </c>
      <c r="B855" s="3">
        <v>45394</v>
      </c>
      <c r="C855" s="2" t="s">
        <v>63</v>
      </c>
      <c r="D855" s="2" t="s">
        <v>52</v>
      </c>
      <c r="E855" s="4">
        <v>-5696.6</v>
      </c>
      <c r="F855" s="2">
        <v>6000</v>
      </c>
      <c r="G855" s="2" t="s">
        <v>10</v>
      </c>
    </row>
    <row r="856" spans="1:7" x14ac:dyDescent="0.25">
      <c r="A856" s="2" t="s">
        <v>897</v>
      </c>
      <c r="B856" s="3">
        <v>45608</v>
      </c>
      <c r="C856" s="2" t="s">
        <v>79</v>
      </c>
      <c r="D856" s="2" t="s">
        <v>31</v>
      </c>
      <c r="E856" s="4">
        <v>244.85</v>
      </c>
      <c r="F856" s="2">
        <v>4900</v>
      </c>
      <c r="G856" s="2" t="s">
        <v>10</v>
      </c>
    </row>
    <row r="857" spans="1:7" x14ac:dyDescent="0.25">
      <c r="A857" s="2" t="s">
        <v>898</v>
      </c>
      <c r="B857" s="3">
        <v>45494</v>
      </c>
      <c r="C857" s="2" t="s">
        <v>17</v>
      </c>
      <c r="D857" s="2" t="s">
        <v>18</v>
      </c>
      <c r="E857" s="4">
        <v>-10032.299999999999</v>
      </c>
      <c r="F857" s="2">
        <v>5100</v>
      </c>
      <c r="G857" s="2" t="s">
        <v>10</v>
      </c>
    </row>
    <row r="858" spans="1:7" x14ac:dyDescent="0.25">
      <c r="A858" s="2" t="s">
        <v>899</v>
      </c>
      <c r="B858" s="3">
        <v>45450</v>
      </c>
      <c r="C858" s="2" t="s">
        <v>103</v>
      </c>
      <c r="D858" s="2" t="s">
        <v>35</v>
      </c>
      <c r="E858" s="4">
        <v>12852.38</v>
      </c>
      <c r="F858" s="2">
        <v>4000</v>
      </c>
      <c r="G858" s="2" t="s">
        <v>10</v>
      </c>
    </row>
    <row r="859" spans="1:7" x14ac:dyDescent="0.25">
      <c r="A859" s="2" t="s">
        <v>900</v>
      </c>
      <c r="B859" s="3">
        <v>45600</v>
      </c>
      <c r="C859" s="2" t="s">
        <v>48</v>
      </c>
      <c r="D859" s="2" t="s">
        <v>9</v>
      </c>
      <c r="E859" s="4">
        <v>-3333</v>
      </c>
      <c r="F859" s="2">
        <v>6100</v>
      </c>
      <c r="G859" s="2" t="s">
        <v>10</v>
      </c>
    </row>
    <row r="860" spans="1:7" x14ac:dyDescent="0.25">
      <c r="A860" s="2" t="s">
        <v>901</v>
      </c>
      <c r="B860" s="3">
        <v>45602</v>
      </c>
      <c r="C860" s="2" t="s">
        <v>79</v>
      </c>
      <c r="D860" s="2" t="s">
        <v>31</v>
      </c>
      <c r="E860" s="4">
        <v>286.20999999999998</v>
      </c>
      <c r="F860" s="2">
        <v>4900</v>
      </c>
      <c r="G860" s="2" t="s">
        <v>10</v>
      </c>
    </row>
    <row r="861" spans="1:7" x14ac:dyDescent="0.25">
      <c r="A861" s="2" t="s">
        <v>902</v>
      </c>
      <c r="B861" s="3">
        <v>45512</v>
      </c>
      <c r="C861" s="2" t="s">
        <v>23</v>
      </c>
      <c r="D861" s="2" t="s">
        <v>24</v>
      </c>
      <c r="E861" s="4">
        <v>-396.99</v>
      </c>
      <c r="F861" s="2">
        <v>6300</v>
      </c>
      <c r="G861" s="2" t="s">
        <v>10</v>
      </c>
    </row>
    <row r="862" spans="1:7" x14ac:dyDescent="0.25">
      <c r="A862" s="2" t="s">
        <v>903</v>
      </c>
      <c r="B862" s="3">
        <v>45465</v>
      </c>
      <c r="C862" s="2" t="s">
        <v>30</v>
      </c>
      <c r="D862" s="2" t="s">
        <v>31</v>
      </c>
      <c r="E862" s="4">
        <v>377.8</v>
      </c>
      <c r="F862" s="2">
        <v>4900</v>
      </c>
      <c r="G862" s="2" t="s">
        <v>10</v>
      </c>
    </row>
    <row r="863" spans="1:7" x14ac:dyDescent="0.25">
      <c r="A863" s="2" t="s">
        <v>904</v>
      </c>
      <c r="B863" s="3">
        <v>45382</v>
      </c>
      <c r="C863" s="2" t="s">
        <v>195</v>
      </c>
      <c r="D863" s="2" t="s">
        <v>28</v>
      </c>
      <c r="E863" s="4">
        <v>-47.03</v>
      </c>
      <c r="F863" s="2">
        <v>6900</v>
      </c>
      <c r="G863" s="2" t="s">
        <v>10</v>
      </c>
    </row>
    <row r="864" spans="1:7" x14ac:dyDescent="0.25">
      <c r="A864" s="2" t="s">
        <v>905</v>
      </c>
      <c r="B864" s="3">
        <v>45486</v>
      </c>
      <c r="C864" s="2" t="s">
        <v>195</v>
      </c>
      <c r="D864" s="2" t="s">
        <v>28</v>
      </c>
      <c r="E864" s="4">
        <v>-30.8</v>
      </c>
      <c r="F864" s="2">
        <v>6900</v>
      </c>
      <c r="G864" s="2" t="s">
        <v>10</v>
      </c>
    </row>
    <row r="865" spans="1:7" x14ac:dyDescent="0.25">
      <c r="A865" s="2" t="s">
        <v>906</v>
      </c>
      <c r="B865" s="3">
        <v>45496</v>
      </c>
      <c r="C865" s="2" t="s">
        <v>81</v>
      </c>
      <c r="D865" s="2" t="s">
        <v>18</v>
      </c>
      <c r="E865" s="4">
        <v>-7129.82</v>
      </c>
      <c r="F865" s="2">
        <v>5100</v>
      </c>
      <c r="G865" s="2" t="s">
        <v>10</v>
      </c>
    </row>
    <row r="866" spans="1:7" x14ac:dyDescent="0.25">
      <c r="A866" s="2" t="s">
        <v>907</v>
      </c>
      <c r="B866" s="3">
        <v>45569</v>
      </c>
      <c r="C866" s="2" t="s">
        <v>71</v>
      </c>
      <c r="D866" s="2" t="s">
        <v>59</v>
      </c>
      <c r="E866" s="4">
        <v>-941.14</v>
      </c>
      <c r="F866" s="2">
        <v>6200</v>
      </c>
      <c r="G866" s="2" t="s">
        <v>10</v>
      </c>
    </row>
    <row r="867" spans="1:7" x14ac:dyDescent="0.25">
      <c r="A867" s="2" t="s">
        <v>908</v>
      </c>
      <c r="B867" s="3">
        <v>45562</v>
      </c>
      <c r="C867" s="2" t="s">
        <v>146</v>
      </c>
      <c r="D867" s="2" t="s">
        <v>31</v>
      </c>
      <c r="E867" s="4">
        <v>397.16</v>
      </c>
      <c r="F867" s="2">
        <v>4900</v>
      </c>
      <c r="G867" s="2" t="s">
        <v>10</v>
      </c>
    </row>
    <row r="868" spans="1:7" x14ac:dyDescent="0.25">
      <c r="A868" s="2" t="s">
        <v>909</v>
      </c>
      <c r="B868" s="3">
        <v>45365</v>
      </c>
      <c r="C868" s="2" t="s">
        <v>103</v>
      </c>
      <c r="D868" s="2" t="s">
        <v>35</v>
      </c>
      <c r="E868" s="4">
        <v>23713.58</v>
      </c>
      <c r="F868" s="2">
        <v>4000</v>
      </c>
      <c r="G868" s="2" t="s">
        <v>10</v>
      </c>
    </row>
    <row r="869" spans="1:7" x14ac:dyDescent="0.25">
      <c r="A869" s="2" t="s">
        <v>910</v>
      </c>
      <c r="B869" s="3">
        <v>45436</v>
      </c>
      <c r="C869" s="2" t="s">
        <v>42</v>
      </c>
      <c r="D869" s="2" t="s">
        <v>39</v>
      </c>
      <c r="E869" s="4">
        <v>-6525.17</v>
      </c>
      <c r="F869" s="2">
        <v>6500</v>
      </c>
      <c r="G869" s="2" t="s">
        <v>10</v>
      </c>
    </row>
    <row r="870" spans="1:7" x14ac:dyDescent="0.25">
      <c r="A870" s="2" t="s">
        <v>911</v>
      </c>
      <c r="B870" s="3">
        <v>45331</v>
      </c>
      <c r="C870" s="2" t="s">
        <v>81</v>
      </c>
      <c r="D870" s="2" t="s">
        <v>18</v>
      </c>
      <c r="E870" s="4">
        <v>-720.6</v>
      </c>
      <c r="F870" s="2">
        <v>5100</v>
      </c>
      <c r="G870" s="2" t="s">
        <v>10</v>
      </c>
    </row>
    <row r="871" spans="1:7" x14ac:dyDescent="0.25">
      <c r="A871" s="2" t="s">
        <v>912</v>
      </c>
      <c r="B871" s="3">
        <v>45399</v>
      </c>
      <c r="C871" s="2" t="s">
        <v>97</v>
      </c>
      <c r="D871" s="2" t="s">
        <v>52</v>
      </c>
      <c r="E871" s="4">
        <v>-2248.0700000000002</v>
      </c>
      <c r="F871" s="2">
        <v>6000</v>
      </c>
      <c r="G871" s="2" t="s">
        <v>10</v>
      </c>
    </row>
    <row r="872" spans="1:7" x14ac:dyDescent="0.25">
      <c r="A872" s="2" t="s">
        <v>913</v>
      </c>
      <c r="B872" s="3">
        <v>45463</v>
      </c>
      <c r="C872" s="2" t="s">
        <v>97</v>
      </c>
      <c r="D872" s="2" t="s">
        <v>52</v>
      </c>
      <c r="E872" s="4">
        <v>-5363</v>
      </c>
      <c r="F872" s="2">
        <v>6000</v>
      </c>
      <c r="G872" s="2" t="s">
        <v>10</v>
      </c>
    </row>
    <row r="873" spans="1:7" x14ac:dyDescent="0.25">
      <c r="A873" s="2" t="s">
        <v>914</v>
      </c>
      <c r="B873" s="3">
        <v>45388</v>
      </c>
      <c r="C873" s="2" t="s">
        <v>44</v>
      </c>
      <c r="D873" s="2" t="s">
        <v>9</v>
      </c>
      <c r="E873" s="4">
        <v>-5144.76</v>
      </c>
      <c r="F873" s="2">
        <v>6100</v>
      </c>
      <c r="G873" s="2" t="s">
        <v>10</v>
      </c>
    </row>
    <row r="874" spans="1:7" x14ac:dyDescent="0.25">
      <c r="A874" s="2" t="s">
        <v>915</v>
      </c>
      <c r="B874" s="3">
        <v>45319</v>
      </c>
      <c r="C874" s="2" t="s">
        <v>103</v>
      </c>
      <c r="D874" s="2" t="s">
        <v>35</v>
      </c>
      <c r="E874" s="4">
        <v>5139.41</v>
      </c>
      <c r="F874" s="2">
        <v>4000</v>
      </c>
      <c r="G874" s="2" t="s">
        <v>10</v>
      </c>
    </row>
    <row r="875" spans="1:7" x14ac:dyDescent="0.25">
      <c r="A875" s="2" t="s">
        <v>916</v>
      </c>
      <c r="B875" s="3">
        <v>45613</v>
      </c>
      <c r="C875" s="2" t="s">
        <v>8</v>
      </c>
      <c r="D875" s="2" t="s">
        <v>9</v>
      </c>
      <c r="E875" s="4">
        <v>-1876.32</v>
      </c>
      <c r="F875" s="2">
        <v>6100</v>
      </c>
      <c r="G875" s="2" t="s">
        <v>10</v>
      </c>
    </row>
    <row r="876" spans="1:7" x14ac:dyDescent="0.25">
      <c r="A876" s="2" t="s">
        <v>917</v>
      </c>
      <c r="B876" s="3">
        <v>45348</v>
      </c>
      <c r="C876" s="2" t="s">
        <v>48</v>
      </c>
      <c r="D876" s="2" t="s">
        <v>9</v>
      </c>
      <c r="E876" s="4">
        <v>-3235.27</v>
      </c>
      <c r="F876" s="2">
        <v>6100</v>
      </c>
      <c r="G876" s="2" t="s">
        <v>10</v>
      </c>
    </row>
    <row r="877" spans="1:7" x14ac:dyDescent="0.25">
      <c r="A877" s="2" t="s">
        <v>918</v>
      </c>
      <c r="B877" s="3">
        <v>45485</v>
      </c>
      <c r="C877" s="2" t="s">
        <v>81</v>
      </c>
      <c r="D877" s="2" t="s">
        <v>18</v>
      </c>
      <c r="E877" s="4">
        <v>-7565.19</v>
      </c>
      <c r="F877" s="2">
        <v>5100</v>
      </c>
      <c r="G877" s="2" t="s">
        <v>10</v>
      </c>
    </row>
    <row r="878" spans="1:7" x14ac:dyDescent="0.25">
      <c r="A878" s="2" t="s">
        <v>919</v>
      </c>
      <c r="B878" s="3">
        <v>45548</v>
      </c>
      <c r="C878" s="2" t="s">
        <v>44</v>
      </c>
      <c r="D878" s="2" t="s">
        <v>9</v>
      </c>
      <c r="E878" s="4">
        <v>-4338.18</v>
      </c>
      <c r="F878" s="2">
        <v>6100</v>
      </c>
      <c r="G878" s="2" t="s">
        <v>10</v>
      </c>
    </row>
    <row r="879" spans="1:7" x14ac:dyDescent="0.25">
      <c r="A879" s="2" t="s">
        <v>920</v>
      </c>
      <c r="B879" s="3">
        <v>45300</v>
      </c>
      <c r="C879" s="2" t="s">
        <v>195</v>
      </c>
      <c r="D879" s="2" t="s">
        <v>28</v>
      </c>
      <c r="E879" s="4">
        <v>-134.85</v>
      </c>
      <c r="F879" s="2">
        <v>6900</v>
      </c>
      <c r="G879" s="2" t="s">
        <v>10</v>
      </c>
    </row>
    <row r="880" spans="1:7" x14ac:dyDescent="0.25">
      <c r="A880" s="2" t="s">
        <v>921</v>
      </c>
      <c r="B880" s="3">
        <v>45297</v>
      </c>
      <c r="C880" s="2" t="s">
        <v>58</v>
      </c>
      <c r="D880" s="2" t="s">
        <v>59</v>
      </c>
      <c r="E880" s="4">
        <v>-1099.57</v>
      </c>
      <c r="F880" s="2">
        <v>6200</v>
      </c>
      <c r="G880" s="2" t="s">
        <v>10</v>
      </c>
    </row>
    <row r="881" spans="1:7" x14ac:dyDescent="0.25">
      <c r="A881" s="2" t="s">
        <v>922</v>
      </c>
      <c r="B881" s="3">
        <v>45357</v>
      </c>
      <c r="C881" s="2" t="s">
        <v>56</v>
      </c>
      <c r="D881" s="2" t="s">
        <v>18</v>
      </c>
      <c r="E881" s="4">
        <v>-2959.95</v>
      </c>
      <c r="F881" s="2">
        <v>5100</v>
      </c>
      <c r="G881" s="2" t="s">
        <v>10</v>
      </c>
    </row>
    <row r="882" spans="1:7" x14ac:dyDescent="0.25">
      <c r="A882" s="2" t="s">
        <v>923</v>
      </c>
      <c r="B882" s="3">
        <v>45616</v>
      </c>
      <c r="C882" s="2" t="s">
        <v>21</v>
      </c>
      <c r="D882" s="2" t="s">
        <v>13</v>
      </c>
      <c r="E882" s="4">
        <v>-2851.98</v>
      </c>
      <c r="F882" s="2">
        <v>6400</v>
      </c>
      <c r="G882" s="2" t="s">
        <v>10</v>
      </c>
    </row>
    <row r="883" spans="1:7" x14ac:dyDescent="0.25">
      <c r="A883" s="2" t="s">
        <v>924</v>
      </c>
      <c r="B883" s="3">
        <v>45590</v>
      </c>
      <c r="C883" s="2" t="s">
        <v>15</v>
      </c>
      <c r="D883" s="2" t="s">
        <v>13</v>
      </c>
      <c r="E883" s="4">
        <v>-1079.71</v>
      </c>
      <c r="F883" s="2">
        <v>6400</v>
      </c>
      <c r="G883" s="2" t="s">
        <v>10</v>
      </c>
    </row>
    <row r="884" spans="1:7" x14ac:dyDescent="0.25">
      <c r="A884" s="2" t="s">
        <v>925</v>
      </c>
      <c r="B884" s="3">
        <v>45454</v>
      </c>
      <c r="C884" s="2" t="s">
        <v>63</v>
      </c>
      <c r="D884" s="2" t="s">
        <v>52</v>
      </c>
      <c r="E884" s="4">
        <v>-2636.62</v>
      </c>
      <c r="F884" s="2">
        <v>6000</v>
      </c>
      <c r="G884" s="2" t="s">
        <v>10</v>
      </c>
    </row>
    <row r="885" spans="1:7" x14ac:dyDescent="0.25">
      <c r="A885" s="2" t="s">
        <v>926</v>
      </c>
      <c r="B885" s="3">
        <v>45643</v>
      </c>
      <c r="C885" s="2" t="s">
        <v>63</v>
      </c>
      <c r="D885" s="2" t="s">
        <v>52</v>
      </c>
      <c r="E885" s="4">
        <v>-11945.65</v>
      </c>
      <c r="F885" s="2">
        <v>6000</v>
      </c>
      <c r="G885" s="2" t="s">
        <v>10</v>
      </c>
    </row>
    <row r="886" spans="1:7" x14ac:dyDescent="0.25">
      <c r="A886" s="2" t="s">
        <v>927</v>
      </c>
      <c r="B886" s="3">
        <v>45400</v>
      </c>
      <c r="C886" s="2" t="s">
        <v>15</v>
      </c>
      <c r="D886" s="2" t="s">
        <v>13</v>
      </c>
      <c r="E886" s="4">
        <v>-3477.92</v>
      </c>
      <c r="F886" s="2">
        <v>6400</v>
      </c>
      <c r="G886" s="2" t="s">
        <v>10</v>
      </c>
    </row>
    <row r="887" spans="1:7" x14ac:dyDescent="0.25">
      <c r="A887" s="2" t="s">
        <v>928</v>
      </c>
      <c r="B887" s="3">
        <v>45600</v>
      </c>
      <c r="C887" s="2" t="s">
        <v>146</v>
      </c>
      <c r="D887" s="2" t="s">
        <v>31</v>
      </c>
      <c r="E887" s="4">
        <v>147.07</v>
      </c>
      <c r="F887" s="2">
        <v>4900</v>
      </c>
      <c r="G887" s="2" t="s">
        <v>10</v>
      </c>
    </row>
    <row r="888" spans="1:7" x14ac:dyDescent="0.25">
      <c r="A888" s="2" t="s">
        <v>929</v>
      </c>
      <c r="B888" s="3">
        <v>45655</v>
      </c>
      <c r="C888" s="2" t="s">
        <v>71</v>
      </c>
      <c r="D888" s="2" t="s">
        <v>59</v>
      </c>
      <c r="E888" s="4">
        <v>-701.38</v>
      </c>
      <c r="F888" s="2">
        <v>6200</v>
      </c>
      <c r="G888" s="2" t="s">
        <v>10</v>
      </c>
    </row>
    <row r="889" spans="1:7" x14ac:dyDescent="0.25">
      <c r="A889" s="2" t="s">
        <v>930</v>
      </c>
      <c r="B889" s="3">
        <v>45507</v>
      </c>
      <c r="C889" s="2" t="s">
        <v>27</v>
      </c>
      <c r="D889" s="2" t="s">
        <v>28</v>
      </c>
      <c r="E889" s="4">
        <v>-141.46</v>
      </c>
      <c r="F889" s="2">
        <v>6900</v>
      </c>
      <c r="G889" s="2" t="s">
        <v>10</v>
      </c>
    </row>
    <row r="890" spans="1:7" x14ac:dyDescent="0.25">
      <c r="A890" s="2" t="s">
        <v>931</v>
      </c>
      <c r="B890" s="3">
        <v>45573</v>
      </c>
      <c r="C890" s="2" t="s">
        <v>44</v>
      </c>
      <c r="D890" s="2" t="s">
        <v>9</v>
      </c>
      <c r="E890" s="4">
        <v>-3389.59</v>
      </c>
      <c r="F890" s="2">
        <v>6100</v>
      </c>
      <c r="G890" s="2" t="s">
        <v>10</v>
      </c>
    </row>
    <row r="891" spans="1:7" x14ac:dyDescent="0.25">
      <c r="A891" s="2" t="s">
        <v>932</v>
      </c>
      <c r="B891" s="3">
        <v>45358</v>
      </c>
      <c r="C891" s="2" t="s">
        <v>44</v>
      </c>
      <c r="D891" s="2" t="s">
        <v>9</v>
      </c>
      <c r="E891" s="4">
        <v>-1716.72</v>
      </c>
      <c r="F891" s="2">
        <v>6100</v>
      </c>
      <c r="G891" s="2" t="s">
        <v>10</v>
      </c>
    </row>
    <row r="892" spans="1:7" x14ac:dyDescent="0.25">
      <c r="A892" s="2" t="s">
        <v>933</v>
      </c>
      <c r="B892" s="3">
        <v>45384</v>
      </c>
      <c r="C892" s="2" t="s">
        <v>81</v>
      </c>
      <c r="D892" s="2" t="s">
        <v>18</v>
      </c>
      <c r="E892" s="4">
        <v>-952.34</v>
      </c>
      <c r="F892" s="2">
        <v>5100</v>
      </c>
      <c r="G892" s="2" t="s">
        <v>10</v>
      </c>
    </row>
    <row r="893" spans="1:7" x14ac:dyDescent="0.25">
      <c r="A893" s="2" t="s">
        <v>934</v>
      </c>
      <c r="B893" s="3">
        <v>45553</v>
      </c>
      <c r="C893" s="2" t="s">
        <v>30</v>
      </c>
      <c r="D893" s="2" t="s">
        <v>31</v>
      </c>
      <c r="E893" s="4">
        <v>353.72</v>
      </c>
      <c r="F893" s="2">
        <v>4900</v>
      </c>
      <c r="G893" s="2" t="s">
        <v>10</v>
      </c>
    </row>
    <row r="894" spans="1:7" x14ac:dyDescent="0.25">
      <c r="A894" s="2" t="s">
        <v>935</v>
      </c>
      <c r="B894" s="3">
        <v>45397</v>
      </c>
      <c r="C894" s="2" t="s">
        <v>103</v>
      </c>
      <c r="D894" s="2" t="s">
        <v>35</v>
      </c>
      <c r="E894" s="4">
        <v>8931.4599999999991</v>
      </c>
      <c r="F894" s="2">
        <v>4000</v>
      </c>
      <c r="G894" s="2" t="s">
        <v>10</v>
      </c>
    </row>
    <row r="895" spans="1:7" x14ac:dyDescent="0.25">
      <c r="A895" s="2" t="s">
        <v>936</v>
      </c>
      <c r="B895" s="3">
        <v>45551</v>
      </c>
      <c r="C895" s="2" t="s">
        <v>34</v>
      </c>
      <c r="D895" s="2" t="s">
        <v>35</v>
      </c>
      <c r="E895" s="4">
        <v>9156.77</v>
      </c>
      <c r="F895" s="2">
        <v>4000</v>
      </c>
      <c r="G895" s="2" t="s">
        <v>10</v>
      </c>
    </row>
    <row r="896" spans="1:7" x14ac:dyDescent="0.25">
      <c r="A896" s="2" t="s">
        <v>937</v>
      </c>
      <c r="B896" s="3">
        <v>45610</v>
      </c>
      <c r="C896" s="2" t="s">
        <v>12</v>
      </c>
      <c r="D896" s="2" t="s">
        <v>13</v>
      </c>
      <c r="E896" s="4">
        <v>-1060.1500000000001</v>
      </c>
      <c r="F896" s="2">
        <v>6400</v>
      </c>
      <c r="G896" s="2" t="s">
        <v>10</v>
      </c>
    </row>
    <row r="897" spans="1:7" x14ac:dyDescent="0.25">
      <c r="A897" s="2" t="s">
        <v>938</v>
      </c>
      <c r="B897" s="3">
        <v>45500</v>
      </c>
      <c r="C897" s="2" t="s">
        <v>17</v>
      </c>
      <c r="D897" s="2" t="s">
        <v>18</v>
      </c>
      <c r="E897" s="4">
        <v>-4115.7</v>
      </c>
      <c r="F897" s="2">
        <v>5100</v>
      </c>
      <c r="G897" s="2" t="s">
        <v>10</v>
      </c>
    </row>
    <row r="898" spans="1:7" x14ac:dyDescent="0.25">
      <c r="A898" s="2" t="s">
        <v>939</v>
      </c>
      <c r="B898" s="3">
        <v>45466</v>
      </c>
      <c r="C898" s="2" t="s">
        <v>56</v>
      </c>
      <c r="D898" s="2" t="s">
        <v>18</v>
      </c>
      <c r="E898" s="4">
        <v>-2462.58</v>
      </c>
      <c r="F898" s="2">
        <v>5100</v>
      </c>
      <c r="G898" s="2" t="s">
        <v>10</v>
      </c>
    </row>
    <row r="899" spans="1:7" x14ac:dyDescent="0.25">
      <c r="A899" s="2" t="s">
        <v>940</v>
      </c>
      <c r="B899" s="3">
        <v>45645</v>
      </c>
      <c r="C899" s="2" t="s">
        <v>97</v>
      </c>
      <c r="D899" s="2" t="s">
        <v>52</v>
      </c>
      <c r="E899" s="4">
        <v>-9883.7099999999991</v>
      </c>
      <c r="F899" s="2">
        <v>6000</v>
      </c>
      <c r="G899" s="2" t="s">
        <v>10</v>
      </c>
    </row>
    <row r="900" spans="1:7" x14ac:dyDescent="0.25">
      <c r="A900" s="2" t="s">
        <v>941</v>
      </c>
      <c r="B900" s="3">
        <v>45355</v>
      </c>
      <c r="C900" s="2" t="s">
        <v>44</v>
      </c>
      <c r="D900" s="2" t="s">
        <v>9</v>
      </c>
      <c r="E900" s="4">
        <v>-892.88</v>
      </c>
      <c r="F900" s="2">
        <v>6100</v>
      </c>
      <c r="G900" s="2" t="s">
        <v>10</v>
      </c>
    </row>
    <row r="901" spans="1:7" x14ac:dyDescent="0.25">
      <c r="A901" s="2" t="s">
        <v>942</v>
      </c>
      <c r="B901" s="3">
        <v>45646</v>
      </c>
      <c r="C901" s="2" t="s">
        <v>44</v>
      </c>
      <c r="D901" s="2" t="s">
        <v>9</v>
      </c>
      <c r="E901" s="4">
        <v>-5866.97</v>
      </c>
      <c r="F901" s="2">
        <v>6100</v>
      </c>
      <c r="G901" s="2" t="s">
        <v>10</v>
      </c>
    </row>
    <row r="902" spans="1:7" x14ac:dyDescent="0.25">
      <c r="A902" s="2" t="s">
        <v>943</v>
      </c>
      <c r="B902" s="3">
        <v>45655</v>
      </c>
      <c r="C902" s="2" t="s">
        <v>27</v>
      </c>
      <c r="D902" s="2" t="s">
        <v>28</v>
      </c>
      <c r="E902" s="4">
        <v>-127.77</v>
      </c>
      <c r="F902" s="2">
        <v>6900</v>
      </c>
      <c r="G902" s="2" t="s">
        <v>10</v>
      </c>
    </row>
    <row r="903" spans="1:7" x14ac:dyDescent="0.25">
      <c r="A903" s="2" t="s">
        <v>944</v>
      </c>
      <c r="B903" s="3">
        <v>45634</v>
      </c>
      <c r="C903" s="2" t="s">
        <v>38</v>
      </c>
      <c r="D903" s="2" t="s">
        <v>39</v>
      </c>
      <c r="E903" s="4">
        <v>-1177.73</v>
      </c>
      <c r="F903" s="2">
        <v>6500</v>
      </c>
      <c r="G903" s="2" t="s">
        <v>10</v>
      </c>
    </row>
    <row r="904" spans="1:7" x14ac:dyDescent="0.25">
      <c r="A904" s="2" t="s">
        <v>945</v>
      </c>
      <c r="B904" s="3">
        <v>45507</v>
      </c>
      <c r="C904" s="2" t="s">
        <v>58</v>
      </c>
      <c r="D904" s="2" t="s">
        <v>59</v>
      </c>
      <c r="E904" s="4">
        <v>-1154.68</v>
      </c>
      <c r="F904" s="2">
        <v>6200</v>
      </c>
      <c r="G904" s="2" t="s">
        <v>10</v>
      </c>
    </row>
    <row r="905" spans="1:7" x14ac:dyDescent="0.25">
      <c r="A905" s="2" t="s">
        <v>946</v>
      </c>
      <c r="B905" s="3">
        <v>45374</v>
      </c>
      <c r="C905" s="2" t="s">
        <v>48</v>
      </c>
      <c r="D905" s="2" t="s">
        <v>9</v>
      </c>
      <c r="E905" s="4">
        <v>-2580.5</v>
      </c>
      <c r="F905" s="2">
        <v>6100</v>
      </c>
      <c r="G905" s="2" t="s">
        <v>10</v>
      </c>
    </row>
    <row r="906" spans="1:7" x14ac:dyDescent="0.25">
      <c r="A906" s="2" t="s">
        <v>947</v>
      </c>
      <c r="B906" s="3">
        <v>45485</v>
      </c>
      <c r="C906" s="2" t="s">
        <v>58</v>
      </c>
      <c r="D906" s="2" t="s">
        <v>59</v>
      </c>
      <c r="E906" s="4">
        <v>-354.53</v>
      </c>
      <c r="F906" s="2">
        <v>6200</v>
      </c>
      <c r="G906" s="2" t="s">
        <v>10</v>
      </c>
    </row>
    <row r="907" spans="1:7" x14ac:dyDescent="0.25">
      <c r="A907" s="2" t="s">
        <v>948</v>
      </c>
      <c r="B907" s="3">
        <v>45481</v>
      </c>
      <c r="C907" s="2" t="s">
        <v>94</v>
      </c>
      <c r="D907" s="2" t="s">
        <v>24</v>
      </c>
      <c r="E907" s="4">
        <v>-704.77</v>
      </c>
      <c r="F907" s="2">
        <v>6300</v>
      </c>
      <c r="G907" s="2" t="s">
        <v>10</v>
      </c>
    </row>
    <row r="908" spans="1:7" x14ac:dyDescent="0.25">
      <c r="A908" s="2" t="s">
        <v>949</v>
      </c>
      <c r="B908" s="3">
        <v>45506</v>
      </c>
      <c r="C908" s="2" t="s">
        <v>38</v>
      </c>
      <c r="D908" s="2" t="s">
        <v>39</v>
      </c>
      <c r="E908" s="4">
        <v>-7347.26</v>
      </c>
      <c r="F908" s="2">
        <v>6500</v>
      </c>
      <c r="G908" s="2" t="s">
        <v>10</v>
      </c>
    </row>
    <row r="909" spans="1:7" x14ac:dyDescent="0.25">
      <c r="A909" s="2" t="s">
        <v>950</v>
      </c>
      <c r="B909" s="3">
        <v>45523</v>
      </c>
      <c r="C909" s="2" t="s">
        <v>56</v>
      </c>
      <c r="D909" s="2" t="s">
        <v>18</v>
      </c>
      <c r="E909" s="4">
        <v>-4137.26</v>
      </c>
      <c r="F909" s="2">
        <v>5100</v>
      </c>
      <c r="G909" s="2" t="s">
        <v>10</v>
      </c>
    </row>
    <row r="910" spans="1:7" x14ac:dyDescent="0.25">
      <c r="A910" s="2" t="s">
        <v>951</v>
      </c>
      <c r="B910" s="3">
        <v>45461</v>
      </c>
      <c r="C910" s="2" t="s">
        <v>94</v>
      </c>
      <c r="D910" s="2" t="s">
        <v>24</v>
      </c>
      <c r="E910" s="4">
        <v>-490.71</v>
      </c>
      <c r="F910" s="2">
        <v>6300</v>
      </c>
      <c r="G910" s="2" t="s">
        <v>10</v>
      </c>
    </row>
    <row r="911" spans="1:7" x14ac:dyDescent="0.25">
      <c r="A911" s="2" t="s">
        <v>952</v>
      </c>
      <c r="B911" s="3">
        <v>45318</v>
      </c>
      <c r="C911" s="2" t="s">
        <v>81</v>
      </c>
      <c r="D911" s="2" t="s">
        <v>18</v>
      </c>
      <c r="E911" s="4">
        <v>-739.17</v>
      </c>
      <c r="F911" s="2">
        <v>5100</v>
      </c>
      <c r="G911" s="2" t="s">
        <v>10</v>
      </c>
    </row>
    <row r="912" spans="1:7" x14ac:dyDescent="0.25">
      <c r="A912" s="2" t="s">
        <v>953</v>
      </c>
      <c r="B912" s="3">
        <v>45423</v>
      </c>
      <c r="C912" s="2" t="s">
        <v>127</v>
      </c>
      <c r="D912" s="2" t="s">
        <v>24</v>
      </c>
      <c r="E912" s="4">
        <v>-379.32</v>
      </c>
      <c r="F912" s="2">
        <v>6300</v>
      </c>
      <c r="G912" s="2" t="s">
        <v>10</v>
      </c>
    </row>
    <row r="913" spans="1:7" x14ac:dyDescent="0.25">
      <c r="A913" s="2" t="s">
        <v>954</v>
      </c>
      <c r="B913" s="3">
        <v>45623</v>
      </c>
      <c r="C913" s="2" t="s">
        <v>30</v>
      </c>
      <c r="D913" s="2" t="s">
        <v>31</v>
      </c>
      <c r="E913" s="4">
        <v>40.78</v>
      </c>
      <c r="F913" s="2">
        <v>4900</v>
      </c>
      <c r="G913" s="2" t="s">
        <v>10</v>
      </c>
    </row>
    <row r="914" spans="1:7" x14ac:dyDescent="0.25">
      <c r="A914" s="2" t="s">
        <v>955</v>
      </c>
      <c r="B914" s="3">
        <v>45415</v>
      </c>
      <c r="C914" s="2" t="s">
        <v>103</v>
      </c>
      <c r="D914" s="2" t="s">
        <v>35</v>
      </c>
      <c r="E914" s="4">
        <v>24206.03</v>
      </c>
      <c r="F914" s="2">
        <v>4000</v>
      </c>
      <c r="G914" s="2" t="s">
        <v>10</v>
      </c>
    </row>
    <row r="915" spans="1:7" x14ac:dyDescent="0.25">
      <c r="A915" s="2" t="s">
        <v>956</v>
      </c>
      <c r="B915" s="3">
        <v>45326</v>
      </c>
      <c r="C915" s="2" t="s">
        <v>23</v>
      </c>
      <c r="D915" s="2" t="s">
        <v>24</v>
      </c>
      <c r="E915" s="4">
        <v>-567.98</v>
      </c>
      <c r="F915" s="2">
        <v>6300</v>
      </c>
      <c r="G915" s="2" t="s">
        <v>10</v>
      </c>
    </row>
    <row r="916" spans="1:7" x14ac:dyDescent="0.25">
      <c r="A916" s="2" t="s">
        <v>957</v>
      </c>
      <c r="B916" s="3">
        <v>45549</v>
      </c>
      <c r="C916" s="2" t="s">
        <v>27</v>
      </c>
      <c r="D916" s="2" t="s">
        <v>28</v>
      </c>
      <c r="E916" s="4">
        <v>-31.23</v>
      </c>
      <c r="F916" s="2">
        <v>6900</v>
      </c>
      <c r="G916" s="2" t="s">
        <v>10</v>
      </c>
    </row>
    <row r="917" spans="1:7" x14ac:dyDescent="0.25">
      <c r="A917" s="2" t="s">
        <v>958</v>
      </c>
      <c r="B917" s="3">
        <v>45449</v>
      </c>
      <c r="C917" s="2" t="s">
        <v>67</v>
      </c>
      <c r="D917" s="2" t="s">
        <v>59</v>
      </c>
      <c r="E917" s="4">
        <v>-253.82</v>
      </c>
      <c r="F917" s="2">
        <v>6200</v>
      </c>
      <c r="G917" s="2" t="s">
        <v>10</v>
      </c>
    </row>
    <row r="918" spans="1:7" x14ac:dyDescent="0.25">
      <c r="A918" s="2" t="s">
        <v>959</v>
      </c>
      <c r="B918" s="3">
        <v>45642</v>
      </c>
      <c r="C918" s="2" t="s">
        <v>67</v>
      </c>
      <c r="D918" s="2" t="s">
        <v>59</v>
      </c>
      <c r="E918" s="4">
        <v>-266.81</v>
      </c>
      <c r="F918" s="2">
        <v>6200</v>
      </c>
      <c r="G918" s="2" t="s">
        <v>10</v>
      </c>
    </row>
    <row r="919" spans="1:7" x14ac:dyDescent="0.25">
      <c r="A919" s="2" t="s">
        <v>960</v>
      </c>
      <c r="B919" s="3">
        <v>45458</v>
      </c>
      <c r="C919" s="2" t="s">
        <v>38</v>
      </c>
      <c r="D919" s="2" t="s">
        <v>39</v>
      </c>
      <c r="E919" s="4">
        <v>-6777.54</v>
      </c>
      <c r="F919" s="2">
        <v>6500</v>
      </c>
      <c r="G919" s="2" t="s">
        <v>10</v>
      </c>
    </row>
    <row r="920" spans="1:7" x14ac:dyDescent="0.25">
      <c r="A920" s="2" t="s">
        <v>961</v>
      </c>
      <c r="B920" s="3">
        <v>45332</v>
      </c>
      <c r="C920" s="2" t="s">
        <v>17</v>
      </c>
      <c r="D920" s="2" t="s">
        <v>18</v>
      </c>
      <c r="E920" s="4">
        <v>-8540.14</v>
      </c>
      <c r="F920" s="2">
        <v>5100</v>
      </c>
      <c r="G920" s="2" t="s">
        <v>10</v>
      </c>
    </row>
    <row r="921" spans="1:7" x14ac:dyDescent="0.25">
      <c r="A921" s="2" t="s">
        <v>962</v>
      </c>
      <c r="B921" s="3">
        <v>45442</v>
      </c>
      <c r="C921" s="2" t="s">
        <v>56</v>
      </c>
      <c r="D921" s="2" t="s">
        <v>18</v>
      </c>
      <c r="E921" s="4">
        <v>-7435.69</v>
      </c>
      <c r="F921" s="2">
        <v>5100</v>
      </c>
      <c r="G921" s="2" t="s">
        <v>10</v>
      </c>
    </row>
    <row r="922" spans="1:7" x14ac:dyDescent="0.25">
      <c r="A922" s="2" t="s">
        <v>963</v>
      </c>
      <c r="B922" s="3">
        <v>45375</v>
      </c>
      <c r="C922" s="2" t="s">
        <v>116</v>
      </c>
      <c r="D922" s="2" t="s">
        <v>35</v>
      </c>
      <c r="E922" s="4">
        <v>5807.25</v>
      </c>
      <c r="F922" s="2">
        <v>4000</v>
      </c>
      <c r="G922" s="2" t="s">
        <v>10</v>
      </c>
    </row>
    <row r="923" spans="1:7" x14ac:dyDescent="0.25">
      <c r="A923" s="2" t="s">
        <v>964</v>
      </c>
      <c r="B923" s="3">
        <v>45569</v>
      </c>
      <c r="C923" s="2" t="s">
        <v>38</v>
      </c>
      <c r="D923" s="2" t="s">
        <v>39</v>
      </c>
      <c r="E923" s="4">
        <v>-1790.33</v>
      </c>
      <c r="F923" s="2">
        <v>6500</v>
      </c>
      <c r="G923" s="2" t="s">
        <v>10</v>
      </c>
    </row>
    <row r="924" spans="1:7" x14ac:dyDescent="0.25">
      <c r="A924" s="2" t="s">
        <v>965</v>
      </c>
      <c r="B924" s="3">
        <v>45356</v>
      </c>
      <c r="C924" s="2" t="s">
        <v>12</v>
      </c>
      <c r="D924" s="2" t="s">
        <v>13</v>
      </c>
      <c r="E924" s="4">
        <v>-2276.5</v>
      </c>
      <c r="F924" s="2">
        <v>6400</v>
      </c>
      <c r="G924" s="2" t="s">
        <v>10</v>
      </c>
    </row>
    <row r="925" spans="1:7" x14ac:dyDescent="0.25">
      <c r="A925" s="2" t="s">
        <v>966</v>
      </c>
      <c r="B925" s="3">
        <v>45400</v>
      </c>
      <c r="C925" s="2" t="s">
        <v>76</v>
      </c>
      <c r="D925" s="2" t="s">
        <v>28</v>
      </c>
      <c r="E925" s="4">
        <v>-23.46</v>
      </c>
      <c r="F925" s="2">
        <v>6900</v>
      </c>
      <c r="G925" s="2" t="s">
        <v>10</v>
      </c>
    </row>
    <row r="926" spans="1:7" x14ac:dyDescent="0.25">
      <c r="A926" s="2" t="s">
        <v>967</v>
      </c>
      <c r="B926" s="3">
        <v>45318</v>
      </c>
      <c r="C926" s="2" t="s">
        <v>81</v>
      </c>
      <c r="D926" s="2" t="s">
        <v>18</v>
      </c>
      <c r="E926" s="4">
        <v>-3197.33</v>
      </c>
      <c r="F926" s="2">
        <v>5100</v>
      </c>
      <c r="G926" s="2" t="s">
        <v>10</v>
      </c>
    </row>
    <row r="927" spans="1:7" x14ac:dyDescent="0.25">
      <c r="A927" s="2" t="s">
        <v>968</v>
      </c>
      <c r="B927" s="3">
        <v>45302</v>
      </c>
      <c r="C927" s="2" t="s">
        <v>17</v>
      </c>
      <c r="D927" s="2" t="s">
        <v>18</v>
      </c>
      <c r="E927" s="4">
        <v>-1977.64</v>
      </c>
      <c r="F927" s="2">
        <v>5100</v>
      </c>
      <c r="G927" s="2" t="s">
        <v>10</v>
      </c>
    </row>
    <row r="928" spans="1:7" x14ac:dyDescent="0.25">
      <c r="A928" s="2" t="s">
        <v>969</v>
      </c>
      <c r="B928" s="3">
        <v>45418</v>
      </c>
      <c r="C928" s="2" t="s">
        <v>17</v>
      </c>
      <c r="D928" s="2" t="s">
        <v>18</v>
      </c>
      <c r="E928" s="4">
        <v>-6295.28</v>
      </c>
      <c r="F928" s="2">
        <v>5100</v>
      </c>
      <c r="G928" s="2" t="s">
        <v>10</v>
      </c>
    </row>
    <row r="929" spans="1:7" x14ac:dyDescent="0.25">
      <c r="A929" s="2" t="s">
        <v>970</v>
      </c>
      <c r="B929" s="3">
        <v>45443</v>
      </c>
      <c r="C929" s="2" t="s">
        <v>71</v>
      </c>
      <c r="D929" s="2" t="s">
        <v>59</v>
      </c>
      <c r="E929" s="4">
        <v>-718.99</v>
      </c>
      <c r="F929" s="2">
        <v>6200</v>
      </c>
      <c r="G929" s="2" t="s">
        <v>10</v>
      </c>
    </row>
    <row r="930" spans="1:7" x14ac:dyDescent="0.25">
      <c r="A930" s="2" t="s">
        <v>971</v>
      </c>
      <c r="B930" s="3">
        <v>45395</v>
      </c>
      <c r="C930" s="2" t="s">
        <v>69</v>
      </c>
      <c r="D930" s="2" t="s">
        <v>39</v>
      </c>
      <c r="E930" s="4">
        <v>-1527.38</v>
      </c>
      <c r="F930" s="2">
        <v>6500</v>
      </c>
      <c r="G930" s="2" t="s">
        <v>10</v>
      </c>
    </row>
    <row r="931" spans="1:7" x14ac:dyDescent="0.25">
      <c r="A931" s="2" t="s">
        <v>972</v>
      </c>
      <c r="B931" s="3">
        <v>45583</v>
      </c>
      <c r="C931" s="2" t="s">
        <v>58</v>
      </c>
      <c r="D931" s="2" t="s">
        <v>59</v>
      </c>
      <c r="E931" s="4">
        <v>-923.24</v>
      </c>
      <c r="F931" s="2">
        <v>6200</v>
      </c>
      <c r="G931" s="2" t="s">
        <v>10</v>
      </c>
    </row>
    <row r="932" spans="1:7" x14ac:dyDescent="0.25">
      <c r="A932" s="2" t="s">
        <v>973</v>
      </c>
      <c r="B932" s="3">
        <v>45407</v>
      </c>
      <c r="C932" s="2" t="s">
        <v>76</v>
      </c>
      <c r="D932" s="2" t="s">
        <v>28</v>
      </c>
      <c r="E932" s="4">
        <v>-98.38</v>
      </c>
      <c r="F932" s="2">
        <v>6900</v>
      </c>
      <c r="G932" s="2" t="s">
        <v>10</v>
      </c>
    </row>
    <row r="933" spans="1:7" x14ac:dyDescent="0.25">
      <c r="A933" s="2" t="s">
        <v>974</v>
      </c>
      <c r="B933" s="3">
        <v>45629</v>
      </c>
      <c r="C933" s="2" t="s">
        <v>127</v>
      </c>
      <c r="D933" s="2" t="s">
        <v>24</v>
      </c>
      <c r="E933" s="4">
        <v>-837.66</v>
      </c>
      <c r="F933" s="2">
        <v>6300</v>
      </c>
      <c r="G933" s="2" t="s">
        <v>10</v>
      </c>
    </row>
    <row r="934" spans="1:7" x14ac:dyDescent="0.25">
      <c r="A934" s="2" t="s">
        <v>975</v>
      </c>
      <c r="B934" s="3">
        <v>45319</v>
      </c>
      <c r="C934" s="2" t="s">
        <v>146</v>
      </c>
      <c r="D934" s="2" t="s">
        <v>31</v>
      </c>
      <c r="E934" s="4">
        <v>151.13999999999999</v>
      </c>
      <c r="F934" s="2">
        <v>4900</v>
      </c>
      <c r="G934" s="2" t="s">
        <v>10</v>
      </c>
    </row>
    <row r="935" spans="1:7" x14ac:dyDescent="0.25">
      <c r="A935" s="2" t="s">
        <v>976</v>
      </c>
      <c r="B935" s="3">
        <v>45416</v>
      </c>
      <c r="C935" s="2" t="s">
        <v>38</v>
      </c>
      <c r="D935" s="2" t="s">
        <v>39</v>
      </c>
      <c r="E935" s="4">
        <v>-4678.3599999999997</v>
      </c>
      <c r="F935" s="2">
        <v>6500</v>
      </c>
      <c r="G935" s="2" t="s">
        <v>10</v>
      </c>
    </row>
    <row r="936" spans="1:7" x14ac:dyDescent="0.25">
      <c r="A936" s="2" t="s">
        <v>977</v>
      </c>
      <c r="B936" s="3">
        <v>45312</v>
      </c>
      <c r="C936" s="2" t="s">
        <v>38</v>
      </c>
      <c r="D936" s="2" t="s">
        <v>39</v>
      </c>
      <c r="E936" s="4">
        <v>-3223.33</v>
      </c>
      <c r="F936" s="2">
        <v>6500</v>
      </c>
      <c r="G936" s="2" t="s">
        <v>10</v>
      </c>
    </row>
    <row r="937" spans="1:7" x14ac:dyDescent="0.25">
      <c r="A937" s="2" t="s">
        <v>978</v>
      </c>
      <c r="B937" s="3">
        <v>45438</v>
      </c>
      <c r="C937" s="2" t="s">
        <v>21</v>
      </c>
      <c r="D937" s="2" t="s">
        <v>13</v>
      </c>
      <c r="E937" s="4">
        <v>-215.17</v>
      </c>
      <c r="F937" s="2">
        <v>6400</v>
      </c>
      <c r="G937" s="2" t="s">
        <v>10</v>
      </c>
    </row>
    <row r="938" spans="1:7" x14ac:dyDescent="0.25">
      <c r="A938" s="2" t="s">
        <v>979</v>
      </c>
      <c r="B938" s="3">
        <v>45310</v>
      </c>
      <c r="C938" s="2" t="s">
        <v>27</v>
      </c>
      <c r="D938" s="2" t="s">
        <v>28</v>
      </c>
      <c r="E938" s="4">
        <v>-8.5500000000000007</v>
      </c>
      <c r="F938" s="2">
        <v>6900</v>
      </c>
      <c r="G938" s="2" t="s">
        <v>10</v>
      </c>
    </row>
    <row r="939" spans="1:7" x14ac:dyDescent="0.25">
      <c r="A939" s="2" t="s">
        <v>980</v>
      </c>
      <c r="B939" s="3">
        <v>45592</v>
      </c>
      <c r="C939" s="2" t="s">
        <v>97</v>
      </c>
      <c r="D939" s="2" t="s">
        <v>52</v>
      </c>
      <c r="E939" s="4">
        <v>-8900.7999999999993</v>
      </c>
      <c r="F939" s="2">
        <v>6000</v>
      </c>
      <c r="G939" s="2" t="s">
        <v>10</v>
      </c>
    </row>
    <row r="940" spans="1:7" x14ac:dyDescent="0.25">
      <c r="A940" s="2" t="s">
        <v>981</v>
      </c>
      <c r="B940" s="3">
        <v>45443</v>
      </c>
      <c r="C940" s="2" t="s">
        <v>15</v>
      </c>
      <c r="D940" s="2" t="s">
        <v>13</v>
      </c>
      <c r="E940" s="4">
        <v>-3117.16</v>
      </c>
      <c r="F940" s="2">
        <v>6400</v>
      </c>
      <c r="G940" s="2" t="s">
        <v>10</v>
      </c>
    </row>
    <row r="941" spans="1:7" x14ac:dyDescent="0.25">
      <c r="A941" s="2" t="s">
        <v>982</v>
      </c>
      <c r="B941" s="3">
        <v>45541</v>
      </c>
      <c r="C941" s="2" t="s">
        <v>116</v>
      </c>
      <c r="D941" s="2" t="s">
        <v>35</v>
      </c>
      <c r="E941" s="4">
        <v>15147.47</v>
      </c>
      <c r="F941" s="2">
        <v>4000</v>
      </c>
      <c r="G941" s="2" t="s">
        <v>10</v>
      </c>
    </row>
    <row r="942" spans="1:7" x14ac:dyDescent="0.25">
      <c r="A942" s="2" t="s">
        <v>983</v>
      </c>
      <c r="B942" s="3">
        <v>45309</v>
      </c>
      <c r="C942" s="2" t="s">
        <v>38</v>
      </c>
      <c r="D942" s="2" t="s">
        <v>39</v>
      </c>
      <c r="E942" s="4">
        <v>-3651.67</v>
      </c>
      <c r="F942" s="2">
        <v>6500</v>
      </c>
      <c r="G942" s="2" t="s">
        <v>10</v>
      </c>
    </row>
    <row r="943" spans="1:7" x14ac:dyDescent="0.25">
      <c r="A943" s="2" t="s">
        <v>984</v>
      </c>
      <c r="B943" s="3">
        <v>45523</v>
      </c>
      <c r="C943" s="2" t="s">
        <v>48</v>
      </c>
      <c r="D943" s="2" t="s">
        <v>9</v>
      </c>
      <c r="E943" s="4">
        <v>-3059.73</v>
      </c>
      <c r="F943" s="2">
        <v>6100</v>
      </c>
      <c r="G943" s="2" t="s">
        <v>10</v>
      </c>
    </row>
    <row r="944" spans="1:7" x14ac:dyDescent="0.25">
      <c r="A944" s="2" t="s">
        <v>985</v>
      </c>
      <c r="B944" s="3">
        <v>45501</v>
      </c>
      <c r="C944" s="2" t="s">
        <v>12</v>
      </c>
      <c r="D944" s="2" t="s">
        <v>13</v>
      </c>
      <c r="E944" s="4">
        <v>-2886.31</v>
      </c>
      <c r="F944" s="2">
        <v>6400</v>
      </c>
      <c r="G944" s="2" t="s">
        <v>10</v>
      </c>
    </row>
    <row r="945" spans="1:7" x14ac:dyDescent="0.25">
      <c r="A945" s="2" t="s">
        <v>986</v>
      </c>
      <c r="B945" s="3">
        <v>45455</v>
      </c>
      <c r="C945" s="2" t="s">
        <v>63</v>
      </c>
      <c r="D945" s="2" t="s">
        <v>52</v>
      </c>
      <c r="E945" s="4">
        <v>-10142.84</v>
      </c>
      <c r="F945" s="2">
        <v>6000</v>
      </c>
      <c r="G945" s="2" t="s">
        <v>10</v>
      </c>
    </row>
    <row r="946" spans="1:7" x14ac:dyDescent="0.25">
      <c r="A946" s="2" t="s">
        <v>987</v>
      </c>
      <c r="B946" s="3">
        <v>45621</v>
      </c>
      <c r="C946" s="2" t="s">
        <v>116</v>
      </c>
      <c r="D946" s="2" t="s">
        <v>35</v>
      </c>
      <c r="E946" s="4">
        <v>6483.02</v>
      </c>
      <c r="F946" s="2">
        <v>4000</v>
      </c>
      <c r="G946" s="2" t="s">
        <v>10</v>
      </c>
    </row>
    <row r="947" spans="1:7" x14ac:dyDescent="0.25">
      <c r="A947" s="2" t="s">
        <v>988</v>
      </c>
      <c r="B947" s="3">
        <v>45614</v>
      </c>
      <c r="C947" s="2" t="s">
        <v>195</v>
      </c>
      <c r="D947" s="2" t="s">
        <v>28</v>
      </c>
      <c r="E947" s="4">
        <v>-95.91</v>
      </c>
      <c r="F947" s="2">
        <v>6900</v>
      </c>
      <c r="G947" s="2" t="s">
        <v>10</v>
      </c>
    </row>
    <row r="948" spans="1:7" x14ac:dyDescent="0.25">
      <c r="A948" s="2" t="s">
        <v>989</v>
      </c>
      <c r="B948" s="3">
        <v>45389</v>
      </c>
      <c r="C948" s="2" t="s">
        <v>44</v>
      </c>
      <c r="D948" s="2" t="s">
        <v>9</v>
      </c>
      <c r="E948" s="4">
        <v>-1062.79</v>
      </c>
      <c r="F948" s="2">
        <v>6100</v>
      </c>
      <c r="G948" s="2" t="s">
        <v>10</v>
      </c>
    </row>
    <row r="949" spans="1:7" x14ac:dyDescent="0.25">
      <c r="A949" s="2" t="s">
        <v>990</v>
      </c>
      <c r="B949" s="3">
        <v>45381</v>
      </c>
      <c r="C949" s="2" t="s">
        <v>27</v>
      </c>
      <c r="D949" s="2" t="s">
        <v>28</v>
      </c>
      <c r="E949" s="4">
        <v>-148.06</v>
      </c>
      <c r="F949" s="2">
        <v>6900</v>
      </c>
      <c r="G949" s="2" t="s">
        <v>10</v>
      </c>
    </row>
    <row r="950" spans="1:7" x14ac:dyDescent="0.25">
      <c r="A950" s="2" t="s">
        <v>991</v>
      </c>
      <c r="B950" s="3">
        <v>45364</v>
      </c>
      <c r="C950" s="2" t="s">
        <v>30</v>
      </c>
      <c r="D950" s="2" t="s">
        <v>31</v>
      </c>
      <c r="E950" s="4">
        <v>159.78</v>
      </c>
      <c r="F950" s="2">
        <v>4900</v>
      </c>
      <c r="G950" s="2" t="s">
        <v>10</v>
      </c>
    </row>
    <row r="951" spans="1:7" x14ac:dyDescent="0.25">
      <c r="A951" s="2" t="s">
        <v>992</v>
      </c>
      <c r="B951" s="3">
        <v>45330</v>
      </c>
      <c r="C951" s="2" t="s">
        <v>51</v>
      </c>
      <c r="D951" s="2" t="s">
        <v>52</v>
      </c>
      <c r="E951" s="4">
        <v>-7639.9</v>
      </c>
      <c r="F951" s="2">
        <v>6000</v>
      </c>
      <c r="G951" s="2" t="s">
        <v>10</v>
      </c>
    </row>
    <row r="952" spans="1:7" x14ac:dyDescent="0.25">
      <c r="A952" s="2" t="s">
        <v>993</v>
      </c>
      <c r="B952" s="3">
        <v>45324</v>
      </c>
      <c r="C952" s="2" t="s">
        <v>116</v>
      </c>
      <c r="D952" s="2" t="s">
        <v>35</v>
      </c>
      <c r="E952" s="4">
        <v>12549.41</v>
      </c>
      <c r="F952" s="2">
        <v>4000</v>
      </c>
      <c r="G952" s="2" t="s">
        <v>10</v>
      </c>
    </row>
    <row r="953" spans="1:7" x14ac:dyDescent="0.25">
      <c r="A953" s="2" t="s">
        <v>994</v>
      </c>
      <c r="B953" s="3">
        <v>45563</v>
      </c>
      <c r="C953" s="2" t="s">
        <v>127</v>
      </c>
      <c r="D953" s="2" t="s">
        <v>24</v>
      </c>
      <c r="E953" s="4">
        <v>-820.62</v>
      </c>
      <c r="F953" s="2">
        <v>6300</v>
      </c>
      <c r="G953" s="2" t="s">
        <v>10</v>
      </c>
    </row>
    <row r="954" spans="1:7" x14ac:dyDescent="0.25">
      <c r="A954" s="2" t="s">
        <v>995</v>
      </c>
      <c r="B954" s="3">
        <v>45560</v>
      </c>
      <c r="C954" s="2" t="s">
        <v>97</v>
      </c>
      <c r="D954" s="2" t="s">
        <v>52</v>
      </c>
      <c r="E954" s="4">
        <v>-4795.3900000000003</v>
      </c>
      <c r="F954" s="2">
        <v>6000</v>
      </c>
      <c r="G954" s="2" t="s">
        <v>10</v>
      </c>
    </row>
    <row r="955" spans="1:7" x14ac:dyDescent="0.25">
      <c r="A955" s="2" t="s">
        <v>996</v>
      </c>
      <c r="B955" s="3">
        <v>45336</v>
      </c>
      <c r="C955" s="2" t="s">
        <v>146</v>
      </c>
      <c r="D955" s="2" t="s">
        <v>31</v>
      </c>
      <c r="E955" s="4">
        <v>229.26</v>
      </c>
      <c r="F955" s="2">
        <v>4900</v>
      </c>
      <c r="G955" s="2" t="s">
        <v>10</v>
      </c>
    </row>
    <row r="956" spans="1:7" x14ac:dyDescent="0.25">
      <c r="A956" s="2" t="s">
        <v>997</v>
      </c>
      <c r="B956" s="3">
        <v>45336</v>
      </c>
      <c r="C956" s="2" t="s">
        <v>146</v>
      </c>
      <c r="D956" s="2" t="s">
        <v>31</v>
      </c>
      <c r="E956" s="4">
        <v>388.23</v>
      </c>
      <c r="F956" s="2">
        <v>4900</v>
      </c>
      <c r="G956" s="2" t="s">
        <v>10</v>
      </c>
    </row>
    <row r="957" spans="1:7" x14ac:dyDescent="0.25">
      <c r="A957" s="2" t="s">
        <v>998</v>
      </c>
      <c r="B957" s="3">
        <v>45576</v>
      </c>
      <c r="C957" s="2" t="s">
        <v>146</v>
      </c>
      <c r="D957" s="2" t="s">
        <v>31</v>
      </c>
      <c r="E957" s="4">
        <v>203.64</v>
      </c>
      <c r="F957" s="2">
        <v>4900</v>
      </c>
      <c r="G957" s="2" t="s">
        <v>10</v>
      </c>
    </row>
    <row r="958" spans="1:7" x14ac:dyDescent="0.25">
      <c r="A958" s="2" t="s">
        <v>999</v>
      </c>
      <c r="B958" s="3">
        <v>45651</v>
      </c>
      <c r="C958" s="2" t="s">
        <v>17</v>
      </c>
      <c r="D958" s="2" t="s">
        <v>18</v>
      </c>
      <c r="E958" s="4">
        <v>-2576.71</v>
      </c>
      <c r="F958" s="2">
        <v>5100</v>
      </c>
      <c r="G958" s="2" t="s">
        <v>10</v>
      </c>
    </row>
    <row r="959" spans="1:7" x14ac:dyDescent="0.25">
      <c r="A959" s="2" t="s">
        <v>1000</v>
      </c>
      <c r="B959" s="3">
        <v>45505</v>
      </c>
      <c r="C959" s="2" t="s">
        <v>81</v>
      </c>
      <c r="D959" s="2" t="s">
        <v>18</v>
      </c>
      <c r="E959" s="4">
        <v>-1365.4</v>
      </c>
      <c r="F959" s="2">
        <v>5100</v>
      </c>
      <c r="G959" s="2" t="s">
        <v>10</v>
      </c>
    </row>
    <row r="960" spans="1:7" x14ac:dyDescent="0.25">
      <c r="A960" s="2" t="s">
        <v>1001</v>
      </c>
      <c r="B960" s="3">
        <v>45606</v>
      </c>
      <c r="C960" s="2" t="s">
        <v>17</v>
      </c>
      <c r="D960" s="2" t="s">
        <v>18</v>
      </c>
      <c r="E960" s="4">
        <v>-2198.56</v>
      </c>
      <c r="F960" s="2">
        <v>5100</v>
      </c>
      <c r="G960" s="2" t="s">
        <v>10</v>
      </c>
    </row>
    <row r="961" spans="1:7" x14ac:dyDescent="0.25">
      <c r="A961" s="2" t="s">
        <v>1002</v>
      </c>
      <c r="B961" s="3">
        <v>45596</v>
      </c>
      <c r="C961" s="2" t="s">
        <v>12</v>
      </c>
      <c r="D961" s="2" t="s">
        <v>13</v>
      </c>
      <c r="E961" s="4">
        <v>-1459.2</v>
      </c>
      <c r="F961" s="2">
        <v>6400</v>
      </c>
      <c r="G961" s="2" t="s">
        <v>10</v>
      </c>
    </row>
    <row r="962" spans="1:7" x14ac:dyDescent="0.25">
      <c r="A962" s="2" t="s">
        <v>1003</v>
      </c>
      <c r="B962" s="3">
        <v>45378</v>
      </c>
      <c r="C962" s="2" t="s">
        <v>27</v>
      </c>
      <c r="D962" s="2" t="s">
        <v>28</v>
      </c>
      <c r="E962" s="4">
        <v>-147.30000000000001</v>
      </c>
      <c r="F962" s="2">
        <v>6900</v>
      </c>
      <c r="G962" s="2" t="s">
        <v>10</v>
      </c>
    </row>
    <row r="963" spans="1:7" x14ac:dyDescent="0.25">
      <c r="A963" s="2" t="s">
        <v>1004</v>
      </c>
      <c r="B963" s="3">
        <v>45529</v>
      </c>
      <c r="C963" s="2" t="s">
        <v>44</v>
      </c>
      <c r="D963" s="2" t="s">
        <v>9</v>
      </c>
      <c r="E963" s="4">
        <v>-3589.74</v>
      </c>
      <c r="F963" s="2">
        <v>6100</v>
      </c>
      <c r="G963" s="2" t="s">
        <v>10</v>
      </c>
    </row>
    <row r="964" spans="1:7" x14ac:dyDescent="0.25">
      <c r="A964" s="2" t="s">
        <v>1005</v>
      </c>
      <c r="B964" s="3">
        <v>45331</v>
      </c>
      <c r="C964" s="2" t="s">
        <v>127</v>
      </c>
      <c r="D964" s="2" t="s">
        <v>24</v>
      </c>
      <c r="E964" s="4">
        <v>-479.58</v>
      </c>
      <c r="F964" s="2">
        <v>6300</v>
      </c>
      <c r="G964" s="2" t="s">
        <v>10</v>
      </c>
    </row>
    <row r="965" spans="1:7" x14ac:dyDescent="0.25">
      <c r="A965" s="2" t="s">
        <v>1006</v>
      </c>
      <c r="B965" s="3">
        <v>45495</v>
      </c>
      <c r="C965" s="2" t="s">
        <v>79</v>
      </c>
      <c r="D965" s="2" t="s">
        <v>31</v>
      </c>
      <c r="E965" s="4">
        <v>272.27999999999997</v>
      </c>
      <c r="F965" s="2">
        <v>4900</v>
      </c>
      <c r="G965" s="2" t="s">
        <v>10</v>
      </c>
    </row>
    <row r="966" spans="1:7" x14ac:dyDescent="0.25">
      <c r="A966" s="2" t="s">
        <v>1007</v>
      </c>
      <c r="B966" s="3">
        <v>45559</v>
      </c>
      <c r="C966" s="2" t="s">
        <v>23</v>
      </c>
      <c r="D966" s="2" t="s">
        <v>24</v>
      </c>
      <c r="E966" s="4">
        <v>-376.39</v>
      </c>
      <c r="F966" s="2">
        <v>6300</v>
      </c>
      <c r="G966" s="2" t="s">
        <v>10</v>
      </c>
    </row>
    <row r="967" spans="1:7" x14ac:dyDescent="0.25">
      <c r="A967" s="2" t="s">
        <v>1008</v>
      </c>
      <c r="B967" s="3">
        <v>45486</v>
      </c>
      <c r="C967" s="2" t="s">
        <v>42</v>
      </c>
      <c r="D967" s="2" t="s">
        <v>39</v>
      </c>
      <c r="E967" s="4">
        <v>-6290.36</v>
      </c>
      <c r="F967" s="2">
        <v>6500</v>
      </c>
      <c r="G967" s="2" t="s">
        <v>10</v>
      </c>
    </row>
    <row r="968" spans="1:7" x14ac:dyDescent="0.25">
      <c r="A968" s="2" t="s">
        <v>1009</v>
      </c>
      <c r="B968" s="3">
        <v>45388</v>
      </c>
      <c r="C968" s="2" t="s">
        <v>51</v>
      </c>
      <c r="D968" s="2" t="s">
        <v>52</v>
      </c>
      <c r="E968" s="4">
        <v>-10777.06</v>
      </c>
      <c r="F968" s="2">
        <v>6000</v>
      </c>
      <c r="G968" s="2" t="s">
        <v>10</v>
      </c>
    </row>
    <row r="969" spans="1:7" x14ac:dyDescent="0.25">
      <c r="A969" s="2" t="s">
        <v>1010</v>
      </c>
      <c r="B969" s="3">
        <v>45642</v>
      </c>
      <c r="C969" s="2" t="s">
        <v>17</v>
      </c>
      <c r="D969" s="2" t="s">
        <v>18</v>
      </c>
      <c r="E969" s="4">
        <v>-5970.36</v>
      </c>
      <c r="F969" s="2">
        <v>5100</v>
      </c>
      <c r="G969" s="2" t="s">
        <v>10</v>
      </c>
    </row>
    <row r="970" spans="1:7" x14ac:dyDescent="0.25">
      <c r="A970" s="2" t="s">
        <v>1011</v>
      </c>
      <c r="B970" s="3">
        <v>45360</v>
      </c>
      <c r="C970" s="2" t="s">
        <v>34</v>
      </c>
      <c r="D970" s="2" t="s">
        <v>35</v>
      </c>
      <c r="E970" s="4">
        <v>2260.33</v>
      </c>
      <c r="F970" s="2">
        <v>4000</v>
      </c>
      <c r="G970" s="2" t="s">
        <v>10</v>
      </c>
    </row>
    <row r="971" spans="1:7" x14ac:dyDescent="0.25">
      <c r="A971" s="2" t="s">
        <v>1012</v>
      </c>
      <c r="B971" s="3">
        <v>45597</v>
      </c>
      <c r="C971" s="2" t="s">
        <v>8</v>
      </c>
      <c r="D971" s="2" t="s">
        <v>9</v>
      </c>
      <c r="E971" s="4">
        <v>-2966.66</v>
      </c>
      <c r="F971" s="2">
        <v>6100</v>
      </c>
      <c r="G971" s="2" t="s">
        <v>10</v>
      </c>
    </row>
    <row r="972" spans="1:7" x14ac:dyDescent="0.25">
      <c r="A972" s="2" t="s">
        <v>1013</v>
      </c>
      <c r="B972" s="3">
        <v>45411</v>
      </c>
      <c r="C972" s="2" t="s">
        <v>30</v>
      </c>
      <c r="D972" s="2" t="s">
        <v>31</v>
      </c>
      <c r="E972" s="4">
        <v>217.88</v>
      </c>
      <c r="F972" s="2">
        <v>4900</v>
      </c>
      <c r="G972" s="2" t="s">
        <v>10</v>
      </c>
    </row>
    <row r="973" spans="1:7" x14ac:dyDescent="0.25">
      <c r="A973" s="2" t="s">
        <v>1014</v>
      </c>
      <c r="B973" s="3">
        <v>45423</v>
      </c>
      <c r="C973" s="2" t="s">
        <v>48</v>
      </c>
      <c r="D973" s="2" t="s">
        <v>9</v>
      </c>
      <c r="E973" s="4">
        <v>-2030.85</v>
      </c>
      <c r="F973" s="2">
        <v>6100</v>
      </c>
      <c r="G973" s="2" t="s">
        <v>10</v>
      </c>
    </row>
    <row r="974" spans="1:7" x14ac:dyDescent="0.25">
      <c r="A974" s="2" t="s">
        <v>1015</v>
      </c>
      <c r="B974" s="3">
        <v>45359</v>
      </c>
      <c r="C974" s="2" t="s">
        <v>103</v>
      </c>
      <c r="D974" s="2" t="s">
        <v>35</v>
      </c>
      <c r="E974" s="4">
        <v>11585.03</v>
      </c>
      <c r="F974" s="2">
        <v>4000</v>
      </c>
      <c r="G974" s="2" t="s">
        <v>10</v>
      </c>
    </row>
    <row r="975" spans="1:7" x14ac:dyDescent="0.25">
      <c r="A975" s="2" t="s">
        <v>1016</v>
      </c>
      <c r="B975" s="3">
        <v>45352</v>
      </c>
      <c r="C975" s="2" t="s">
        <v>58</v>
      </c>
      <c r="D975" s="2" t="s">
        <v>59</v>
      </c>
      <c r="E975" s="4">
        <v>-739.34</v>
      </c>
      <c r="F975" s="2">
        <v>6200</v>
      </c>
      <c r="G975" s="2" t="s">
        <v>10</v>
      </c>
    </row>
    <row r="976" spans="1:7" x14ac:dyDescent="0.25">
      <c r="A976" s="2" t="s">
        <v>1017</v>
      </c>
      <c r="B976" s="3">
        <v>45436</v>
      </c>
      <c r="C976" s="2" t="s">
        <v>38</v>
      </c>
      <c r="D976" s="2" t="s">
        <v>39</v>
      </c>
      <c r="E976" s="4">
        <v>-2099.11</v>
      </c>
      <c r="F976" s="2">
        <v>6500</v>
      </c>
      <c r="G976" s="2" t="s">
        <v>10</v>
      </c>
    </row>
    <row r="977" spans="1:7" x14ac:dyDescent="0.25">
      <c r="A977" s="2" t="s">
        <v>1018</v>
      </c>
      <c r="B977" s="3">
        <v>45602</v>
      </c>
      <c r="C977" s="2" t="s">
        <v>42</v>
      </c>
      <c r="D977" s="2" t="s">
        <v>39</v>
      </c>
      <c r="E977" s="4">
        <v>-4845.62</v>
      </c>
      <c r="F977" s="2">
        <v>6500</v>
      </c>
      <c r="G977" s="2" t="s">
        <v>10</v>
      </c>
    </row>
    <row r="978" spans="1:7" x14ac:dyDescent="0.25">
      <c r="A978" s="2" t="s">
        <v>1019</v>
      </c>
      <c r="B978" s="3">
        <v>45430</v>
      </c>
      <c r="C978" s="2" t="s">
        <v>23</v>
      </c>
      <c r="D978" s="2" t="s">
        <v>24</v>
      </c>
      <c r="E978" s="4">
        <v>-135.06</v>
      </c>
      <c r="F978" s="2">
        <v>6300</v>
      </c>
      <c r="G978" s="2" t="s">
        <v>10</v>
      </c>
    </row>
    <row r="979" spans="1:7" x14ac:dyDescent="0.25">
      <c r="A979" s="2" t="s">
        <v>1020</v>
      </c>
      <c r="B979" s="3">
        <v>45609</v>
      </c>
      <c r="C979" s="2" t="s">
        <v>94</v>
      </c>
      <c r="D979" s="2" t="s">
        <v>24</v>
      </c>
      <c r="E979" s="4">
        <v>-637.22</v>
      </c>
      <c r="F979" s="2">
        <v>6300</v>
      </c>
      <c r="G979" s="2" t="s">
        <v>10</v>
      </c>
    </row>
    <row r="980" spans="1:7" x14ac:dyDescent="0.25">
      <c r="A980" s="2" t="s">
        <v>1021</v>
      </c>
      <c r="B980" s="3">
        <v>45483</v>
      </c>
      <c r="C980" s="2" t="s">
        <v>58</v>
      </c>
      <c r="D980" s="2" t="s">
        <v>59</v>
      </c>
      <c r="E980" s="4">
        <v>-257.81</v>
      </c>
      <c r="F980" s="2">
        <v>6200</v>
      </c>
      <c r="G980" s="2" t="s">
        <v>10</v>
      </c>
    </row>
    <row r="981" spans="1:7" x14ac:dyDescent="0.25">
      <c r="A981" s="2" t="s">
        <v>1022</v>
      </c>
      <c r="B981" s="3">
        <v>45404</v>
      </c>
      <c r="C981" s="2" t="s">
        <v>42</v>
      </c>
      <c r="D981" s="2" t="s">
        <v>39</v>
      </c>
      <c r="E981" s="4">
        <v>-2170.77</v>
      </c>
      <c r="F981" s="2">
        <v>6500</v>
      </c>
      <c r="G981" s="2" t="s">
        <v>10</v>
      </c>
    </row>
    <row r="982" spans="1:7" x14ac:dyDescent="0.25">
      <c r="A982" s="2" t="s">
        <v>1023</v>
      </c>
      <c r="B982" s="3">
        <v>45407</v>
      </c>
      <c r="C982" s="2" t="s">
        <v>27</v>
      </c>
      <c r="D982" s="2" t="s">
        <v>28</v>
      </c>
      <c r="E982" s="4">
        <v>-138.66999999999999</v>
      </c>
      <c r="F982" s="2">
        <v>6900</v>
      </c>
      <c r="G982" s="2" t="s">
        <v>10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E975"/>
  <sheetViews>
    <sheetView zoomScaleNormal="100" workbookViewId="0">
      <pane ySplit="1" topLeftCell="A32" activePane="bottomLeft" state="frozen"/>
      <selection pane="bottomLeft"/>
    </sheetView>
  </sheetViews>
  <sheetFormatPr defaultColWidth="8.7109375" defaultRowHeight="15" x14ac:dyDescent="0.25"/>
  <cols>
    <col min="1" max="1" width="15" customWidth="1"/>
    <col min="2" max="2" width="12" customWidth="1"/>
    <col min="3" max="3" width="28" customWidth="1"/>
    <col min="4" max="4" width="11" customWidth="1"/>
    <col min="5" max="5" width="16" customWidth="1"/>
  </cols>
  <sheetData>
    <row r="1" spans="1:5" ht="27.75" customHeight="1" x14ac:dyDescent="0.25">
      <c r="A1" s="1" t="s">
        <v>0</v>
      </c>
      <c r="B1" s="1" t="s">
        <v>1</v>
      </c>
      <c r="C1" s="1" t="s">
        <v>2</v>
      </c>
      <c r="D1" s="1" t="s">
        <v>4</v>
      </c>
      <c r="E1" s="1" t="s">
        <v>6</v>
      </c>
    </row>
    <row r="2" spans="1:5" x14ac:dyDescent="0.25">
      <c r="A2" s="2" t="s">
        <v>350</v>
      </c>
      <c r="B2" s="3">
        <v>45655</v>
      </c>
      <c r="C2" s="2" t="s">
        <v>1024</v>
      </c>
      <c r="D2" s="4">
        <v>213.08</v>
      </c>
      <c r="E2" s="2" t="s">
        <v>10</v>
      </c>
    </row>
    <row r="3" spans="1:5" x14ac:dyDescent="0.25">
      <c r="A3" s="2" t="s">
        <v>635</v>
      </c>
      <c r="B3" s="3">
        <v>45548</v>
      </c>
      <c r="C3" s="2" t="s">
        <v>1025</v>
      </c>
      <c r="D3" s="4">
        <v>-3765.72</v>
      </c>
      <c r="E3" s="2" t="s">
        <v>10</v>
      </c>
    </row>
    <row r="4" spans="1:5" x14ac:dyDescent="0.25">
      <c r="A4" s="2" t="s">
        <v>888</v>
      </c>
      <c r="B4" s="3">
        <v>45580</v>
      </c>
      <c r="C4" s="2" t="s">
        <v>1026</v>
      </c>
      <c r="D4" s="4">
        <v>247.18</v>
      </c>
      <c r="E4" s="2" t="s">
        <v>10</v>
      </c>
    </row>
    <row r="5" spans="1:5" x14ac:dyDescent="0.25">
      <c r="A5" s="2" t="s">
        <v>217</v>
      </c>
      <c r="B5" s="3">
        <v>45497</v>
      </c>
      <c r="C5" s="2" t="s">
        <v>1027</v>
      </c>
      <c r="D5" s="4">
        <v>14027.99</v>
      </c>
      <c r="E5" s="2" t="s">
        <v>10</v>
      </c>
    </row>
    <row r="6" spans="1:5" x14ac:dyDescent="0.25">
      <c r="A6" s="2" t="s">
        <v>545</v>
      </c>
      <c r="B6" s="3">
        <v>45575</v>
      </c>
      <c r="C6" s="2" t="s">
        <v>1025</v>
      </c>
      <c r="D6" s="4">
        <v>-9235.18</v>
      </c>
      <c r="E6" s="2" t="s">
        <v>10</v>
      </c>
    </row>
    <row r="7" spans="1:5" x14ac:dyDescent="0.25">
      <c r="A7" s="2" t="s">
        <v>165</v>
      </c>
      <c r="B7" s="3">
        <v>45405</v>
      </c>
      <c r="C7" s="2" t="s">
        <v>1028</v>
      </c>
      <c r="D7" s="4">
        <v>-660.99</v>
      </c>
      <c r="E7" s="2" t="s">
        <v>10</v>
      </c>
    </row>
    <row r="8" spans="1:5" x14ac:dyDescent="0.25">
      <c r="A8" s="2" t="s">
        <v>806</v>
      </c>
      <c r="B8" s="3">
        <v>45615</v>
      </c>
      <c r="C8" s="2" t="s">
        <v>1029</v>
      </c>
      <c r="D8" s="4">
        <v>-1122.9100000000001</v>
      </c>
      <c r="E8" s="2" t="s">
        <v>10</v>
      </c>
    </row>
    <row r="9" spans="1:5" x14ac:dyDescent="0.25">
      <c r="A9" s="2" t="s">
        <v>524</v>
      </c>
      <c r="B9" s="3">
        <v>45364</v>
      </c>
      <c r="C9" s="2" t="s">
        <v>1030</v>
      </c>
      <c r="D9" s="4">
        <v>-2332.94</v>
      </c>
      <c r="E9" s="2" t="s">
        <v>10</v>
      </c>
    </row>
    <row r="10" spans="1:5" x14ac:dyDescent="0.25">
      <c r="A10" s="2" t="s">
        <v>204</v>
      </c>
      <c r="B10" s="3">
        <v>45364</v>
      </c>
      <c r="C10" s="2" t="s">
        <v>1031</v>
      </c>
      <c r="D10" s="4">
        <v>388.06</v>
      </c>
      <c r="E10" s="2" t="s">
        <v>10</v>
      </c>
    </row>
    <row r="11" spans="1:5" x14ac:dyDescent="0.25">
      <c r="A11" s="2" t="s">
        <v>72</v>
      </c>
      <c r="B11" s="3">
        <v>45344</v>
      </c>
      <c r="C11" s="2" t="s">
        <v>1032</v>
      </c>
      <c r="D11" s="4">
        <v>-2680.64</v>
      </c>
      <c r="E11" s="2" t="s">
        <v>10</v>
      </c>
    </row>
    <row r="12" spans="1:5" x14ac:dyDescent="0.25">
      <c r="A12" s="2" t="s">
        <v>193</v>
      </c>
      <c r="B12" s="3">
        <v>45480</v>
      </c>
      <c r="C12" s="2" t="s">
        <v>1033</v>
      </c>
      <c r="D12" s="4">
        <v>-9080.02</v>
      </c>
      <c r="E12" s="2" t="s">
        <v>10</v>
      </c>
    </row>
    <row r="13" spans="1:5" x14ac:dyDescent="0.25">
      <c r="A13" s="2" t="s">
        <v>269</v>
      </c>
      <c r="B13" s="3">
        <v>45451</v>
      </c>
      <c r="C13" s="2" t="s">
        <v>1034</v>
      </c>
      <c r="D13" s="4">
        <v>8207.25</v>
      </c>
      <c r="E13" s="2" t="s">
        <v>10</v>
      </c>
    </row>
    <row r="14" spans="1:5" x14ac:dyDescent="0.25">
      <c r="A14" s="2" t="s">
        <v>760</v>
      </c>
      <c r="B14" s="3">
        <v>45560</v>
      </c>
      <c r="C14" s="2" t="s">
        <v>1035</v>
      </c>
      <c r="D14" s="4">
        <v>-273.49</v>
      </c>
      <c r="E14" s="2" t="s">
        <v>10</v>
      </c>
    </row>
    <row r="15" spans="1:5" x14ac:dyDescent="0.25">
      <c r="A15" s="2" t="s">
        <v>1018</v>
      </c>
      <c r="B15" s="3">
        <v>45602</v>
      </c>
      <c r="C15" s="2" t="s">
        <v>1036</v>
      </c>
      <c r="D15" s="4">
        <v>-4845.62</v>
      </c>
      <c r="E15" s="2" t="s">
        <v>10</v>
      </c>
    </row>
    <row r="16" spans="1:5" x14ac:dyDescent="0.25">
      <c r="A16" s="2" t="s">
        <v>130</v>
      </c>
      <c r="B16" s="3">
        <v>45426</v>
      </c>
      <c r="C16" s="2" t="s">
        <v>1037</v>
      </c>
      <c r="D16" s="4">
        <v>-12003.16</v>
      </c>
      <c r="E16" s="2" t="s">
        <v>10</v>
      </c>
    </row>
    <row r="17" spans="1:5" x14ac:dyDescent="0.25">
      <c r="A17" s="2" t="s">
        <v>776</v>
      </c>
      <c r="B17" s="3">
        <v>45474</v>
      </c>
      <c r="C17" s="2" t="s">
        <v>1034</v>
      </c>
      <c r="D17" s="4">
        <v>1151.1600000000001</v>
      </c>
      <c r="E17" s="2" t="s">
        <v>10</v>
      </c>
    </row>
    <row r="18" spans="1:5" x14ac:dyDescent="0.25">
      <c r="A18" s="2" t="s">
        <v>885</v>
      </c>
      <c r="B18" s="3">
        <v>45540</v>
      </c>
      <c r="C18" s="2" t="s">
        <v>1034</v>
      </c>
      <c r="D18" s="4">
        <v>1261.21</v>
      </c>
      <c r="E18" s="2" t="s">
        <v>10</v>
      </c>
    </row>
    <row r="19" spans="1:5" x14ac:dyDescent="0.25">
      <c r="A19" s="2" t="s">
        <v>749</v>
      </c>
      <c r="B19" s="3">
        <v>45311</v>
      </c>
      <c r="C19" s="2" t="s">
        <v>1038</v>
      </c>
      <c r="D19" s="4">
        <v>-322.62</v>
      </c>
      <c r="E19" s="2" t="s">
        <v>10</v>
      </c>
    </row>
    <row r="20" spans="1:5" x14ac:dyDescent="0.25">
      <c r="A20" s="2" t="s">
        <v>967</v>
      </c>
      <c r="B20" s="3">
        <v>45321</v>
      </c>
      <c r="C20" s="2" t="s">
        <v>1039</v>
      </c>
      <c r="D20" s="4">
        <v>-3197.33</v>
      </c>
      <c r="E20" s="2" t="s">
        <v>10</v>
      </c>
    </row>
    <row r="21" spans="1:5" x14ac:dyDescent="0.25">
      <c r="A21" s="2" t="s">
        <v>1040</v>
      </c>
      <c r="B21" s="3">
        <v>45555</v>
      </c>
      <c r="C21" s="2" t="s">
        <v>1041</v>
      </c>
      <c r="D21" s="4">
        <v>-69.709999999999994</v>
      </c>
      <c r="E21" s="2" t="s">
        <v>10</v>
      </c>
    </row>
    <row r="22" spans="1:5" x14ac:dyDescent="0.25">
      <c r="A22" s="2" t="s">
        <v>871</v>
      </c>
      <c r="B22" s="3">
        <v>45622</v>
      </c>
      <c r="C22" s="2" t="s">
        <v>1028</v>
      </c>
      <c r="D22" s="4">
        <v>-719.81</v>
      </c>
      <c r="E22" s="2" t="s">
        <v>10</v>
      </c>
    </row>
    <row r="23" spans="1:5" x14ac:dyDescent="0.25">
      <c r="A23" s="2" t="s">
        <v>246</v>
      </c>
      <c r="B23" s="3">
        <v>45349</v>
      </c>
      <c r="C23" s="2" t="s">
        <v>1039</v>
      </c>
      <c r="D23" s="4">
        <v>-2296.2600000000002</v>
      </c>
      <c r="E23" s="2" t="s">
        <v>10</v>
      </c>
    </row>
    <row r="24" spans="1:5" x14ac:dyDescent="0.25">
      <c r="A24" s="2" t="s">
        <v>949</v>
      </c>
      <c r="B24" s="3">
        <v>45508</v>
      </c>
      <c r="C24" s="2" t="s">
        <v>1029</v>
      </c>
      <c r="D24" s="4">
        <v>-7347.26</v>
      </c>
      <c r="E24" s="2" t="s">
        <v>10</v>
      </c>
    </row>
    <row r="25" spans="1:5" x14ac:dyDescent="0.25">
      <c r="A25" s="2" t="s">
        <v>527</v>
      </c>
      <c r="B25" s="3">
        <v>45391</v>
      </c>
      <c r="C25" s="2" t="s">
        <v>1042</v>
      </c>
      <c r="D25" s="4">
        <v>-3637.51</v>
      </c>
      <c r="E25" s="2" t="s">
        <v>10</v>
      </c>
    </row>
    <row r="26" spans="1:5" x14ac:dyDescent="0.25">
      <c r="A26" s="2" t="s">
        <v>311</v>
      </c>
      <c r="B26" s="3">
        <v>45377</v>
      </c>
      <c r="C26" s="2" t="s">
        <v>1030</v>
      </c>
      <c r="D26" s="4">
        <v>-662.49</v>
      </c>
      <c r="E26" s="2" t="s">
        <v>10</v>
      </c>
    </row>
    <row r="27" spans="1:5" x14ac:dyDescent="0.25">
      <c r="A27" s="2" t="s">
        <v>444</v>
      </c>
      <c r="B27" s="3">
        <v>45519</v>
      </c>
      <c r="C27" s="2" t="s">
        <v>1043</v>
      </c>
      <c r="D27" s="4">
        <v>-2254.11</v>
      </c>
      <c r="E27" s="2" t="s">
        <v>10</v>
      </c>
    </row>
    <row r="28" spans="1:5" x14ac:dyDescent="0.25">
      <c r="A28" s="2" t="s">
        <v>270</v>
      </c>
      <c r="B28" s="3">
        <v>45335</v>
      </c>
      <c r="C28" s="2" t="s">
        <v>1039</v>
      </c>
      <c r="D28" s="4">
        <v>-2681.95</v>
      </c>
      <c r="E28" s="2" t="s">
        <v>10</v>
      </c>
    </row>
    <row r="29" spans="1:5" x14ac:dyDescent="0.25">
      <c r="A29" s="2" t="s">
        <v>609</v>
      </c>
      <c r="B29" s="3">
        <v>45296</v>
      </c>
      <c r="C29" s="2" t="s">
        <v>1044</v>
      </c>
      <c r="D29" s="4">
        <v>-2381.16</v>
      </c>
      <c r="E29" s="2" t="s">
        <v>10</v>
      </c>
    </row>
    <row r="30" spans="1:5" x14ac:dyDescent="0.25">
      <c r="A30" s="2" t="s">
        <v>863</v>
      </c>
      <c r="B30" s="3">
        <v>45457</v>
      </c>
      <c r="C30" s="2" t="s">
        <v>1043</v>
      </c>
      <c r="D30" s="4">
        <v>-5971.2</v>
      </c>
      <c r="E30" s="2" t="s">
        <v>10</v>
      </c>
    </row>
    <row r="31" spans="1:5" x14ac:dyDescent="0.25">
      <c r="A31" s="2" t="s">
        <v>677</v>
      </c>
      <c r="B31" s="3">
        <v>45301</v>
      </c>
      <c r="C31" s="2" t="s">
        <v>1035</v>
      </c>
      <c r="D31" s="4">
        <v>-198.46</v>
      </c>
      <c r="E31" s="2" t="s">
        <v>10</v>
      </c>
    </row>
    <row r="32" spans="1:5" x14ac:dyDescent="0.25">
      <c r="A32" s="2" t="s">
        <v>943</v>
      </c>
      <c r="B32" s="3">
        <v>45657</v>
      </c>
      <c r="C32" s="2" t="s">
        <v>1041</v>
      </c>
      <c r="D32" s="4">
        <v>-127.77</v>
      </c>
      <c r="E32" s="2" t="s">
        <v>10</v>
      </c>
    </row>
    <row r="33" spans="1:5" x14ac:dyDescent="0.25">
      <c r="A33" s="2" t="s">
        <v>333</v>
      </c>
      <c r="B33" s="3">
        <v>45582</v>
      </c>
      <c r="C33" s="2" t="s">
        <v>1045</v>
      </c>
      <c r="D33" s="4">
        <v>-428.17</v>
      </c>
      <c r="E33" s="2" t="s">
        <v>10</v>
      </c>
    </row>
    <row r="34" spans="1:5" x14ac:dyDescent="0.25">
      <c r="A34" s="2" t="s">
        <v>250</v>
      </c>
      <c r="B34" s="3">
        <v>45509</v>
      </c>
      <c r="C34" s="2" t="s">
        <v>1046</v>
      </c>
      <c r="D34" s="4">
        <v>-70.23</v>
      </c>
      <c r="E34" s="2" t="s">
        <v>10</v>
      </c>
    </row>
    <row r="35" spans="1:5" x14ac:dyDescent="0.25">
      <c r="A35" s="2" t="s">
        <v>661</v>
      </c>
      <c r="B35" s="3">
        <v>45365</v>
      </c>
      <c r="C35" s="2" t="s">
        <v>1035</v>
      </c>
      <c r="D35" s="4">
        <v>-597.35</v>
      </c>
      <c r="E35" s="2" t="s">
        <v>10</v>
      </c>
    </row>
    <row r="36" spans="1:5" x14ac:dyDescent="0.25">
      <c r="A36" s="2" t="s">
        <v>684</v>
      </c>
      <c r="B36" s="3">
        <v>45460</v>
      </c>
      <c r="C36" s="2" t="s">
        <v>1037</v>
      </c>
      <c r="D36" s="4">
        <v>-11936.47</v>
      </c>
      <c r="E36" s="2" t="s">
        <v>10</v>
      </c>
    </row>
    <row r="37" spans="1:5" x14ac:dyDescent="0.25">
      <c r="A37" s="2" t="s">
        <v>695</v>
      </c>
      <c r="B37" s="3">
        <v>45314</v>
      </c>
      <c r="C37" s="2" t="s">
        <v>1031</v>
      </c>
      <c r="D37" s="4">
        <v>283.58</v>
      </c>
      <c r="E37" s="2" t="s">
        <v>10</v>
      </c>
    </row>
    <row r="38" spans="1:5" x14ac:dyDescent="0.25">
      <c r="A38" s="2" t="s">
        <v>603</v>
      </c>
      <c r="B38" s="3">
        <v>45601</v>
      </c>
      <c r="C38" s="2" t="s">
        <v>1028</v>
      </c>
      <c r="D38" s="4">
        <v>-1107.1300000000001</v>
      </c>
      <c r="E38" s="2" t="s">
        <v>10</v>
      </c>
    </row>
    <row r="39" spans="1:5" x14ac:dyDescent="0.25">
      <c r="A39" s="2" t="s">
        <v>707</v>
      </c>
      <c r="B39" s="3">
        <v>45443</v>
      </c>
      <c r="C39" s="2" t="s">
        <v>1047</v>
      </c>
      <c r="D39" s="4">
        <v>-66.77</v>
      </c>
      <c r="E39" s="2" t="s">
        <v>10</v>
      </c>
    </row>
    <row r="40" spans="1:5" x14ac:dyDescent="0.25">
      <c r="A40" s="2" t="s">
        <v>374</v>
      </c>
      <c r="B40" s="3">
        <v>45310</v>
      </c>
      <c r="C40" s="2" t="s">
        <v>1048</v>
      </c>
      <c r="D40" s="4">
        <v>-59.63</v>
      </c>
      <c r="E40" s="2" t="s">
        <v>10</v>
      </c>
    </row>
    <row r="41" spans="1:5" x14ac:dyDescent="0.25">
      <c r="A41" s="2" t="s">
        <v>657</v>
      </c>
      <c r="B41" s="3">
        <v>45641</v>
      </c>
      <c r="C41" s="2" t="s">
        <v>1037</v>
      </c>
      <c r="D41" s="4">
        <v>-1956.43</v>
      </c>
      <c r="E41" s="2" t="s">
        <v>10</v>
      </c>
    </row>
    <row r="42" spans="1:5" x14ac:dyDescent="0.25">
      <c r="A42" s="2" t="s">
        <v>334</v>
      </c>
      <c r="B42" s="3">
        <v>45314</v>
      </c>
      <c r="C42" s="2" t="s">
        <v>1035</v>
      </c>
      <c r="D42" s="4">
        <v>-843.28</v>
      </c>
      <c r="E42" s="2" t="s">
        <v>10</v>
      </c>
    </row>
    <row r="43" spans="1:5" x14ac:dyDescent="0.25">
      <c r="A43" s="2" t="s">
        <v>425</v>
      </c>
      <c r="B43" s="3">
        <v>45360</v>
      </c>
      <c r="C43" s="2" t="s">
        <v>1049</v>
      </c>
      <c r="D43" s="4">
        <v>188081.1</v>
      </c>
      <c r="E43" s="2" t="s">
        <v>10</v>
      </c>
    </row>
    <row r="44" spans="1:5" x14ac:dyDescent="0.25">
      <c r="A44" s="2" t="s">
        <v>119</v>
      </c>
      <c r="B44" s="3">
        <v>45347</v>
      </c>
      <c r="C44" s="2" t="s">
        <v>1029</v>
      </c>
      <c r="D44" s="4">
        <v>-2385.7399999999998</v>
      </c>
      <c r="E44" s="2" t="s">
        <v>10</v>
      </c>
    </row>
    <row r="45" spans="1:5" x14ac:dyDescent="0.25">
      <c r="A45" s="2" t="s">
        <v>850</v>
      </c>
      <c r="B45" s="3">
        <v>45401</v>
      </c>
      <c r="C45" s="2" t="s">
        <v>1032</v>
      </c>
      <c r="D45" s="4">
        <v>-2878.61</v>
      </c>
      <c r="E45" s="2" t="s">
        <v>10</v>
      </c>
    </row>
    <row r="46" spans="1:5" x14ac:dyDescent="0.25">
      <c r="A46" s="2" t="s">
        <v>145</v>
      </c>
      <c r="B46" s="3">
        <v>45641</v>
      </c>
      <c r="C46" s="2" t="s">
        <v>1031</v>
      </c>
      <c r="D46" s="4">
        <v>313.05</v>
      </c>
      <c r="E46" s="2" t="s">
        <v>10</v>
      </c>
    </row>
    <row r="47" spans="1:5" x14ac:dyDescent="0.25">
      <c r="A47" s="2" t="s">
        <v>324</v>
      </c>
      <c r="B47" s="3">
        <v>45295</v>
      </c>
      <c r="C47" s="2" t="s">
        <v>1046</v>
      </c>
      <c r="D47" s="4">
        <v>-10700.81</v>
      </c>
      <c r="E47" s="2" t="s">
        <v>10</v>
      </c>
    </row>
    <row r="48" spans="1:5" x14ac:dyDescent="0.25">
      <c r="A48" s="2" t="s">
        <v>663</v>
      </c>
      <c r="B48" s="3">
        <v>45430</v>
      </c>
      <c r="C48" s="2" t="s">
        <v>1045</v>
      </c>
      <c r="D48" s="4">
        <v>-103.02</v>
      </c>
      <c r="E48" s="2" t="s">
        <v>10</v>
      </c>
    </row>
    <row r="49" spans="1:5" x14ac:dyDescent="0.25">
      <c r="A49" s="2" t="s">
        <v>428</v>
      </c>
      <c r="B49" s="3">
        <v>45445</v>
      </c>
      <c r="C49" s="2" t="s">
        <v>1039</v>
      </c>
      <c r="D49" s="4">
        <v>-14150.01</v>
      </c>
      <c r="E49" s="2" t="s">
        <v>10</v>
      </c>
    </row>
    <row r="50" spans="1:5" x14ac:dyDescent="0.25">
      <c r="A50" s="2" t="s">
        <v>824</v>
      </c>
      <c r="B50" s="3">
        <v>45656</v>
      </c>
      <c r="C50" s="2" t="s">
        <v>1027</v>
      </c>
      <c r="D50" s="4">
        <v>1793.77</v>
      </c>
      <c r="E50" s="2" t="s">
        <v>10</v>
      </c>
    </row>
    <row r="51" spans="1:5" x14ac:dyDescent="0.25">
      <c r="A51" s="2" t="s">
        <v>662</v>
      </c>
      <c r="B51" s="3">
        <v>45643</v>
      </c>
      <c r="C51" s="2" t="s">
        <v>1047</v>
      </c>
      <c r="D51" s="4">
        <v>-82.89</v>
      </c>
      <c r="E51" s="2" t="s">
        <v>10</v>
      </c>
    </row>
    <row r="52" spans="1:5" x14ac:dyDescent="0.25">
      <c r="A52" s="2" t="s">
        <v>50</v>
      </c>
      <c r="B52" s="3">
        <v>45571</v>
      </c>
      <c r="C52" s="2" t="s">
        <v>1033</v>
      </c>
      <c r="D52" s="4">
        <v>-9833.56</v>
      </c>
      <c r="E52" s="2" t="s">
        <v>10</v>
      </c>
    </row>
    <row r="53" spans="1:5" x14ac:dyDescent="0.25">
      <c r="A53" s="2" t="s">
        <v>117</v>
      </c>
      <c r="B53" s="3">
        <v>45401</v>
      </c>
      <c r="C53" s="2" t="s">
        <v>1045</v>
      </c>
      <c r="D53" s="4">
        <v>-380.84</v>
      </c>
      <c r="E53" s="2" t="s">
        <v>10</v>
      </c>
    </row>
    <row r="54" spans="1:5" x14ac:dyDescent="0.25">
      <c r="A54" s="2" t="s">
        <v>976</v>
      </c>
      <c r="B54" s="3">
        <v>45419</v>
      </c>
      <c r="C54" s="2" t="s">
        <v>1029</v>
      </c>
      <c r="D54" s="4">
        <v>-4678.3599999999997</v>
      </c>
      <c r="E54" s="2" t="s">
        <v>10</v>
      </c>
    </row>
    <row r="55" spans="1:5" x14ac:dyDescent="0.25">
      <c r="A55" s="2" t="s">
        <v>60</v>
      </c>
      <c r="B55" s="3">
        <v>45340</v>
      </c>
      <c r="C55" s="2" t="s">
        <v>1033</v>
      </c>
      <c r="D55" s="4">
        <v>-1946.79</v>
      </c>
      <c r="E55" s="2" t="s">
        <v>10</v>
      </c>
    </row>
    <row r="56" spans="1:5" x14ac:dyDescent="0.25">
      <c r="A56" s="2" t="s">
        <v>562</v>
      </c>
      <c r="B56" s="3">
        <v>45473</v>
      </c>
      <c r="C56" s="2" t="s">
        <v>1050</v>
      </c>
      <c r="D56" s="4">
        <v>-198.77</v>
      </c>
      <c r="E56" s="2" t="s">
        <v>10</v>
      </c>
    </row>
    <row r="57" spans="1:5" x14ac:dyDescent="0.25">
      <c r="A57" s="2" t="s">
        <v>474</v>
      </c>
      <c r="B57" s="3">
        <v>45412</v>
      </c>
      <c r="C57" s="2" t="s">
        <v>1024</v>
      </c>
      <c r="D57" s="4">
        <v>385.98</v>
      </c>
      <c r="E57" s="2" t="s">
        <v>10</v>
      </c>
    </row>
    <row r="58" spans="1:5" x14ac:dyDescent="0.25">
      <c r="A58" s="2" t="s">
        <v>993</v>
      </c>
      <c r="B58" s="3">
        <v>45326</v>
      </c>
      <c r="C58" s="2" t="s">
        <v>1034</v>
      </c>
      <c r="D58" s="4">
        <v>12549.41</v>
      </c>
      <c r="E58" s="2" t="s">
        <v>10</v>
      </c>
    </row>
    <row r="59" spans="1:5" x14ac:dyDescent="0.25">
      <c r="A59" s="2" t="s">
        <v>927</v>
      </c>
      <c r="B59" s="3">
        <v>45401</v>
      </c>
      <c r="C59" s="2" t="s">
        <v>1044</v>
      </c>
      <c r="D59" s="4">
        <v>-3477.92</v>
      </c>
      <c r="E59" s="2" t="s">
        <v>10</v>
      </c>
    </row>
    <row r="60" spans="1:5" x14ac:dyDescent="0.25">
      <c r="A60" s="2" t="s">
        <v>54</v>
      </c>
      <c r="B60" s="3">
        <v>45602</v>
      </c>
      <c r="C60" s="2" t="s">
        <v>1029</v>
      </c>
      <c r="D60" s="4">
        <v>-2710.97</v>
      </c>
      <c r="E60" s="2" t="s">
        <v>10</v>
      </c>
    </row>
    <row r="61" spans="1:5" x14ac:dyDescent="0.25">
      <c r="A61" s="2" t="s">
        <v>406</v>
      </c>
      <c r="B61" s="3">
        <v>45631</v>
      </c>
      <c r="C61" s="2" t="s">
        <v>1043</v>
      </c>
      <c r="D61" s="4">
        <v>-1500.4</v>
      </c>
      <c r="E61" s="2" t="s">
        <v>10</v>
      </c>
    </row>
    <row r="62" spans="1:5" x14ac:dyDescent="0.25">
      <c r="A62" s="2" t="s">
        <v>1023</v>
      </c>
      <c r="B62" s="3">
        <v>45409</v>
      </c>
      <c r="C62" s="2" t="s">
        <v>1041</v>
      </c>
      <c r="D62" s="4">
        <v>-138.66999999999999</v>
      </c>
      <c r="E62" s="2" t="s">
        <v>10</v>
      </c>
    </row>
    <row r="63" spans="1:5" x14ac:dyDescent="0.25">
      <c r="A63" s="2" t="s">
        <v>909</v>
      </c>
      <c r="B63" s="3">
        <v>45367</v>
      </c>
      <c r="C63" s="2" t="s">
        <v>1049</v>
      </c>
      <c r="D63" s="4">
        <v>23713.58</v>
      </c>
      <c r="E63" s="2" t="s">
        <v>10</v>
      </c>
    </row>
    <row r="64" spans="1:5" x14ac:dyDescent="0.25">
      <c r="A64" s="2" t="s">
        <v>408</v>
      </c>
      <c r="B64" s="3">
        <v>45309</v>
      </c>
      <c r="C64" s="2" t="s">
        <v>1034</v>
      </c>
      <c r="D64" s="4">
        <v>3897.04</v>
      </c>
      <c r="E64" s="2" t="s">
        <v>10</v>
      </c>
    </row>
    <row r="65" spans="1:5" x14ac:dyDescent="0.25">
      <c r="A65" s="2" t="s">
        <v>132</v>
      </c>
      <c r="B65" s="3">
        <v>45650</v>
      </c>
      <c r="C65" s="2" t="s">
        <v>1025</v>
      </c>
      <c r="D65" s="4">
        <v>-5456.44</v>
      </c>
      <c r="E65" s="2" t="s">
        <v>10</v>
      </c>
    </row>
    <row r="66" spans="1:5" x14ac:dyDescent="0.25">
      <c r="A66" s="2" t="s">
        <v>672</v>
      </c>
      <c r="B66" s="3">
        <v>45592</v>
      </c>
      <c r="C66" s="2" t="s">
        <v>1033</v>
      </c>
      <c r="D66" s="4">
        <v>-6169.22</v>
      </c>
      <c r="E66" s="2" t="s">
        <v>10</v>
      </c>
    </row>
    <row r="67" spans="1:5" x14ac:dyDescent="0.25">
      <c r="A67" s="2" t="s">
        <v>754</v>
      </c>
      <c r="B67" s="3">
        <v>45407</v>
      </c>
      <c r="C67" s="2" t="s">
        <v>1041</v>
      </c>
      <c r="D67" s="4">
        <v>228.18</v>
      </c>
      <c r="E67" s="2" t="s">
        <v>10</v>
      </c>
    </row>
    <row r="68" spans="1:5" x14ac:dyDescent="0.25">
      <c r="A68" s="2" t="s">
        <v>791</v>
      </c>
      <c r="B68" s="3">
        <v>45602</v>
      </c>
      <c r="C68" s="2" t="s">
        <v>1037</v>
      </c>
      <c r="D68" s="4">
        <v>-5625.4</v>
      </c>
      <c r="E68" s="2" t="s">
        <v>10</v>
      </c>
    </row>
    <row r="69" spans="1:5" x14ac:dyDescent="0.25">
      <c r="A69" s="2" t="s">
        <v>614</v>
      </c>
      <c r="B69" s="3">
        <v>45409</v>
      </c>
      <c r="C69" s="2" t="s">
        <v>1029</v>
      </c>
      <c r="D69" s="4">
        <v>-2409.66</v>
      </c>
      <c r="E69" s="2" t="s">
        <v>10</v>
      </c>
    </row>
    <row r="70" spans="1:5" x14ac:dyDescent="0.25">
      <c r="A70" s="2" t="s">
        <v>968</v>
      </c>
      <c r="B70" s="3">
        <v>45304</v>
      </c>
      <c r="C70" s="2" t="s">
        <v>1037</v>
      </c>
      <c r="D70" s="4">
        <v>-1977.64</v>
      </c>
      <c r="E70" s="2" t="s">
        <v>10</v>
      </c>
    </row>
    <row r="71" spans="1:5" x14ac:dyDescent="0.25">
      <c r="A71" s="2" t="s">
        <v>693</v>
      </c>
      <c r="B71" s="3">
        <v>45541</v>
      </c>
      <c r="C71" s="2" t="s">
        <v>1029</v>
      </c>
      <c r="D71" s="4">
        <v>-2289.8000000000002</v>
      </c>
      <c r="E71" s="2" t="s">
        <v>10</v>
      </c>
    </row>
    <row r="72" spans="1:5" x14ac:dyDescent="0.25">
      <c r="A72" s="2" t="s">
        <v>364</v>
      </c>
      <c r="B72" s="3">
        <v>45592</v>
      </c>
      <c r="C72" s="2" t="s">
        <v>1051</v>
      </c>
      <c r="D72" s="4">
        <v>-11446.86</v>
      </c>
      <c r="E72" s="2" t="s">
        <v>10</v>
      </c>
    </row>
    <row r="73" spans="1:5" x14ac:dyDescent="0.25">
      <c r="A73" s="2" t="s">
        <v>113</v>
      </c>
      <c r="B73" s="3">
        <v>45598</v>
      </c>
      <c r="C73" s="2" t="s">
        <v>1050</v>
      </c>
      <c r="D73" s="4">
        <v>-1039.72</v>
      </c>
      <c r="E73" s="2" t="s">
        <v>10</v>
      </c>
    </row>
    <row r="74" spans="1:5" x14ac:dyDescent="0.25">
      <c r="A74" s="2" t="s">
        <v>78</v>
      </c>
      <c r="B74" s="3">
        <v>45458</v>
      </c>
      <c r="C74" s="2" t="s">
        <v>1026</v>
      </c>
      <c r="D74" s="4">
        <v>64.489999999999995</v>
      </c>
      <c r="E74" s="2" t="s">
        <v>10</v>
      </c>
    </row>
    <row r="75" spans="1:5" x14ac:dyDescent="0.25">
      <c r="A75" s="2" t="s">
        <v>77</v>
      </c>
      <c r="B75" s="3">
        <v>45562</v>
      </c>
      <c r="C75" s="2" t="s">
        <v>1050</v>
      </c>
      <c r="D75" s="4">
        <v>-1013.37</v>
      </c>
      <c r="E75" s="2" t="s">
        <v>10</v>
      </c>
    </row>
    <row r="76" spans="1:5" x14ac:dyDescent="0.25">
      <c r="A76" s="2" t="s">
        <v>996</v>
      </c>
      <c r="B76" s="3">
        <v>45339</v>
      </c>
      <c r="C76" s="2" t="s">
        <v>1031</v>
      </c>
      <c r="D76" s="4">
        <v>229.26</v>
      </c>
      <c r="E76" s="2" t="s">
        <v>10</v>
      </c>
    </row>
    <row r="77" spans="1:5" x14ac:dyDescent="0.25">
      <c r="A77" s="2" t="s">
        <v>480</v>
      </c>
      <c r="B77" s="3">
        <v>45447</v>
      </c>
      <c r="C77" s="2" t="s">
        <v>1050</v>
      </c>
      <c r="D77" s="4">
        <v>-906.49</v>
      </c>
      <c r="E77" s="2" t="s">
        <v>10</v>
      </c>
    </row>
    <row r="78" spans="1:5" x14ac:dyDescent="0.25">
      <c r="A78" s="2" t="s">
        <v>986</v>
      </c>
      <c r="B78" s="3">
        <v>45456</v>
      </c>
      <c r="C78" s="2" t="s">
        <v>1051</v>
      </c>
      <c r="D78" s="4">
        <v>-10142.84</v>
      </c>
      <c r="E78" s="2" t="s">
        <v>10</v>
      </c>
    </row>
    <row r="79" spans="1:5" x14ac:dyDescent="0.25">
      <c r="A79" s="2" t="s">
        <v>617</v>
      </c>
      <c r="B79" s="3">
        <v>45316</v>
      </c>
      <c r="C79" s="2" t="s">
        <v>1026</v>
      </c>
      <c r="D79" s="4">
        <v>178.33</v>
      </c>
      <c r="E79" s="2" t="s">
        <v>10</v>
      </c>
    </row>
    <row r="80" spans="1:5" x14ac:dyDescent="0.25">
      <c r="A80" s="2" t="s">
        <v>533</v>
      </c>
      <c r="B80" s="3">
        <v>45389</v>
      </c>
      <c r="C80" s="2" t="s">
        <v>1038</v>
      </c>
      <c r="D80" s="4">
        <v>-564.5</v>
      </c>
      <c r="E80" s="2" t="s">
        <v>10</v>
      </c>
    </row>
    <row r="81" spans="1:5" x14ac:dyDescent="0.25">
      <c r="A81" s="2" t="s">
        <v>168</v>
      </c>
      <c r="B81" s="3">
        <v>45463</v>
      </c>
      <c r="C81" s="2" t="s">
        <v>1033</v>
      </c>
      <c r="D81" s="4">
        <v>-7998.62</v>
      </c>
      <c r="E81" s="2" t="s">
        <v>10</v>
      </c>
    </row>
    <row r="82" spans="1:5" x14ac:dyDescent="0.25">
      <c r="A82" s="2" t="s">
        <v>191</v>
      </c>
      <c r="B82" s="3">
        <v>45567</v>
      </c>
      <c r="C82" s="2" t="s">
        <v>1031</v>
      </c>
      <c r="D82" s="4">
        <v>104.09</v>
      </c>
      <c r="E82" s="2" t="s">
        <v>10</v>
      </c>
    </row>
    <row r="83" spans="1:5" x14ac:dyDescent="0.25">
      <c r="A83" s="2" t="s">
        <v>865</v>
      </c>
      <c r="B83" s="3">
        <v>45634</v>
      </c>
      <c r="C83" s="2" t="s">
        <v>1036</v>
      </c>
      <c r="D83" s="4">
        <v>-3251.55</v>
      </c>
      <c r="E83" s="2" t="s">
        <v>10</v>
      </c>
    </row>
    <row r="84" spans="1:5" x14ac:dyDescent="0.25">
      <c r="A84" s="2" t="s">
        <v>730</v>
      </c>
      <c r="B84" s="3">
        <v>45514</v>
      </c>
      <c r="C84" s="2" t="s">
        <v>1045</v>
      </c>
      <c r="D84" s="4">
        <v>-103.28</v>
      </c>
      <c r="E84" s="2" t="s">
        <v>10</v>
      </c>
    </row>
    <row r="85" spans="1:5" x14ac:dyDescent="0.25">
      <c r="A85" s="2" t="s">
        <v>292</v>
      </c>
      <c r="B85" s="3">
        <v>45383</v>
      </c>
      <c r="C85" s="2" t="s">
        <v>1029</v>
      </c>
      <c r="D85" s="4">
        <v>-1605.2</v>
      </c>
      <c r="E85" s="2" t="s">
        <v>10</v>
      </c>
    </row>
    <row r="86" spans="1:5" x14ac:dyDescent="0.25">
      <c r="A86" s="2" t="s">
        <v>1009</v>
      </c>
      <c r="B86" s="3">
        <v>45391</v>
      </c>
      <c r="C86" s="2" t="s">
        <v>1033</v>
      </c>
      <c r="D86" s="4">
        <v>-10777.06</v>
      </c>
      <c r="E86" s="2" t="s">
        <v>10</v>
      </c>
    </row>
    <row r="87" spans="1:5" x14ac:dyDescent="0.25">
      <c r="A87" s="2" t="s">
        <v>253</v>
      </c>
      <c r="B87" s="3">
        <v>45446</v>
      </c>
      <c r="C87" s="2" t="s">
        <v>1024</v>
      </c>
      <c r="D87" s="4">
        <v>285.45999999999998</v>
      </c>
      <c r="E87" s="2" t="s">
        <v>10</v>
      </c>
    </row>
    <row r="88" spans="1:5" x14ac:dyDescent="0.25">
      <c r="A88" s="2" t="s">
        <v>46</v>
      </c>
      <c r="B88" s="3">
        <v>45607</v>
      </c>
      <c r="C88" s="2" t="s">
        <v>1037</v>
      </c>
      <c r="D88" s="4">
        <v>-12213.94</v>
      </c>
      <c r="E88" s="2" t="s">
        <v>10</v>
      </c>
    </row>
    <row r="89" spans="1:5" x14ac:dyDescent="0.25">
      <c r="A89" s="2" t="s">
        <v>348</v>
      </c>
      <c r="B89" s="3">
        <v>45458</v>
      </c>
      <c r="C89" s="2" t="s">
        <v>1030</v>
      </c>
      <c r="D89" s="4">
        <v>-593.44000000000005</v>
      </c>
      <c r="E89" s="2" t="s">
        <v>10</v>
      </c>
    </row>
    <row r="90" spans="1:5" x14ac:dyDescent="0.25">
      <c r="A90" s="2" t="s">
        <v>645</v>
      </c>
      <c r="B90" s="3">
        <v>45635</v>
      </c>
      <c r="C90" s="2" t="s">
        <v>1032</v>
      </c>
      <c r="D90" s="4">
        <v>-549.26</v>
      </c>
      <c r="E90" s="2" t="s">
        <v>10</v>
      </c>
    </row>
    <row r="91" spans="1:5" x14ac:dyDescent="0.25">
      <c r="A91" s="2" t="s">
        <v>984</v>
      </c>
      <c r="B91" s="3">
        <v>45523</v>
      </c>
      <c r="C91" s="2" t="s">
        <v>1043</v>
      </c>
      <c r="D91" s="4">
        <v>-3059.73</v>
      </c>
      <c r="E91" s="2" t="s">
        <v>10</v>
      </c>
    </row>
    <row r="92" spans="1:5" x14ac:dyDescent="0.25">
      <c r="A92" s="2" t="s">
        <v>370</v>
      </c>
      <c r="B92" s="3">
        <v>45394</v>
      </c>
      <c r="C92" s="2" t="s">
        <v>1027</v>
      </c>
      <c r="D92" s="4">
        <v>2650.1</v>
      </c>
      <c r="E92" s="2" t="s">
        <v>10</v>
      </c>
    </row>
    <row r="93" spans="1:5" x14ac:dyDescent="0.25">
      <c r="A93" s="2" t="s">
        <v>327</v>
      </c>
      <c r="B93" s="3">
        <v>45304</v>
      </c>
      <c r="C93" s="2" t="s">
        <v>1051</v>
      </c>
      <c r="D93" s="4">
        <v>-7523.23</v>
      </c>
      <c r="E93" s="2" t="s">
        <v>10</v>
      </c>
    </row>
    <row r="94" spans="1:5" x14ac:dyDescent="0.25">
      <c r="A94" s="2" t="s">
        <v>234</v>
      </c>
      <c r="B94" s="3">
        <v>45358</v>
      </c>
      <c r="C94" s="2" t="s">
        <v>1033</v>
      </c>
      <c r="D94" s="4">
        <v>-11294.19</v>
      </c>
      <c r="E94" s="2" t="s">
        <v>10</v>
      </c>
    </row>
    <row r="95" spans="1:5" x14ac:dyDescent="0.25">
      <c r="A95" s="2" t="s">
        <v>110</v>
      </c>
      <c r="B95" s="3">
        <v>45296</v>
      </c>
      <c r="C95" s="2" t="s">
        <v>1042</v>
      </c>
      <c r="D95" s="4">
        <v>-1206.4100000000001</v>
      </c>
      <c r="E95" s="2" t="s">
        <v>10</v>
      </c>
    </row>
    <row r="96" spans="1:5" x14ac:dyDescent="0.25">
      <c r="A96" s="2" t="s">
        <v>61</v>
      </c>
      <c r="B96" s="3">
        <v>45409</v>
      </c>
      <c r="C96" s="2" t="s">
        <v>1038</v>
      </c>
      <c r="D96" s="4">
        <v>-245.17</v>
      </c>
      <c r="E96" s="2" t="s">
        <v>123</v>
      </c>
    </row>
    <row r="97" spans="1:5" x14ac:dyDescent="0.25">
      <c r="A97" s="2" t="s">
        <v>822</v>
      </c>
      <c r="B97" s="3">
        <v>45602</v>
      </c>
      <c r="C97" s="2" t="s">
        <v>1024</v>
      </c>
      <c r="D97" s="4">
        <v>372.22</v>
      </c>
      <c r="E97" s="2" t="s">
        <v>10</v>
      </c>
    </row>
    <row r="98" spans="1:5" x14ac:dyDescent="0.25">
      <c r="A98" s="2" t="s">
        <v>423</v>
      </c>
      <c r="B98" s="3">
        <v>45432</v>
      </c>
      <c r="C98" s="2" t="s">
        <v>1042</v>
      </c>
      <c r="D98" s="4">
        <v>-5158.3100000000004</v>
      </c>
      <c r="E98" s="2" t="s">
        <v>10</v>
      </c>
    </row>
    <row r="99" spans="1:5" x14ac:dyDescent="0.25">
      <c r="A99" s="2" t="s">
        <v>962</v>
      </c>
      <c r="B99" s="3">
        <v>45444</v>
      </c>
      <c r="C99" s="2" t="s">
        <v>1025</v>
      </c>
      <c r="D99" s="4">
        <v>-7435.69</v>
      </c>
      <c r="E99" s="2" t="s">
        <v>10</v>
      </c>
    </row>
    <row r="100" spans="1:5" x14ac:dyDescent="0.25">
      <c r="A100" s="2" t="s">
        <v>827</v>
      </c>
      <c r="B100" s="3">
        <v>45542</v>
      </c>
      <c r="C100" s="2" t="s">
        <v>1035</v>
      </c>
      <c r="D100" s="4">
        <v>-733.07</v>
      </c>
      <c r="E100" s="2" t="s">
        <v>10</v>
      </c>
    </row>
    <row r="101" spans="1:5" x14ac:dyDescent="0.25">
      <c r="A101" s="2" t="s">
        <v>844</v>
      </c>
      <c r="B101" s="3">
        <v>45512</v>
      </c>
      <c r="C101" s="2" t="s">
        <v>1031</v>
      </c>
      <c r="D101" s="4">
        <v>39.92</v>
      </c>
      <c r="E101" s="2" t="s">
        <v>10</v>
      </c>
    </row>
    <row r="102" spans="1:5" x14ac:dyDescent="0.25">
      <c r="A102" s="2" t="s">
        <v>589</v>
      </c>
      <c r="B102" s="3">
        <v>45441</v>
      </c>
      <c r="C102" s="2" t="s">
        <v>1050</v>
      </c>
      <c r="D102" s="4">
        <v>-1174.75</v>
      </c>
      <c r="E102" s="2" t="s">
        <v>10</v>
      </c>
    </row>
    <row r="103" spans="1:5" x14ac:dyDescent="0.25">
      <c r="A103" s="2" t="s">
        <v>734</v>
      </c>
      <c r="B103" s="3">
        <v>45622</v>
      </c>
      <c r="C103" s="2" t="s">
        <v>1037</v>
      </c>
      <c r="D103" s="4">
        <v>-11050.24</v>
      </c>
      <c r="E103" s="2" t="s">
        <v>10</v>
      </c>
    </row>
    <row r="104" spans="1:5" x14ac:dyDescent="0.25">
      <c r="A104" s="2" t="s">
        <v>623</v>
      </c>
      <c r="B104" s="3">
        <v>45406</v>
      </c>
      <c r="C104" s="2" t="s">
        <v>1052</v>
      </c>
      <c r="D104" s="4">
        <v>-4909.95</v>
      </c>
      <c r="E104" s="2" t="s">
        <v>10</v>
      </c>
    </row>
    <row r="105" spans="1:5" x14ac:dyDescent="0.25">
      <c r="A105" s="2" t="s">
        <v>569</v>
      </c>
      <c r="B105" s="3">
        <v>45415</v>
      </c>
      <c r="C105" s="2" t="s">
        <v>1037</v>
      </c>
      <c r="D105" s="4">
        <v>-1255.31</v>
      </c>
      <c r="E105" s="2" t="s">
        <v>10</v>
      </c>
    </row>
    <row r="106" spans="1:5" x14ac:dyDescent="0.25">
      <c r="A106" s="2" t="s">
        <v>830</v>
      </c>
      <c r="B106" s="3">
        <v>45601</v>
      </c>
      <c r="C106" s="2" t="s">
        <v>1029</v>
      </c>
      <c r="D106" s="4">
        <v>-4025.33</v>
      </c>
      <c r="E106" s="2" t="s">
        <v>10</v>
      </c>
    </row>
    <row r="107" spans="1:5" x14ac:dyDescent="0.25">
      <c r="A107" s="2" t="s">
        <v>402</v>
      </c>
      <c r="B107" s="3">
        <v>45539</v>
      </c>
      <c r="C107" s="2" t="s">
        <v>1024</v>
      </c>
      <c r="D107" s="4">
        <v>95.05</v>
      </c>
      <c r="E107" s="2" t="s">
        <v>10</v>
      </c>
    </row>
    <row r="108" spans="1:5" x14ac:dyDescent="0.25">
      <c r="A108" s="2" t="s">
        <v>960</v>
      </c>
      <c r="B108" s="3">
        <v>45459</v>
      </c>
      <c r="C108" s="2" t="s">
        <v>1029</v>
      </c>
      <c r="D108" s="4">
        <v>-6777.54</v>
      </c>
      <c r="E108" s="2" t="s">
        <v>10</v>
      </c>
    </row>
    <row r="109" spans="1:5" x14ac:dyDescent="0.25">
      <c r="A109" s="2" t="s">
        <v>691</v>
      </c>
      <c r="B109" s="3">
        <v>45448</v>
      </c>
      <c r="C109" s="2" t="s">
        <v>1044</v>
      </c>
      <c r="D109" s="4">
        <v>-3290.71</v>
      </c>
      <c r="E109" s="2" t="s">
        <v>10</v>
      </c>
    </row>
    <row r="110" spans="1:5" x14ac:dyDescent="0.25">
      <c r="A110" s="2" t="s">
        <v>301</v>
      </c>
      <c r="B110" s="3">
        <v>45332</v>
      </c>
      <c r="C110" s="2" t="s">
        <v>1030</v>
      </c>
      <c r="D110" s="4">
        <v>-512.85</v>
      </c>
      <c r="E110" s="2" t="s">
        <v>10</v>
      </c>
    </row>
    <row r="111" spans="1:5" x14ac:dyDescent="0.25">
      <c r="A111" s="2" t="s">
        <v>53</v>
      </c>
      <c r="B111" s="3">
        <v>45343</v>
      </c>
      <c r="C111" s="2" t="s">
        <v>1043</v>
      </c>
      <c r="D111" s="4">
        <v>-5623.03</v>
      </c>
      <c r="E111" s="2" t="s">
        <v>10</v>
      </c>
    </row>
    <row r="112" spans="1:5" x14ac:dyDescent="0.25">
      <c r="A112" s="2" t="s">
        <v>475</v>
      </c>
      <c r="B112" s="3">
        <v>45385</v>
      </c>
      <c r="C112" s="2" t="s">
        <v>1036</v>
      </c>
      <c r="D112" s="4">
        <v>-6687.77</v>
      </c>
      <c r="E112" s="2" t="s">
        <v>10</v>
      </c>
    </row>
    <row r="113" spans="1:5" x14ac:dyDescent="0.25">
      <c r="A113" s="2" t="s">
        <v>522</v>
      </c>
      <c r="B113" s="3">
        <v>45524</v>
      </c>
      <c r="C113" s="2" t="s">
        <v>1035</v>
      </c>
      <c r="D113" s="4">
        <v>-786.84</v>
      </c>
      <c r="E113" s="2" t="s">
        <v>10</v>
      </c>
    </row>
    <row r="114" spans="1:5" x14ac:dyDescent="0.25">
      <c r="A114" s="2" t="s">
        <v>792</v>
      </c>
      <c r="B114" s="3">
        <v>45443</v>
      </c>
      <c r="C114" s="2" t="s">
        <v>1047</v>
      </c>
      <c r="D114" s="4">
        <v>-36.36</v>
      </c>
      <c r="E114" s="2" t="s">
        <v>10</v>
      </c>
    </row>
    <row r="115" spans="1:5" x14ac:dyDescent="0.25">
      <c r="A115" s="2" t="s">
        <v>64</v>
      </c>
      <c r="B115" s="3">
        <v>45616</v>
      </c>
      <c r="C115" s="2" t="s">
        <v>1038</v>
      </c>
      <c r="D115" s="4">
        <v>-935.71</v>
      </c>
      <c r="E115" s="2" t="s">
        <v>10</v>
      </c>
    </row>
    <row r="116" spans="1:5" x14ac:dyDescent="0.25">
      <c r="A116" s="2" t="s">
        <v>147</v>
      </c>
      <c r="B116" s="3">
        <v>45346</v>
      </c>
      <c r="C116" s="2" t="s">
        <v>1027</v>
      </c>
      <c r="D116" s="4">
        <v>5948.01</v>
      </c>
      <c r="E116" s="2" t="s">
        <v>10</v>
      </c>
    </row>
    <row r="117" spans="1:5" x14ac:dyDescent="0.25">
      <c r="A117" s="2" t="s">
        <v>375</v>
      </c>
      <c r="B117" s="3">
        <v>45446</v>
      </c>
      <c r="C117" s="2" t="s">
        <v>1034</v>
      </c>
      <c r="D117" s="4">
        <v>19795.11</v>
      </c>
      <c r="E117" s="2" t="s">
        <v>10</v>
      </c>
    </row>
    <row r="118" spans="1:5" x14ac:dyDescent="0.25">
      <c r="A118" s="2" t="s">
        <v>447</v>
      </c>
      <c r="B118" s="3">
        <v>45639</v>
      </c>
      <c r="C118" s="2" t="s">
        <v>1024</v>
      </c>
      <c r="D118" s="4">
        <v>95.32</v>
      </c>
      <c r="E118" s="2" t="s">
        <v>10</v>
      </c>
    </row>
    <row r="119" spans="1:5" x14ac:dyDescent="0.25">
      <c r="A119" s="2" t="s">
        <v>658</v>
      </c>
      <c r="B119" s="3">
        <v>45577</v>
      </c>
      <c r="C119" s="2" t="s">
        <v>1041</v>
      </c>
      <c r="D119" s="4">
        <v>-9.76</v>
      </c>
      <c r="E119" s="2" t="s">
        <v>10</v>
      </c>
    </row>
    <row r="120" spans="1:5" x14ac:dyDescent="0.25">
      <c r="A120" s="2" t="s">
        <v>938</v>
      </c>
      <c r="B120" s="3">
        <v>45500</v>
      </c>
      <c r="C120" s="2" t="s">
        <v>1037</v>
      </c>
      <c r="D120" s="4">
        <v>-4115.7</v>
      </c>
      <c r="E120" s="2" t="s">
        <v>10</v>
      </c>
    </row>
    <row r="121" spans="1:5" x14ac:dyDescent="0.25">
      <c r="A121" s="2" t="s">
        <v>358</v>
      </c>
      <c r="B121" s="3">
        <v>45577</v>
      </c>
      <c r="C121" s="2" t="s">
        <v>1051</v>
      </c>
      <c r="D121" s="4">
        <v>-4668.53</v>
      </c>
      <c r="E121" s="2" t="s">
        <v>10</v>
      </c>
    </row>
    <row r="122" spans="1:5" x14ac:dyDescent="0.25">
      <c r="A122" s="2" t="s">
        <v>831</v>
      </c>
      <c r="B122" s="3">
        <v>45553</v>
      </c>
      <c r="C122" s="2" t="s">
        <v>1053</v>
      </c>
      <c r="D122" s="4">
        <v>-622.99</v>
      </c>
      <c r="E122" s="2" t="s">
        <v>10</v>
      </c>
    </row>
    <row r="123" spans="1:5" x14ac:dyDescent="0.25">
      <c r="A123" s="2" t="s">
        <v>612</v>
      </c>
      <c r="B123" s="3">
        <v>45575</v>
      </c>
      <c r="C123" s="2" t="s">
        <v>1053</v>
      </c>
      <c r="D123" s="4">
        <v>-47.19</v>
      </c>
      <c r="E123" s="2" t="s">
        <v>10</v>
      </c>
    </row>
    <row r="124" spans="1:5" x14ac:dyDescent="0.25">
      <c r="A124" s="2" t="s">
        <v>746</v>
      </c>
      <c r="B124" s="3">
        <v>45554</v>
      </c>
      <c r="C124" s="2" t="s">
        <v>1052</v>
      </c>
      <c r="D124" s="4">
        <v>-324.81</v>
      </c>
      <c r="E124" s="2" t="s">
        <v>10</v>
      </c>
    </row>
    <row r="125" spans="1:5" x14ac:dyDescent="0.25">
      <c r="A125" s="2" t="s">
        <v>668</v>
      </c>
      <c r="B125" s="3">
        <v>45313</v>
      </c>
      <c r="C125" s="2" t="s">
        <v>1029</v>
      </c>
      <c r="D125" s="4">
        <v>-7296.07</v>
      </c>
      <c r="E125" s="2" t="s">
        <v>10</v>
      </c>
    </row>
    <row r="126" spans="1:5" x14ac:dyDescent="0.25">
      <c r="A126" s="2" t="s">
        <v>667</v>
      </c>
      <c r="B126" s="3">
        <v>45651</v>
      </c>
      <c r="C126" s="2" t="s">
        <v>1032</v>
      </c>
      <c r="D126" s="4">
        <v>-284.60000000000002</v>
      </c>
      <c r="E126" s="2" t="s">
        <v>10</v>
      </c>
    </row>
    <row r="127" spans="1:5" x14ac:dyDescent="0.25">
      <c r="A127" s="2" t="s">
        <v>595</v>
      </c>
      <c r="B127" s="3">
        <v>45301</v>
      </c>
      <c r="C127" s="2" t="s">
        <v>1048</v>
      </c>
      <c r="D127" s="4">
        <v>-773.8</v>
      </c>
      <c r="E127" s="2" t="s">
        <v>10</v>
      </c>
    </row>
    <row r="128" spans="1:5" x14ac:dyDescent="0.25">
      <c r="A128" s="2" t="s">
        <v>660</v>
      </c>
      <c r="B128" s="3">
        <v>45366</v>
      </c>
      <c r="C128" s="2" t="s">
        <v>1047</v>
      </c>
      <c r="D128" s="4">
        <v>-90.21</v>
      </c>
      <c r="E128" s="2" t="s">
        <v>10</v>
      </c>
    </row>
    <row r="129" spans="1:5" x14ac:dyDescent="0.25">
      <c r="A129" s="2" t="s">
        <v>872</v>
      </c>
      <c r="B129" s="3">
        <v>45601</v>
      </c>
      <c r="C129" s="2" t="s">
        <v>1050</v>
      </c>
      <c r="D129" s="4">
        <v>-1039.32</v>
      </c>
      <c r="E129" s="2" t="s">
        <v>10</v>
      </c>
    </row>
    <row r="130" spans="1:5" x14ac:dyDescent="0.25">
      <c r="A130" s="2" t="s">
        <v>692</v>
      </c>
      <c r="B130" s="3">
        <v>45308</v>
      </c>
      <c r="C130" s="2" t="s">
        <v>1043</v>
      </c>
      <c r="D130" s="4">
        <v>-2808.98</v>
      </c>
      <c r="E130" s="2" t="s">
        <v>10</v>
      </c>
    </row>
    <row r="131" spans="1:5" x14ac:dyDescent="0.25">
      <c r="A131" s="2" t="s">
        <v>961</v>
      </c>
      <c r="B131" s="3">
        <v>45333</v>
      </c>
      <c r="C131" s="2" t="s">
        <v>1037</v>
      </c>
      <c r="D131" s="4">
        <v>-8540.14</v>
      </c>
      <c r="E131" s="2" t="s">
        <v>10</v>
      </c>
    </row>
    <row r="132" spans="1:5" x14ac:dyDescent="0.25">
      <c r="A132" s="2" t="s">
        <v>704</v>
      </c>
      <c r="B132" s="3">
        <v>45438</v>
      </c>
      <c r="C132" s="2" t="s">
        <v>1045</v>
      </c>
      <c r="D132" s="4">
        <v>-777.5</v>
      </c>
      <c r="E132" s="2" t="s">
        <v>10</v>
      </c>
    </row>
    <row r="133" spans="1:5" x14ac:dyDescent="0.25">
      <c r="A133" s="2" t="s">
        <v>433</v>
      </c>
      <c r="B133" s="3">
        <v>45393</v>
      </c>
      <c r="C133" s="2" t="s">
        <v>1036</v>
      </c>
      <c r="D133" s="4">
        <v>-3436.45</v>
      </c>
      <c r="E133" s="2" t="s">
        <v>10</v>
      </c>
    </row>
    <row r="134" spans="1:5" x14ac:dyDescent="0.25">
      <c r="A134" s="2" t="s">
        <v>361</v>
      </c>
      <c r="B134" s="3">
        <v>45339</v>
      </c>
      <c r="C134" s="2" t="s">
        <v>1034</v>
      </c>
      <c r="D134" s="4">
        <v>6954.51</v>
      </c>
      <c r="E134" s="2" t="s">
        <v>10</v>
      </c>
    </row>
    <row r="135" spans="1:5" x14ac:dyDescent="0.25">
      <c r="A135" s="2" t="s">
        <v>172</v>
      </c>
      <c r="B135" s="3">
        <v>45624</v>
      </c>
      <c r="C135" s="2" t="s">
        <v>1050</v>
      </c>
      <c r="D135" s="4">
        <v>-547.39</v>
      </c>
      <c r="E135" s="2" t="s">
        <v>10</v>
      </c>
    </row>
    <row r="136" spans="1:5" x14ac:dyDescent="0.25">
      <c r="A136" s="2" t="s">
        <v>289</v>
      </c>
      <c r="B136" s="3">
        <v>45522</v>
      </c>
      <c r="C136" s="2" t="s">
        <v>1024</v>
      </c>
      <c r="D136" s="4">
        <v>160.19999999999999</v>
      </c>
      <c r="E136" s="2" t="s">
        <v>10</v>
      </c>
    </row>
    <row r="137" spans="1:5" x14ac:dyDescent="0.25">
      <c r="A137" s="2" t="s">
        <v>120</v>
      </c>
      <c r="B137" s="3">
        <v>45334</v>
      </c>
      <c r="C137" s="2" t="s">
        <v>1038</v>
      </c>
      <c r="D137" s="4">
        <v>-897.06</v>
      </c>
      <c r="E137" s="2" t="s">
        <v>10</v>
      </c>
    </row>
    <row r="138" spans="1:5" x14ac:dyDescent="0.25">
      <c r="A138" s="2" t="s">
        <v>541</v>
      </c>
      <c r="B138" s="3">
        <v>45472</v>
      </c>
      <c r="C138" s="2" t="s">
        <v>1028</v>
      </c>
      <c r="D138" s="4">
        <v>-1126.26</v>
      </c>
      <c r="E138" s="2" t="s">
        <v>10</v>
      </c>
    </row>
    <row r="139" spans="1:5" x14ac:dyDescent="0.25">
      <c r="A139" s="2" t="s">
        <v>841</v>
      </c>
      <c r="B139" s="3">
        <v>45570</v>
      </c>
      <c r="C139" s="2" t="s">
        <v>1043</v>
      </c>
      <c r="D139" s="4">
        <v>-5429.37</v>
      </c>
      <c r="E139" s="2" t="s">
        <v>10</v>
      </c>
    </row>
    <row r="140" spans="1:5" x14ac:dyDescent="0.25">
      <c r="A140" s="2" t="s">
        <v>690</v>
      </c>
      <c r="B140" s="3">
        <v>45322</v>
      </c>
      <c r="C140" s="2" t="s">
        <v>1033</v>
      </c>
      <c r="D140" s="4">
        <v>-6149.94</v>
      </c>
      <c r="E140" s="2" t="s">
        <v>10</v>
      </c>
    </row>
    <row r="141" spans="1:5" x14ac:dyDescent="0.25">
      <c r="A141" s="2" t="s">
        <v>597</v>
      </c>
      <c r="B141" s="3">
        <v>45645</v>
      </c>
      <c r="C141" s="2" t="s">
        <v>1025</v>
      </c>
      <c r="D141" s="4">
        <v>-2618.1999999999998</v>
      </c>
      <c r="E141" s="2" t="s">
        <v>10</v>
      </c>
    </row>
    <row r="142" spans="1:5" x14ac:dyDescent="0.25">
      <c r="A142" s="2" t="s">
        <v>325</v>
      </c>
      <c r="B142" s="3">
        <v>45594</v>
      </c>
      <c r="C142" s="2" t="s">
        <v>1043</v>
      </c>
      <c r="D142" s="4">
        <v>-2126.56</v>
      </c>
      <c r="E142" s="2" t="s">
        <v>10</v>
      </c>
    </row>
    <row r="143" spans="1:5" x14ac:dyDescent="0.25">
      <c r="A143" s="2" t="s">
        <v>241</v>
      </c>
      <c r="B143" s="3">
        <v>45427</v>
      </c>
      <c r="C143" s="2" t="s">
        <v>1028</v>
      </c>
      <c r="D143" s="4">
        <v>-173.51</v>
      </c>
      <c r="E143" s="2" t="s">
        <v>10</v>
      </c>
    </row>
    <row r="144" spans="1:5" x14ac:dyDescent="0.25">
      <c r="A144" s="2" t="s">
        <v>221</v>
      </c>
      <c r="B144" s="3">
        <v>45652</v>
      </c>
      <c r="C144" s="2" t="s">
        <v>1031</v>
      </c>
      <c r="D144" s="4">
        <v>372.05</v>
      </c>
      <c r="E144" s="2" t="s">
        <v>10</v>
      </c>
    </row>
    <row r="145" spans="1:5" x14ac:dyDescent="0.25">
      <c r="A145" s="2" t="s">
        <v>507</v>
      </c>
      <c r="B145" s="3">
        <v>45598</v>
      </c>
      <c r="C145" s="2" t="s">
        <v>1049</v>
      </c>
      <c r="D145" s="4">
        <v>10164.799999999999</v>
      </c>
      <c r="E145" s="2" t="s">
        <v>10</v>
      </c>
    </row>
    <row r="146" spans="1:5" x14ac:dyDescent="0.25">
      <c r="A146" s="2" t="s">
        <v>202</v>
      </c>
      <c r="B146" s="3">
        <v>45318</v>
      </c>
      <c r="C146" s="2" t="s">
        <v>1042</v>
      </c>
      <c r="D146" s="4">
        <v>-3347.09</v>
      </c>
      <c r="E146" s="2" t="s">
        <v>10</v>
      </c>
    </row>
    <row r="147" spans="1:5" x14ac:dyDescent="0.25">
      <c r="A147" s="2" t="s">
        <v>905</v>
      </c>
      <c r="B147" s="3">
        <v>45486</v>
      </c>
      <c r="C147" s="2" t="s">
        <v>1048</v>
      </c>
      <c r="D147" s="4">
        <v>-30.8</v>
      </c>
      <c r="E147" s="2" t="s">
        <v>10</v>
      </c>
    </row>
    <row r="148" spans="1:5" x14ac:dyDescent="0.25">
      <c r="A148" s="2" t="s">
        <v>121</v>
      </c>
      <c r="B148" s="3">
        <v>45301</v>
      </c>
      <c r="C148" s="2" t="s">
        <v>1034</v>
      </c>
      <c r="D148" s="4">
        <v>15561.05</v>
      </c>
      <c r="E148" s="2" t="s">
        <v>10</v>
      </c>
    </row>
    <row r="149" spans="1:5" x14ac:dyDescent="0.25">
      <c r="A149" s="2" t="s">
        <v>580</v>
      </c>
      <c r="B149" s="3">
        <v>45606</v>
      </c>
      <c r="C149" s="2" t="s">
        <v>1049</v>
      </c>
      <c r="D149" s="4">
        <v>10105.469999999999</v>
      </c>
      <c r="E149" s="2" t="s">
        <v>10</v>
      </c>
    </row>
    <row r="150" spans="1:5" x14ac:dyDescent="0.25">
      <c r="A150" s="2" t="s">
        <v>930</v>
      </c>
      <c r="B150" s="3">
        <v>45510</v>
      </c>
      <c r="C150" s="2" t="s">
        <v>1041</v>
      </c>
      <c r="D150" s="4">
        <v>-141.46</v>
      </c>
      <c r="E150" s="2" t="s">
        <v>10</v>
      </c>
    </row>
    <row r="151" spans="1:5" x14ac:dyDescent="0.25">
      <c r="A151" s="2" t="s">
        <v>157</v>
      </c>
      <c r="B151" s="3">
        <v>45600</v>
      </c>
      <c r="C151" s="2" t="s">
        <v>1033</v>
      </c>
      <c r="D151" s="4">
        <v>-3042.07</v>
      </c>
      <c r="E151" s="2" t="s">
        <v>10</v>
      </c>
    </row>
    <row r="152" spans="1:5" x14ac:dyDescent="0.25">
      <c r="A152" s="2" t="s">
        <v>935</v>
      </c>
      <c r="B152" s="3">
        <v>45398</v>
      </c>
      <c r="C152" s="2" t="s">
        <v>1049</v>
      </c>
      <c r="D152" s="4">
        <v>8931.4599999999991</v>
      </c>
      <c r="E152" s="2" t="s">
        <v>10</v>
      </c>
    </row>
    <row r="153" spans="1:5" x14ac:dyDescent="0.25">
      <c r="A153" s="2" t="s">
        <v>188</v>
      </c>
      <c r="B153" s="3">
        <v>45635</v>
      </c>
      <c r="C153" s="2" t="s">
        <v>1037</v>
      </c>
      <c r="D153" s="4">
        <v>-7941.74</v>
      </c>
      <c r="E153" s="2" t="s">
        <v>10</v>
      </c>
    </row>
    <row r="154" spans="1:5" x14ac:dyDescent="0.25">
      <c r="A154" s="2" t="s">
        <v>525</v>
      </c>
      <c r="B154" s="3">
        <v>45530</v>
      </c>
      <c r="C154" s="2" t="s">
        <v>1024</v>
      </c>
      <c r="D154" s="4">
        <v>209.97</v>
      </c>
      <c r="E154" s="2" t="s">
        <v>10</v>
      </c>
    </row>
    <row r="155" spans="1:5" x14ac:dyDescent="0.25">
      <c r="A155" s="2" t="s">
        <v>460</v>
      </c>
      <c r="B155" s="3">
        <v>45321</v>
      </c>
      <c r="C155" s="2" t="s">
        <v>1034</v>
      </c>
      <c r="D155" s="4">
        <v>19034.32</v>
      </c>
      <c r="E155" s="2" t="s">
        <v>10</v>
      </c>
    </row>
    <row r="156" spans="1:5" x14ac:dyDescent="0.25">
      <c r="A156" s="2" t="s">
        <v>809</v>
      </c>
      <c r="B156" s="3">
        <v>45469</v>
      </c>
      <c r="C156" s="2" t="s">
        <v>1047</v>
      </c>
      <c r="D156" s="4">
        <v>-52.88</v>
      </c>
      <c r="E156" s="2" t="s">
        <v>10</v>
      </c>
    </row>
    <row r="157" spans="1:5" x14ac:dyDescent="0.25">
      <c r="A157" s="2" t="s">
        <v>766</v>
      </c>
      <c r="B157" s="3">
        <v>45467</v>
      </c>
      <c r="C157" s="2" t="s">
        <v>1053</v>
      </c>
      <c r="D157" s="4">
        <v>-517.27</v>
      </c>
      <c r="E157" s="2" t="s">
        <v>10</v>
      </c>
    </row>
    <row r="158" spans="1:5" x14ac:dyDescent="0.25">
      <c r="A158" s="2" t="s">
        <v>825</v>
      </c>
      <c r="B158" s="3">
        <v>45354</v>
      </c>
      <c r="C158" s="2" t="s">
        <v>1045</v>
      </c>
      <c r="D158" s="4">
        <v>-529.17999999999995</v>
      </c>
      <c r="E158" s="2" t="s">
        <v>10</v>
      </c>
    </row>
    <row r="159" spans="1:5" x14ac:dyDescent="0.25">
      <c r="A159" s="2" t="s">
        <v>995</v>
      </c>
      <c r="B159" s="3">
        <v>45560</v>
      </c>
      <c r="C159" s="2" t="s">
        <v>1046</v>
      </c>
      <c r="D159" s="4">
        <v>-4795.3900000000003</v>
      </c>
      <c r="E159" s="2" t="s">
        <v>10</v>
      </c>
    </row>
    <row r="160" spans="1:5" x14ac:dyDescent="0.25">
      <c r="A160" s="2" t="s">
        <v>783</v>
      </c>
      <c r="B160" s="3">
        <v>45407</v>
      </c>
      <c r="C160" s="2" t="s">
        <v>1036</v>
      </c>
      <c r="D160" s="4">
        <v>-7849.45</v>
      </c>
      <c r="E160" s="2" t="s">
        <v>10</v>
      </c>
    </row>
    <row r="161" spans="1:5" x14ac:dyDescent="0.25">
      <c r="A161" s="2" t="s">
        <v>462</v>
      </c>
      <c r="B161" s="3">
        <v>45408</v>
      </c>
      <c r="C161" s="2" t="s">
        <v>1048</v>
      </c>
      <c r="D161" s="4">
        <v>-71.959999999999994</v>
      </c>
      <c r="E161" s="2" t="s">
        <v>10</v>
      </c>
    </row>
    <row r="162" spans="1:5" x14ac:dyDescent="0.25">
      <c r="A162" s="2" t="s">
        <v>345</v>
      </c>
      <c r="B162" s="3">
        <v>45293</v>
      </c>
      <c r="C162" s="2" t="s">
        <v>1030</v>
      </c>
      <c r="D162" s="4">
        <v>-32555.599999999999</v>
      </c>
      <c r="E162" s="2" t="s">
        <v>10</v>
      </c>
    </row>
    <row r="163" spans="1:5" x14ac:dyDescent="0.25">
      <c r="A163" s="2" t="s">
        <v>735</v>
      </c>
      <c r="B163" s="3">
        <v>45537</v>
      </c>
      <c r="C163" s="2" t="s">
        <v>1049</v>
      </c>
      <c r="D163" s="4">
        <v>20698.18</v>
      </c>
      <c r="E163" s="2" t="s">
        <v>10</v>
      </c>
    </row>
    <row r="164" spans="1:5" x14ac:dyDescent="0.25">
      <c r="A164" s="2" t="s">
        <v>143</v>
      </c>
      <c r="B164" s="3">
        <v>45638</v>
      </c>
      <c r="C164" s="2" t="s">
        <v>1035</v>
      </c>
      <c r="D164" s="4">
        <v>-836.35</v>
      </c>
      <c r="E164" s="2" t="s">
        <v>10</v>
      </c>
    </row>
    <row r="165" spans="1:5" x14ac:dyDescent="0.25">
      <c r="A165" s="2" t="s">
        <v>748</v>
      </c>
      <c r="B165" s="3">
        <v>45518</v>
      </c>
      <c r="C165" s="2" t="s">
        <v>1044</v>
      </c>
      <c r="D165" s="4">
        <v>-2554.14</v>
      </c>
      <c r="E165" s="2" t="s">
        <v>10</v>
      </c>
    </row>
    <row r="166" spans="1:5" x14ac:dyDescent="0.25">
      <c r="A166" s="2" t="s">
        <v>605</v>
      </c>
      <c r="B166" s="3">
        <v>45445</v>
      </c>
      <c r="C166" s="2" t="s">
        <v>1032</v>
      </c>
      <c r="D166" s="4">
        <v>-2888.61</v>
      </c>
      <c r="E166" s="2" t="s">
        <v>10</v>
      </c>
    </row>
    <row r="167" spans="1:5" x14ac:dyDescent="0.25">
      <c r="A167" s="2" t="s">
        <v>621</v>
      </c>
      <c r="B167" s="3">
        <v>45324</v>
      </c>
      <c r="C167" s="2" t="s">
        <v>1042</v>
      </c>
      <c r="D167" s="4">
        <v>-2715.39</v>
      </c>
      <c r="E167" s="2" t="s">
        <v>10</v>
      </c>
    </row>
    <row r="168" spans="1:5" x14ac:dyDescent="0.25">
      <c r="A168" s="2" t="s">
        <v>697</v>
      </c>
      <c r="B168" s="3">
        <v>45570</v>
      </c>
      <c r="C168" s="2" t="s">
        <v>1025</v>
      </c>
      <c r="D168" s="4">
        <v>-11785.74</v>
      </c>
      <c r="E168" s="2" t="s">
        <v>10</v>
      </c>
    </row>
    <row r="169" spans="1:5" x14ac:dyDescent="0.25">
      <c r="A169" s="2" t="s">
        <v>510</v>
      </c>
      <c r="B169" s="3">
        <v>45650</v>
      </c>
      <c r="C169" s="2" t="s">
        <v>1036</v>
      </c>
      <c r="D169" s="4">
        <v>-2218.2800000000002</v>
      </c>
      <c r="E169" s="2" t="s">
        <v>10</v>
      </c>
    </row>
    <row r="170" spans="1:5" x14ac:dyDescent="0.25">
      <c r="A170" s="2" t="s">
        <v>969</v>
      </c>
      <c r="B170" s="3">
        <v>45418</v>
      </c>
      <c r="C170" s="2" t="s">
        <v>1037</v>
      </c>
      <c r="D170" s="4">
        <v>-6295.28</v>
      </c>
      <c r="E170" s="2" t="s">
        <v>10</v>
      </c>
    </row>
    <row r="171" spans="1:5" x14ac:dyDescent="0.25">
      <c r="A171" s="2" t="s">
        <v>536</v>
      </c>
      <c r="B171" s="3">
        <v>45531</v>
      </c>
      <c r="C171" s="2" t="s">
        <v>1030</v>
      </c>
      <c r="D171" s="4">
        <v>-305.99</v>
      </c>
      <c r="E171" s="2" t="s">
        <v>10</v>
      </c>
    </row>
    <row r="172" spans="1:5" x14ac:dyDescent="0.25">
      <c r="A172" s="2" t="s">
        <v>627</v>
      </c>
      <c r="B172" s="3">
        <v>45608</v>
      </c>
      <c r="C172" s="2" t="s">
        <v>1052</v>
      </c>
      <c r="D172" s="4">
        <v>-6872.82</v>
      </c>
      <c r="E172" s="2" t="s">
        <v>10</v>
      </c>
    </row>
    <row r="173" spans="1:5" x14ac:dyDescent="0.25">
      <c r="A173" s="2" t="s">
        <v>979</v>
      </c>
      <c r="B173" s="3">
        <v>45313</v>
      </c>
      <c r="C173" s="2" t="s">
        <v>1041</v>
      </c>
      <c r="D173" s="4">
        <v>-8.5500000000000007</v>
      </c>
      <c r="E173" s="2" t="s">
        <v>10</v>
      </c>
    </row>
    <row r="174" spans="1:5" x14ac:dyDescent="0.25">
      <c r="A174" s="2" t="s">
        <v>805</v>
      </c>
      <c r="B174" s="3">
        <v>45383</v>
      </c>
      <c r="C174" s="2" t="s">
        <v>1031</v>
      </c>
      <c r="D174" s="4">
        <v>79.59</v>
      </c>
      <c r="E174" s="2" t="s">
        <v>10</v>
      </c>
    </row>
    <row r="175" spans="1:5" x14ac:dyDescent="0.25">
      <c r="A175" s="2" t="s">
        <v>590</v>
      </c>
      <c r="B175" s="3">
        <v>45300</v>
      </c>
      <c r="C175" s="2" t="s">
        <v>1042</v>
      </c>
      <c r="D175" s="4">
        <v>-5755.47</v>
      </c>
      <c r="E175" s="2" t="s">
        <v>10</v>
      </c>
    </row>
    <row r="176" spans="1:5" x14ac:dyDescent="0.25">
      <c r="A176" s="2" t="s">
        <v>498</v>
      </c>
      <c r="B176" s="3">
        <v>45390</v>
      </c>
      <c r="C176" s="2" t="s">
        <v>1031</v>
      </c>
      <c r="D176" s="4">
        <v>374.98</v>
      </c>
      <c r="E176" s="2" t="s">
        <v>10</v>
      </c>
    </row>
    <row r="177" spans="1:5" x14ac:dyDescent="0.25">
      <c r="A177" s="2" t="s">
        <v>578</v>
      </c>
      <c r="B177" s="3">
        <v>45584</v>
      </c>
      <c r="C177" s="2" t="s">
        <v>1041</v>
      </c>
      <c r="D177" s="4">
        <v>-121.08</v>
      </c>
      <c r="E177" s="2" t="s">
        <v>10</v>
      </c>
    </row>
    <row r="178" spans="1:5" x14ac:dyDescent="0.25">
      <c r="A178" s="2" t="s">
        <v>368</v>
      </c>
      <c r="B178" s="3">
        <v>45612</v>
      </c>
      <c r="C178" s="2" t="s">
        <v>1024</v>
      </c>
      <c r="D178" s="4">
        <v>267.76</v>
      </c>
      <c r="E178" s="2" t="s">
        <v>10</v>
      </c>
    </row>
    <row r="179" spans="1:5" x14ac:dyDescent="0.25">
      <c r="A179" s="2" t="s">
        <v>1016</v>
      </c>
      <c r="B179" s="3">
        <v>45352</v>
      </c>
      <c r="C179" s="2" t="s">
        <v>1038</v>
      </c>
      <c r="D179" s="4">
        <v>-739.34</v>
      </c>
      <c r="E179" s="2" t="s">
        <v>10</v>
      </c>
    </row>
    <row r="180" spans="1:5" x14ac:dyDescent="0.25">
      <c r="A180" s="2" t="s">
        <v>164</v>
      </c>
      <c r="B180" s="3">
        <v>45613</v>
      </c>
      <c r="C180" s="2" t="s">
        <v>1039</v>
      </c>
      <c r="D180" s="4">
        <v>-5721.3</v>
      </c>
      <c r="E180" s="2" t="s">
        <v>10</v>
      </c>
    </row>
    <row r="181" spans="1:5" x14ac:dyDescent="0.25">
      <c r="A181" s="2" t="s">
        <v>256</v>
      </c>
      <c r="B181" s="3">
        <v>45304</v>
      </c>
      <c r="C181" s="2" t="s">
        <v>1024</v>
      </c>
      <c r="D181" s="4">
        <v>357.76</v>
      </c>
      <c r="E181" s="2" t="s">
        <v>10</v>
      </c>
    </row>
    <row r="182" spans="1:5" x14ac:dyDescent="0.25">
      <c r="A182" s="2" t="s">
        <v>618</v>
      </c>
      <c r="B182" s="3">
        <v>45547</v>
      </c>
      <c r="C182" s="2" t="s">
        <v>1027</v>
      </c>
      <c r="D182" s="4">
        <v>10032.870000000001</v>
      </c>
      <c r="E182" s="2" t="s">
        <v>10</v>
      </c>
    </row>
    <row r="183" spans="1:5" x14ac:dyDescent="0.25">
      <c r="A183" s="2" t="s">
        <v>40</v>
      </c>
      <c r="B183" s="3">
        <v>45443</v>
      </c>
      <c r="C183" s="2" t="s">
        <v>1037</v>
      </c>
      <c r="D183" s="4">
        <v>-14066.23</v>
      </c>
      <c r="E183" s="2" t="s">
        <v>10</v>
      </c>
    </row>
    <row r="184" spans="1:5" x14ac:dyDescent="0.25">
      <c r="A184" s="2" t="s">
        <v>287</v>
      </c>
      <c r="B184" s="3">
        <v>45337</v>
      </c>
      <c r="C184" s="2" t="s">
        <v>1044</v>
      </c>
      <c r="D184" s="4">
        <v>-2736.14</v>
      </c>
      <c r="E184" s="2" t="s">
        <v>10</v>
      </c>
    </row>
    <row r="185" spans="1:5" x14ac:dyDescent="0.25">
      <c r="A185" s="2" t="s">
        <v>987</v>
      </c>
      <c r="B185" s="3">
        <v>45623</v>
      </c>
      <c r="C185" s="2" t="s">
        <v>1034</v>
      </c>
      <c r="D185" s="4">
        <v>6483.02</v>
      </c>
      <c r="E185" s="2" t="s">
        <v>123</v>
      </c>
    </row>
    <row r="186" spans="1:5" x14ac:dyDescent="0.25">
      <c r="A186" s="2" t="s">
        <v>803</v>
      </c>
      <c r="B186" s="3">
        <v>45404</v>
      </c>
      <c r="C186" s="2" t="s">
        <v>1025</v>
      </c>
      <c r="D186" s="4">
        <v>-6550.66</v>
      </c>
      <c r="E186" s="2" t="s">
        <v>10</v>
      </c>
    </row>
    <row r="187" spans="1:5" x14ac:dyDescent="0.25">
      <c r="A187" s="2" t="s">
        <v>700</v>
      </c>
      <c r="B187" s="3">
        <v>45628</v>
      </c>
      <c r="C187" s="2" t="s">
        <v>1052</v>
      </c>
      <c r="D187" s="4">
        <v>-6760.25</v>
      </c>
      <c r="E187" s="2" t="s">
        <v>10</v>
      </c>
    </row>
    <row r="188" spans="1:5" x14ac:dyDescent="0.25">
      <c r="A188" s="2" t="s">
        <v>679</v>
      </c>
      <c r="B188" s="3">
        <v>45605</v>
      </c>
      <c r="C188" s="2" t="s">
        <v>1029</v>
      </c>
      <c r="D188" s="4">
        <v>-4076.65</v>
      </c>
      <c r="E188" s="2" t="s">
        <v>10</v>
      </c>
    </row>
    <row r="189" spans="1:5" x14ac:dyDescent="0.25">
      <c r="A189" s="2" t="s">
        <v>722</v>
      </c>
      <c r="B189" s="3">
        <v>45613</v>
      </c>
      <c r="C189" s="2" t="s">
        <v>1025</v>
      </c>
      <c r="D189" s="4">
        <v>-5038.1000000000004</v>
      </c>
      <c r="E189" s="2" t="s">
        <v>10</v>
      </c>
    </row>
    <row r="190" spans="1:5" x14ac:dyDescent="0.25">
      <c r="A190" s="2" t="s">
        <v>878</v>
      </c>
      <c r="B190" s="3">
        <v>45629</v>
      </c>
      <c r="C190" s="2" t="s">
        <v>1026</v>
      </c>
      <c r="D190" s="4">
        <v>87.31</v>
      </c>
      <c r="E190" s="2" t="s">
        <v>10</v>
      </c>
    </row>
    <row r="191" spans="1:5" x14ac:dyDescent="0.25">
      <c r="A191" s="2" t="s">
        <v>233</v>
      </c>
      <c r="B191" s="3">
        <v>45434</v>
      </c>
      <c r="C191" s="2" t="s">
        <v>1049</v>
      </c>
      <c r="D191" s="4">
        <v>22396.71</v>
      </c>
      <c r="E191" s="2" t="s">
        <v>10</v>
      </c>
    </row>
    <row r="192" spans="1:5" x14ac:dyDescent="0.25">
      <c r="A192" s="2" t="s">
        <v>380</v>
      </c>
      <c r="B192" s="3">
        <v>45500</v>
      </c>
      <c r="C192" s="2" t="s">
        <v>1031</v>
      </c>
      <c r="D192" s="4">
        <v>17.7</v>
      </c>
      <c r="E192" s="2" t="s">
        <v>10</v>
      </c>
    </row>
    <row r="193" spans="1:5" x14ac:dyDescent="0.25">
      <c r="A193" s="2" t="s">
        <v>417</v>
      </c>
      <c r="B193" s="3">
        <v>45380</v>
      </c>
      <c r="C193" s="2" t="s">
        <v>1047</v>
      </c>
      <c r="D193" s="4">
        <v>-82.42</v>
      </c>
      <c r="E193" s="2" t="s">
        <v>10</v>
      </c>
    </row>
    <row r="194" spans="1:5" x14ac:dyDescent="0.25">
      <c r="A194" s="2" t="s">
        <v>696</v>
      </c>
      <c r="B194" s="3">
        <v>45620</v>
      </c>
      <c r="C194" s="2" t="s">
        <v>1027</v>
      </c>
      <c r="D194" s="4">
        <v>11033.95</v>
      </c>
      <c r="E194" s="2" t="s">
        <v>10</v>
      </c>
    </row>
    <row r="195" spans="1:5" x14ac:dyDescent="0.25">
      <c r="A195" s="2" t="s">
        <v>491</v>
      </c>
      <c r="B195" s="3">
        <v>45606</v>
      </c>
      <c r="C195" s="2" t="s">
        <v>1048</v>
      </c>
      <c r="D195" s="4">
        <v>-115.58</v>
      </c>
      <c r="E195" s="2" t="s">
        <v>10</v>
      </c>
    </row>
    <row r="196" spans="1:5" x14ac:dyDescent="0.25">
      <c r="A196" s="2" t="s">
        <v>804</v>
      </c>
      <c r="B196" s="3">
        <v>45634</v>
      </c>
      <c r="C196" s="2" t="s">
        <v>1054</v>
      </c>
      <c r="D196" s="4">
        <v>-1870.26</v>
      </c>
      <c r="E196" s="2" t="s">
        <v>10</v>
      </c>
    </row>
    <row r="197" spans="1:5" x14ac:dyDescent="0.25">
      <c r="A197" s="2" t="s">
        <v>834</v>
      </c>
      <c r="B197" s="3">
        <v>45318</v>
      </c>
      <c r="C197" s="2" t="s">
        <v>1045</v>
      </c>
      <c r="D197" s="4">
        <v>-790.47</v>
      </c>
      <c r="E197" s="2" t="s">
        <v>10</v>
      </c>
    </row>
    <row r="198" spans="1:5" x14ac:dyDescent="0.25">
      <c r="A198" s="2" t="s">
        <v>598</v>
      </c>
      <c r="B198" s="3">
        <v>45384</v>
      </c>
      <c r="C198" s="2" t="s">
        <v>1026</v>
      </c>
      <c r="D198" s="4">
        <v>28.95</v>
      </c>
      <c r="E198" s="2" t="s">
        <v>10</v>
      </c>
    </row>
    <row r="199" spans="1:5" x14ac:dyDescent="0.25">
      <c r="A199" s="2" t="s">
        <v>189</v>
      </c>
      <c r="B199" s="3">
        <v>45449</v>
      </c>
      <c r="C199" s="2" t="s">
        <v>1031</v>
      </c>
      <c r="D199" s="4">
        <v>284.72000000000003</v>
      </c>
      <c r="E199" s="2" t="s">
        <v>10</v>
      </c>
    </row>
    <row r="200" spans="1:5" x14ac:dyDescent="0.25">
      <c r="A200" s="2" t="s">
        <v>1010</v>
      </c>
      <c r="B200" s="3">
        <v>45642</v>
      </c>
      <c r="C200" s="2" t="s">
        <v>1037</v>
      </c>
      <c r="D200" s="4">
        <v>-5970.36</v>
      </c>
      <c r="E200" s="2" t="s">
        <v>10</v>
      </c>
    </row>
    <row r="201" spans="1:5" x14ac:dyDescent="0.25">
      <c r="A201" s="2" t="s">
        <v>220</v>
      </c>
      <c r="B201" s="3">
        <v>45630</v>
      </c>
      <c r="C201" s="2" t="s">
        <v>1042</v>
      </c>
      <c r="D201" s="4">
        <v>-3626.18</v>
      </c>
      <c r="E201" s="2" t="s">
        <v>10</v>
      </c>
    </row>
    <row r="202" spans="1:5" x14ac:dyDescent="0.25">
      <c r="A202" s="2" t="s">
        <v>484</v>
      </c>
      <c r="B202" s="3">
        <v>45383</v>
      </c>
      <c r="C202" s="2" t="s">
        <v>1028</v>
      </c>
      <c r="D202" s="4">
        <v>-72.73</v>
      </c>
      <c r="E202" s="2" t="s">
        <v>10</v>
      </c>
    </row>
    <row r="203" spans="1:5" x14ac:dyDescent="0.25">
      <c r="A203" s="2" t="s">
        <v>631</v>
      </c>
      <c r="B203" s="3">
        <v>45629</v>
      </c>
      <c r="C203" s="2" t="s">
        <v>1048</v>
      </c>
      <c r="D203" s="4">
        <v>-82.12</v>
      </c>
      <c r="E203" s="2" t="s">
        <v>10</v>
      </c>
    </row>
    <row r="204" spans="1:5" x14ac:dyDescent="0.25">
      <c r="A204" s="2" t="s">
        <v>343</v>
      </c>
      <c r="B204" s="3">
        <v>45379</v>
      </c>
      <c r="C204" s="2" t="s">
        <v>1027</v>
      </c>
      <c r="D204" s="4">
        <v>6516.37</v>
      </c>
      <c r="E204" s="2" t="s">
        <v>10</v>
      </c>
    </row>
    <row r="205" spans="1:5" x14ac:dyDescent="0.25">
      <c r="A205" s="2" t="s">
        <v>377</v>
      </c>
      <c r="B205" s="3">
        <v>45556</v>
      </c>
      <c r="C205" s="2" t="s">
        <v>1039</v>
      </c>
      <c r="D205" s="4">
        <v>-2976.62</v>
      </c>
      <c r="E205" s="2" t="s">
        <v>10</v>
      </c>
    </row>
    <row r="206" spans="1:5" x14ac:dyDescent="0.25">
      <c r="A206" s="2" t="s">
        <v>321</v>
      </c>
      <c r="B206" s="3">
        <v>45371</v>
      </c>
      <c r="C206" s="2" t="s">
        <v>1050</v>
      </c>
      <c r="D206" s="4">
        <v>-366.29</v>
      </c>
      <c r="E206" s="2" t="s">
        <v>10</v>
      </c>
    </row>
    <row r="207" spans="1:5" x14ac:dyDescent="0.25">
      <c r="A207" s="2" t="s">
        <v>346</v>
      </c>
      <c r="B207" s="3">
        <v>45498</v>
      </c>
      <c r="C207" s="2" t="s">
        <v>1024</v>
      </c>
      <c r="D207" s="4">
        <v>141.21</v>
      </c>
      <c r="E207" s="2" t="s">
        <v>10</v>
      </c>
    </row>
    <row r="208" spans="1:5" x14ac:dyDescent="0.25">
      <c r="A208" s="2" t="s">
        <v>543</v>
      </c>
      <c r="B208" s="3">
        <v>45382</v>
      </c>
      <c r="C208" s="2" t="s">
        <v>1053</v>
      </c>
      <c r="D208" s="4">
        <v>-440.33</v>
      </c>
      <c r="E208" s="2" t="s">
        <v>10</v>
      </c>
    </row>
    <row r="209" spans="1:5" x14ac:dyDescent="0.25">
      <c r="A209" s="2" t="s">
        <v>651</v>
      </c>
      <c r="B209" s="3">
        <v>45402</v>
      </c>
      <c r="C209" s="2" t="s">
        <v>1032</v>
      </c>
      <c r="D209" s="4">
        <v>-1269.04</v>
      </c>
      <c r="E209" s="2" t="s">
        <v>10</v>
      </c>
    </row>
    <row r="210" spans="1:5" x14ac:dyDescent="0.25">
      <c r="A210" s="2" t="s">
        <v>939</v>
      </c>
      <c r="B210" s="3">
        <v>45469</v>
      </c>
      <c r="C210" s="2" t="s">
        <v>1025</v>
      </c>
      <c r="D210" s="4">
        <v>-2462.58</v>
      </c>
      <c r="E210" s="2" t="s">
        <v>10</v>
      </c>
    </row>
    <row r="211" spans="1:5" x14ac:dyDescent="0.25">
      <c r="A211" s="2" t="s">
        <v>432</v>
      </c>
      <c r="B211" s="3">
        <v>45533</v>
      </c>
      <c r="C211" s="2" t="s">
        <v>1031</v>
      </c>
      <c r="D211" s="4">
        <v>268.99</v>
      </c>
      <c r="E211" s="2" t="s">
        <v>10</v>
      </c>
    </row>
    <row r="212" spans="1:5" x14ac:dyDescent="0.25">
      <c r="A212" s="2" t="s">
        <v>236</v>
      </c>
      <c r="B212" s="3">
        <v>45396</v>
      </c>
      <c r="C212" s="2" t="s">
        <v>1030</v>
      </c>
      <c r="D212" s="4">
        <v>-2060.1</v>
      </c>
      <c r="E212" s="2" t="s">
        <v>10</v>
      </c>
    </row>
    <row r="213" spans="1:5" x14ac:dyDescent="0.25">
      <c r="A213" s="2" t="s">
        <v>743</v>
      </c>
      <c r="B213" s="3">
        <v>45566</v>
      </c>
      <c r="C213" s="2" t="s">
        <v>1033</v>
      </c>
      <c r="D213" s="4">
        <v>-8635.0300000000007</v>
      </c>
      <c r="E213" s="2" t="s">
        <v>10</v>
      </c>
    </row>
    <row r="214" spans="1:5" x14ac:dyDescent="0.25">
      <c r="A214" s="2" t="s">
        <v>762</v>
      </c>
      <c r="B214" s="3">
        <v>45341</v>
      </c>
      <c r="C214" s="2" t="s">
        <v>1025</v>
      </c>
      <c r="D214" s="4">
        <v>-11270.25</v>
      </c>
      <c r="E214" s="2" t="s">
        <v>10</v>
      </c>
    </row>
    <row r="215" spans="1:5" x14ac:dyDescent="0.25">
      <c r="A215" s="2" t="s">
        <v>304</v>
      </c>
      <c r="B215" s="3">
        <v>45568</v>
      </c>
      <c r="C215" s="2" t="s">
        <v>1030</v>
      </c>
      <c r="D215" s="4">
        <v>-1427.73</v>
      </c>
      <c r="E215" s="2" t="s">
        <v>10</v>
      </c>
    </row>
    <row r="216" spans="1:5" x14ac:dyDescent="0.25">
      <c r="A216" s="2" t="s">
        <v>652</v>
      </c>
      <c r="B216" s="3">
        <v>45486</v>
      </c>
      <c r="C216" s="2" t="s">
        <v>1050</v>
      </c>
      <c r="D216" s="4">
        <v>-937.63</v>
      </c>
      <c r="E216" s="2" t="s">
        <v>10</v>
      </c>
    </row>
    <row r="217" spans="1:5" x14ac:dyDescent="0.25">
      <c r="A217" s="2" t="s">
        <v>694</v>
      </c>
      <c r="B217" s="3">
        <v>45648</v>
      </c>
      <c r="C217" s="2" t="s">
        <v>1028</v>
      </c>
      <c r="D217" s="4">
        <v>-298.31</v>
      </c>
      <c r="E217" s="2" t="s">
        <v>10</v>
      </c>
    </row>
    <row r="218" spans="1:5" x14ac:dyDescent="0.25">
      <c r="A218" s="2" t="s">
        <v>114</v>
      </c>
      <c r="B218" s="3">
        <v>45359</v>
      </c>
      <c r="C218" s="2" t="s">
        <v>1047</v>
      </c>
      <c r="D218" s="4">
        <v>-115.2</v>
      </c>
      <c r="E218" s="2" t="s">
        <v>10</v>
      </c>
    </row>
    <row r="219" spans="1:5" x14ac:dyDescent="0.25">
      <c r="A219" s="2" t="s">
        <v>802</v>
      </c>
      <c r="B219" s="3">
        <v>45487</v>
      </c>
      <c r="C219" s="2" t="s">
        <v>1034</v>
      </c>
      <c r="D219" s="4">
        <v>12220.92</v>
      </c>
      <c r="E219" s="2" t="s">
        <v>10</v>
      </c>
    </row>
    <row r="220" spans="1:5" x14ac:dyDescent="0.25">
      <c r="A220" s="2" t="s">
        <v>509</v>
      </c>
      <c r="B220" s="3">
        <v>45632</v>
      </c>
      <c r="C220" s="2" t="s">
        <v>1054</v>
      </c>
      <c r="D220" s="4">
        <v>-3991.91</v>
      </c>
      <c r="E220" s="2" t="s">
        <v>10</v>
      </c>
    </row>
    <row r="221" spans="1:5" x14ac:dyDescent="0.25">
      <c r="A221" s="2" t="s">
        <v>670</v>
      </c>
      <c r="B221" s="3">
        <v>45593</v>
      </c>
      <c r="C221" s="2" t="s">
        <v>1033</v>
      </c>
      <c r="D221" s="4">
        <v>-6111.37</v>
      </c>
      <c r="E221" s="2" t="s">
        <v>10</v>
      </c>
    </row>
    <row r="222" spans="1:5" x14ac:dyDescent="0.25">
      <c r="A222" s="2" t="s">
        <v>296</v>
      </c>
      <c r="B222" s="3">
        <v>45573</v>
      </c>
      <c r="C222" s="2" t="s">
        <v>1054</v>
      </c>
      <c r="D222" s="4">
        <v>-2998.56</v>
      </c>
      <c r="E222" s="2" t="s">
        <v>10</v>
      </c>
    </row>
    <row r="223" spans="1:5" x14ac:dyDescent="0.25">
      <c r="A223" s="2" t="s">
        <v>463</v>
      </c>
      <c r="B223" s="3">
        <v>45324</v>
      </c>
      <c r="C223" s="2" t="s">
        <v>1039</v>
      </c>
      <c r="D223" s="4">
        <v>-13036.08</v>
      </c>
      <c r="E223" s="2" t="s">
        <v>10</v>
      </c>
    </row>
    <row r="224" spans="1:5" x14ac:dyDescent="0.25">
      <c r="A224" s="2" t="s">
        <v>836</v>
      </c>
      <c r="B224" s="3">
        <v>45632</v>
      </c>
      <c r="C224" s="2" t="s">
        <v>1041</v>
      </c>
      <c r="D224" s="4">
        <v>-29.08</v>
      </c>
      <c r="E224" s="2" t="s">
        <v>10</v>
      </c>
    </row>
    <row r="225" spans="1:5" x14ac:dyDescent="0.25">
      <c r="A225" s="2" t="s">
        <v>440</v>
      </c>
      <c r="B225" s="3">
        <v>45362</v>
      </c>
      <c r="C225" s="2" t="s">
        <v>1044</v>
      </c>
      <c r="D225" s="4">
        <v>-1606.65</v>
      </c>
      <c r="E225" s="2" t="s">
        <v>10</v>
      </c>
    </row>
    <row r="226" spans="1:5" x14ac:dyDescent="0.25">
      <c r="A226" s="2" t="s">
        <v>912</v>
      </c>
      <c r="B226" s="3">
        <v>45400</v>
      </c>
      <c r="C226" s="2" t="s">
        <v>1046</v>
      </c>
      <c r="D226" s="4">
        <v>-2248.0700000000002</v>
      </c>
      <c r="E226" s="2" t="s">
        <v>10</v>
      </c>
    </row>
    <row r="227" spans="1:5" x14ac:dyDescent="0.25">
      <c r="A227" s="2" t="s">
        <v>861</v>
      </c>
      <c r="B227" s="3">
        <v>45342</v>
      </c>
      <c r="C227" s="2" t="s">
        <v>1034</v>
      </c>
      <c r="D227" s="4">
        <v>8823.5300000000007</v>
      </c>
      <c r="E227" s="2" t="s">
        <v>10</v>
      </c>
    </row>
    <row r="228" spans="1:5" x14ac:dyDescent="0.25">
      <c r="A228" s="2" t="s">
        <v>721</v>
      </c>
      <c r="B228" s="3">
        <v>45645</v>
      </c>
      <c r="C228" s="2" t="s">
        <v>1035</v>
      </c>
      <c r="D228" s="4">
        <v>-55.28</v>
      </c>
      <c r="E228" s="2" t="s">
        <v>10</v>
      </c>
    </row>
    <row r="229" spans="1:5" x14ac:dyDescent="0.25">
      <c r="A229" s="2" t="s">
        <v>596</v>
      </c>
      <c r="B229" s="3">
        <v>45510</v>
      </c>
      <c r="C229" s="2" t="s">
        <v>1054</v>
      </c>
      <c r="D229" s="4">
        <v>-5969.2</v>
      </c>
      <c r="E229" s="2" t="s">
        <v>10</v>
      </c>
    </row>
    <row r="230" spans="1:5" x14ac:dyDescent="0.25">
      <c r="A230" s="2" t="s">
        <v>405</v>
      </c>
      <c r="B230" s="3">
        <v>45595</v>
      </c>
      <c r="C230" s="2" t="s">
        <v>1048</v>
      </c>
      <c r="D230" s="4">
        <v>-146.84</v>
      </c>
      <c r="E230" s="2" t="s">
        <v>10</v>
      </c>
    </row>
    <row r="231" spans="1:5" x14ac:dyDescent="0.25">
      <c r="A231" s="2" t="s">
        <v>523</v>
      </c>
      <c r="B231" s="3">
        <v>45472</v>
      </c>
      <c r="C231" s="2" t="s">
        <v>1031</v>
      </c>
      <c r="D231" s="4">
        <v>246.04</v>
      </c>
      <c r="E231" s="2" t="s">
        <v>10</v>
      </c>
    </row>
    <row r="232" spans="1:5" x14ac:dyDescent="0.25">
      <c r="A232" s="2" t="s">
        <v>752</v>
      </c>
      <c r="B232" s="3">
        <v>45521</v>
      </c>
      <c r="C232" s="2" t="s">
        <v>1044</v>
      </c>
      <c r="D232" s="4">
        <v>-1373.45</v>
      </c>
      <c r="E232" s="2" t="s">
        <v>10</v>
      </c>
    </row>
    <row r="233" spans="1:5" x14ac:dyDescent="0.25">
      <c r="A233" s="2" t="s">
        <v>1055</v>
      </c>
      <c r="B233" s="3">
        <v>45568</v>
      </c>
      <c r="C233" s="2" t="s">
        <v>1024</v>
      </c>
      <c r="D233" s="4">
        <v>238.95</v>
      </c>
      <c r="E233" s="2" t="s">
        <v>10</v>
      </c>
    </row>
    <row r="234" spans="1:5" x14ac:dyDescent="0.25">
      <c r="A234" s="2" t="s">
        <v>300</v>
      </c>
      <c r="B234" s="3">
        <v>45541</v>
      </c>
      <c r="C234" s="2" t="s">
        <v>1024</v>
      </c>
      <c r="D234" s="4">
        <v>79.22</v>
      </c>
      <c r="E234" s="2" t="s">
        <v>10</v>
      </c>
    </row>
    <row r="235" spans="1:5" x14ac:dyDescent="0.25">
      <c r="A235" s="2" t="s">
        <v>534</v>
      </c>
      <c r="B235" s="3">
        <v>45510</v>
      </c>
      <c r="C235" s="2" t="s">
        <v>1035</v>
      </c>
      <c r="D235" s="4">
        <v>-582.33000000000004</v>
      </c>
      <c r="E235" s="2" t="s">
        <v>10</v>
      </c>
    </row>
    <row r="236" spans="1:5" x14ac:dyDescent="0.25">
      <c r="A236" s="2" t="s">
        <v>880</v>
      </c>
      <c r="B236" s="3">
        <v>45348</v>
      </c>
      <c r="C236" s="2" t="s">
        <v>1044</v>
      </c>
      <c r="D236" s="4">
        <v>-3339.96</v>
      </c>
      <c r="E236" s="2" t="s">
        <v>10</v>
      </c>
    </row>
    <row r="237" spans="1:5" x14ac:dyDescent="0.25">
      <c r="A237" s="2" t="s">
        <v>465</v>
      </c>
      <c r="B237" s="3">
        <v>45502</v>
      </c>
      <c r="C237" s="2" t="s">
        <v>1051</v>
      </c>
      <c r="D237" s="4">
        <v>-5829.94</v>
      </c>
      <c r="E237" s="2" t="s">
        <v>10</v>
      </c>
    </row>
    <row r="238" spans="1:5" x14ac:dyDescent="0.25">
      <c r="A238" s="2" t="s">
        <v>725</v>
      </c>
      <c r="B238" s="3">
        <v>45581</v>
      </c>
      <c r="C238" s="2" t="s">
        <v>1053</v>
      </c>
      <c r="D238" s="4">
        <v>-17.13</v>
      </c>
      <c r="E238" s="2" t="s">
        <v>10</v>
      </c>
    </row>
    <row r="239" spans="1:5" x14ac:dyDescent="0.25">
      <c r="A239" s="2" t="s">
        <v>299</v>
      </c>
      <c r="B239" s="3">
        <v>45367</v>
      </c>
      <c r="C239" s="2" t="s">
        <v>1034</v>
      </c>
      <c r="D239" s="4">
        <v>12853.37</v>
      </c>
      <c r="E239" s="2" t="s">
        <v>10</v>
      </c>
    </row>
    <row r="240" spans="1:5" x14ac:dyDescent="0.25">
      <c r="A240" s="2" t="s">
        <v>811</v>
      </c>
      <c r="B240" s="3">
        <v>45473</v>
      </c>
      <c r="C240" s="2" t="s">
        <v>1029</v>
      </c>
      <c r="D240" s="4">
        <v>-1696.13</v>
      </c>
      <c r="E240" s="2" t="s">
        <v>10</v>
      </c>
    </row>
    <row r="241" spans="1:5" x14ac:dyDescent="0.25">
      <c r="A241" s="2" t="s">
        <v>152</v>
      </c>
      <c r="B241" s="3">
        <v>45395</v>
      </c>
      <c r="C241" s="2" t="s">
        <v>1039</v>
      </c>
      <c r="D241" s="4">
        <v>-13196.58</v>
      </c>
      <c r="E241" s="2" t="s">
        <v>10</v>
      </c>
    </row>
    <row r="242" spans="1:5" x14ac:dyDescent="0.25">
      <c r="A242" s="2" t="s">
        <v>438</v>
      </c>
      <c r="B242" s="3">
        <v>45393</v>
      </c>
      <c r="C242" s="2" t="s">
        <v>1043</v>
      </c>
      <c r="D242" s="4">
        <v>-3190.49</v>
      </c>
      <c r="E242" s="2" t="s">
        <v>10</v>
      </c>
    </row>
    <row r="243" spans="1:5" x14ac:dyDescent="0.25">
      <c r="A243" s="2" t="s">
        <v>808</v>
      </c>
      <c r="B243" s="3">
        <v>45347</v>
      </c>
      <c r="C243" s="2" t="s">
        <v>1029</v>
      </c>
      <c r="D243" s="4">
        <v>-956.96</v>
      </c>
      <c r="E243" s="2" t="s">
        <v>10</v>
      </c>
    </row>
    <row r="244" spans="1:5" x14ac:dyDescent="0.25">
      <c r="A244" s="2" t="s">
        <v>505</v>
      </c>
      <c r="B244" s="3">
        <v>45624</v>
      </c>
      <c r="C244" s="2" t="s">
        <v>1044</v>
      </c>
      <c r="D244" s="4">
        <v>-1442.89</v>
      </c>
      <c r="E244" s="2" t="s">
        <v>10</v>
      </c>
    </row>
    <row r="245" spans="1:5" x14ac:dyDescent="0.25">
      <c r="A245" s="2" t="s">
        <v>859</v>
      </c>
      <c r="B245" s="3">
        <v>45639</v>
      </c>
      <c r="C245" s="2" t="s">
        <v>1036</v>
      </c>
      <c r="D245" s="4">
        <v>-1913.81</v>
      </c>
      <c r="E245" s="2" t="s">
        <v>10</v>
      </c>
    </row>
    <row r="246" spans="1:5" x14ac:dyDescent="0.25">
      <c r="A246" s="2" t="s">
        <v>856</v>
      </c>
      <c r="B246" s="3">
        <v>45574</v>
      </c>
      <c r="C246" s="2" t="s">
        <v>1034</v>
      </c>
      <c r="D246" s="4">
        <v>1703.38</v>
      </c>
      <c r="E246" s="2" t="s">
        <v>10</v>
      </c>
    </row>
    <row r="247" spans="1:5" x14ac:dyDescent="0.25">
      <c r="A247" s="2" t="s">
        <v>896</v>
      </c>
      <c r="B247" s="3">
        <v>45397</v>
      </c>
      <c r="C247" s="2" t="s">
        <v>1051</v>
      </c>
      <c r="D247" s="4">
        <v>-5696.6</v>
      </c>
      <c r="E247" s="2" t="s">
        <v>10</v>
      </c>
    </row>
    <row r="248" spans="1:5" x14ac:dyDescent="0.25">
      <c r="A248" s="2" t="s">
        <v>838</v>
      </c>
      <c r="B248" s="3">
        <v>45480</v>
      </c>
      <c r="C248" s="2" t="s">
        <v>1043</v>
      </c>
      <c r="D248" s="4">
        <v>-5901.23</v>
      </c>
      <c r="E248" s="2" t="s">
        <v>10</v>
      </c>
    </row>
    <row r="249" spans="1:5" x14ac:dyDescent="0.25">
      <c r="A249" s="2" t="s">
        <v>676</v>
      </c>
      <c r="B249" s="3">
        <v>45405</v>
      </c>
      <c r="C249" s="2" t="s">
        <v>1036</v>
      </c>
      <c r="D249" s="4">
        <v>-2071.65</v>
      </c>
      <c r="E249" s="2" t="s">
        <v>10</v>
      </c>
    </row>
    <row r="250" spans="1:5" x14ac:dyDescent="0.25">
      <c r="A250" s="2" t="s">
        <v>853</v>
      </c>
      <c r="B250" s="3">
        <v>45431</v>
      </c>
      <c r="C250" s="2" t="s">
        <v>1035</v>
      </c>
      <c r="D250" s="4">
        <v>-895.61</v>
      </c>
      <c r="E250" s="2" t="s">
        <v>10</v>
      </c>
    </row>
    <row r="251" spans="1:5" x14ac:dyDescent="0.25">
      <c r="A251" s="2" t="s">
        <v>641</v>
      </c>
      <c r="B251" s="3">
        <v>45488</v>
      </c>
      <c r="C251" s="2" t="s">
        <v>1035</v>
      </c>
      <c r="D251" s="4">
        <v>-874.38</v>
      </c>
      <c r="E251" s="2" t="s">
        <v>10</v>
      </c>
    </row>
    <row r="252" spans="1:5" x14ac:dyDescent="0.25">
      <c r="A252" s="2" t="s">
        <v>170</v>
      </c>
      <c r="B252" s="3">
        <v>45599</v>
      </c>
      <c r="C252" s="2" t="s">
        <v>1053</v>
      </c>
      <c r="D252" s="4">
        <v>-359.13</v>
      </c>
      <c r="E252" s="2" t="s">
        <v>10</v>
      </c>
    </row>
    <row r="253" spans="1:5" x14ac:dyDescent="0.25">
      <c r="A253" s="2" t="s">
        <v>167</v>
      </c>
      <c r="B253" s="3">
        <v>45497</v>
      </c>
      <c r="C253" s="2" t="s">
        <v>1030</v>
      </c>
      <c r="D253" s="4">
        <v>-1024.6300000000001</v>
      </c>
      <c r="E253" s="2" t="s">
        <v>10</v>
      </c>
    </row>
    <row r="254" spans="1:5" x14ac:dyDescent="0.25">
      <c r="A254" s="2" t="s">
        <v>1056</v>
      </c>
      <c r="B254" s="3">
        <v>45533</v>
      </c>
      <c r="C254" s="2" t="s">
        <v>1031</v>
      </c>
      <c r="D254" s="4">
        <v>239.42</v>
      </c>
      <c r="E254" s="2" t="s">
        <v>10</v>
      </c>
    </row>
    <row r="255" spans="1:5" x14ac:dyDescent="0.25">
      <c r="A255" s="2" t="s">
        <v>908</v>
      </c>
      <c r="B255" s="3">
        <v>45563</v>
      </c>
      <c r="C255" s="2" t="s">
        <v>1031</v>
      </c>
      <c r="D255" s="4">
        <v>397.16</v>
      </c>
      <c r="E255" s="2" t="s">
        <v>10</v>
      </c>
    </row>
    <row r="256" spans="1:5" x14ac:dyDescent="0.25">
      <c r="A256" s="2" t="s">
        <v>412</v>
      </c>
      <c r="B256" s="3">
        <v>45541</v>
      </c>
      <c r="C256" s="2" t="s">
        <v>1048</v>
      </c>
      <c r="D256" s="4">
        <v>-16.27</v>
      </c>
      <c r="E256" s="2" t="s">
        <v>10</v>
      </c>
    </row>
    <row r="257" spans="1:5" x14ac:dyDescent="0.25">
      <c r="A257" s="2" t="s">
        <v>55</v>
      </c>
      <c r="B257" s="3">
        <v>45463</v>
      </c>
      <c r="C257" s="2" t="s">
        <v>1025</v>
      </c>
      <c r="D257" s="4">
        <v>-6318.44</v>
      </c>
      <c r="E257" s="2" t="s">
        <v>10</v>
      </c>
    </row>
    <row r="258" spans="1:5" x14ac:dyDescent="0.25">
      <c r="A258" s="2" t="s">
        <v>564</v>
      </c>
      <c r="B258" s="3">
        <v>45580</v>
      </c>
      <c r="C258" s="2" t="s">
        <v>1045</v>
      </c>
      <c r="D258" s="4">
        <v>-475.54</v>
      </c>
      <c r="E258" s="2" t="s">
        <v>10</v>
      </c>
    </row>
    <row r="259" spans="1:5" x14ac:dyDescent="0.25">
      <c r="A259" s="2" t="s">
        <v>263</v>
      </c>
      <c r="B259" s="3">
        <v>45303</v>
      </c>
      <c r="C259" s="2" t="s">
        <v>1045</v>
      </c>
      <c r="D259" s="4">
        <v>-603.37</v>
      </c>
      <c r="E259" s="2" t="s">
        <v>10</v>
      </c>
    </row>
    <row r="260" spans="1:5" x14ac:dyDescent="0.25">
      <c r="A260" s="2" t="s">
        <v>858</v>
      </c>
      <c r="B260" s="3">
        <v>45544</v>
      </c>
      <c r="C260" s="2" t="s">
        <v>1038</v>
      </c>
      <c r="D260" s="4">
        <v>-1071.6199999999999</v>
      </c>
      <c r="E260" s="2" t="s">
        <v>10</v>
      </c>
    </row>
    <row r="261" spans="1:5" x14ac:dyDescent="0.25">
      <c r="A261" s="2" t="s">
        <v>473</v>
      </c>
      <c r="B261" s="3">
        <v>45630</v>
      </c>
      <c r="C261" s="2" t="s">
        <v>1049</v>
      </c>
      <c r="D261" s="4">
        <v>14028.53</v>
      </c>
      <c r="E261" s="2" t="s">
        <v>10</v>
      </c>
    </row>
    <row r="262" spans="1:5" x14ac:dyDescent="0.25">
      <c r="A262" s="2" t="s">
        <v>485</v>
      </c>
      <c r="B262" s="3">
        <v>45404</v>
      </c>
      <c r="C262" s="2" t="s">
        <v>1053</v>
      </c>
      <c r="D262" s="4">
        <v>-741.43</v>
      </c>
      <c r="E262" s="2" t="s">
        <v>10</v>
      </c>
    </row>
    <row r="263" spans="1:5" x14ac:dyDescent="0.25">
      <c r="A263" s="2" t="s">
        <v>469</v>
      </c>
      <c r="B263" s="3">
        <v>45420</v>
      </c>
      <c r="C263" s="2" t="s">
        <v>1024</v>
      </c>
      <c r="D263" s="4">
        <v>369.33</v>
      </c>
      <c r="E263" s="2" t="s">
        <v>10</v>
      </c>
    </row>
    <row r="264" spans="1:5" x14ac:dyDescent="0.25">
      <c r="A264" s="2" t="s">
        <v>712</v>
      </c>
      <c r="B264" s="3">
        <v>45600</v>
      </c>
      <c r="C264" s="2" t="s">
        <v>1054</v>
      </c>
      <c r="D264" s="4">
        <v>-3718.36</v>
      </c>
      <c r="E264" s="2" t="s">
        <v>10</v>
      </c>
    </row>
    <row r="265" spans="1:5" x14ac:dyDescent="0.25">
      <c r="A265" s="2" t="s">
        <v>102</v>
      </c>
      <c r="B265" s="3">
        <v>45409</v>
      </c>
      <c r="C265" s="2" t="s">
        <v>1049</v>
      </c>
      <c r="D265" s="4">
        <v>12245.72</v>
      </c>
      <c r="E265" s="2" t="s">
        <v>10</v>
      </c>
    </row>
    <row r="266" spans="1:5" x14ac:dyDescent="0.25">
      <c r="A266" s="2" t="s">
        <v>297</v>
      </c>
      <c r="B266" s="3">
        <v>45450</v>
      </c>
      <c r="C266" s="2" t="s">
        <v>1035</v>
      </c>
      <c r="D266" s="4">
        <v>-127.33</v>
      </c>
      <c r="E266" s="2" t="s">
        <v>10</v>
      </c>
    </row>
    <row r="267" spans="1:5" x14ac:dyDescent="0.25">
      <c r="A267" s="2" t="s">
        <v>567</v>
      </c>
      <c r="B267" s="3">
        <v>45568</v>
      </c>
      <c r="C267" s="2" t="s">
        <v>1047</v>
      </c>
      <c r="D267" s="4">
        <v>-13.4</v>
      </c>
      <c r="E267" s="2" t="s">
        <v>10</v>
      </c>
    </row>
    <row r="268" spans="1:5" x14ac:dyDescent="0.25">
      <c r="A268" s="2" t="s">
        <v>978</v>
      </c>
      <c r="B268" s="3">
        <v>45439</v>
      </c>
      <c r="C268" s="2" t="s">
        <v>1030</v>
      </c>
      <c r="D268" s="4">
        <v>-215.17</v>
      </c>
      <c r="E268" s="2" t="s">
        <v>10</v>
      </c>
    </row>
    <row r="269" spans="1:5" x14ac:dyDescent="0.25">
      <c r="A269" s="2" t="s">
        <v>80</v>
      </c>
      <c r="B269" s="3">
        <v>45296</v>
      </c>
      <c r="C269" s="2" t="s">
        <v>1039</v>
      </c>
      <c r="D269" s="4">
        <v>-148822.20000000001</v>
      </c>
      <c r="E269" s="2" t="s">
        <v>10</v>
      </c>
    </row>
    <row r="270" spans="1:5" x14ac:dyDescent="0.25">
      <c r="A270" s="2" t="s">
        <v>258</v>
      </c>
      <c r="B270" s="3">
        <v>45525</v>
      </c>
      <c r="C270" s="2" t="s">
        <v>1037</v>
      </c>
      <c r="D270" s="4">
        <v>-4858.29</v>
      </c>
      <c r="E270" s="2" t="s">
        <v>10</v>
      </c>
    </row>
    <row r="271" spans="1:5" x14ac:dyDescent="0.25">
      <c r="A271" s="2" t="s">
        <v>288</v>
      </c>
      <c r="B271" s="3">
        <v>45587</v>
      </c>
      <c r="C271" s="2" t="s">
        <v>1039</v>
      </c>
      <c r="D271" s="4">
        <v>-2078.64</v>
      </c>
      <c r="E271" s="2" t="s">
        <v>10</v>
      </c>
    </row>
    <row r="272" spans="1:5" x14ac:dyDescent="0.25">
      <c r="A272" s="2" t="s">
        <v>140</v>
      </c>
      <c r="B272" s="3">
        <v>45374</v>
      </c>
      <c r="C272" s="2" t="s">
        <v>1036</v>
      </c>
      <c r="D272" s="4">
        <v>-2137.5</v>
      </c>
      <c r="E272" s="2" t="s">
        <v>10</v>
      </c>
    </row>
    <row r="273" spans="1:5" x14ac:dyDescent="0.25">
      <c r="A273" s="2" t="s">
        <v>229</v>
      </c>
      <c r="B273" s="3">
        <v>45588</v>
      </c>
      <c r="C273" s="2" t="s">
        <v>1036</v>
      </c>
      <c r="D273" s="4">
        <v>-6325.2</v>
      </c>
      <c r="E273" s="2" t="s">
        <v>10</v>
      </c>
    </row>
    <row r="274" spans="1:5" x14ac:dyDescent="0.25">
      <c r="A274" s="2" t="s">
        <v>753</v>
      </c>
      <c r="B274" s="3">
        <v>45637</v>
      </c>
      <c r="C274" s="2" t="s">
        <v>1034</v>
      </c>
      <c r="D274" s="4">
        <v>10795.45</v>
      </c>
      <c r="E274" s="2" t="s">
        <v>10</v>
      </c>
    </row>
    <row r="275" spans="1:5" x14ac:dyDescent="0.25">
      <c r="A275" s="2" t="s">
        <v>129</v>
      </c>
      <c r="B275" s="3">
        <v>45506</v>
      </c>
      <c r="C275" s="2" t="s">
        <v>1026</v>
      </c>
      <c r="D275" s="4">
        <v>352.37</v>
      </c>
      <c r="E275" s="2" t="s">
        <v>10</v>
      </c>
    </row>
    <row r="276" spans="1:5" x14ac:dyDescent="0.25">
      <c r="A276" s="2" t="s">
        <v>99</v>
      </c>
      <c r="B276" s="3">
        <v>45329</v>
      </c>
      <c r="C276" s="2" t="s">
        <v>1029</v>
      </c>
      <c r="D276" s="4">
        <v>-6149.05</v>
      </c>
      <c r="E276" s="2" t="s">
        <v>10</v>
      </c>
    </row>
    <row r="277" spans="1:5" x14ac:dyDescent="0.25">
      <c r="A277" s="2" t="s">
        <v>166</v>
      </c>
      <c r="B277" s="3">
        <v>45615</v>
      </c>
      <c r="C277" s="2" t="s">
        <v>1026</v>
      </c>
      <c r="D277" s="4">
        <v>91.73</v>
      </c>
      <c r="E277" s="2" t="s">
        <v>10</v>
      </c>
    </row>
    <row r="278" spans="1:5" x14ac:dyDescent="0.25">
      <c r="A278" s="2" t="s">
        <v>240</v>
      </c>
      <c r="B278" s="3">
        <v>45645</v>
      </c>
      <c r="C278" s="2" t="s">
        <v>1047</v>
      </c>
      <c r="D278" s="4">
        <v>-33.299999999999997</v>
      </c>
      <c r="E278" s="2" t="s">
        <v>10</v>
      </c>
    </row>
    <row r="279" spans="1:5" x14ac:dyDescent="0.25">
      <c r="A279" s="2" t="s">
        <v>586</v>
      </c>
      <c r="B279" s="3">
        <v>45456</v>
      </c>
      <c r="C279" s="2" t="s">
        <v>1025</v>
      </c>
      <c r="D279" s="4">
        <v>-13025.81</v>
      </c>
      <c r="E279" s="2" t="s">
        <v>10</v>
      </c>
    </row>
    <row r="280" spans="1:5" x14ac:dyDescent="0.25">
      <c r="A280" s="2" t="s">
        <v>974</v>
      </c>
      <c r="B280" s="3">
        <v>45630</v>
      </c>
      <c r="C280" s="2" t="s">
        <v>1035</v>
      </c>
      <c r="D280" s="4">
        <v>-837.66</v>
      </c>
      <c r="E280" s="2" t="s">
        <v>10</v>
      </c>
    </row>
    <row r="281" spans="1:5" x14ac:dyDescent="0.25">
      <c r="A281" s="2" t="s">
        <v>775</v>
      </c>
      <c r="B281" s="3">
        <v>45321</v>
      </c>
      <c r="C281" s="2" t="s">
        <v>1045</v>
      </c>
      <c r="D281" s="4">
        <v>-580.27</v>
      </c>
      <c r="E281" s="2" t="s">
        <v>10</v>
      </c>
    </row>
    <row r="282" spans="1:5" x14ac:dyDescent="0.25">
      <c r="A282" s="2" t="s">
        <v>1012</v>
      </c>
      <c r="B282" s="3">
        <v>45597</v>
      </c>
      <c r="C282" s="2" t="s">
        <v>1042</v>
      </c>
      <c r="D282" s="4">
        <v>-2966.66</v>
      </c>
      <c r="E282" s="2" t="s">
        <v>10</v>
      </c>
    </row>
    <row r="283" spans="1:5" x14ac:dyDescent="0.25">
      <c r="A283" s="2" t="s">
        <v>90</v>
      </c>
      <c r="B283" s="3">
        <v>45551</v>
      </c>
      <c r="C283" s="2" t="s">
        <v>1045</v>
      </c>
      <c r="D283" s="4">
        <v>-692.91</v>
      </c>
      <c r="E283" s="2" t="s">
        <v>10</v>
      </c>
    </row>
    <row r="284" spans="1:5" x14ac:dyDescent="0.25">
      <c r="A284" s="2" t="s">
        <v>155</v>
      </c>
      <c r="B284" s="3">
        <v>45293</v>
      </c>
      <c r="C284" s="2" t="s">
        <v>1025</v>
      </c>
      <c r="D284" s="4">
        <v>-6579.93</v>
      </c>
      <c r="E284" s="2" t="s">
        <v>10</v>
      </c>
    </row>
    <row r="285" spans="1:5" x14ac:dyDescent="0.25">
      <c r="A285" s="2" t="s">
        <v>936</v>
      </c>
      <c r="B285" s="3">
        <v>45553</v>
      </c>
      <c r="C285" s="2" t="s">
        <v>1027</v>
      </c>
      <c r="D285" s="4">
        <v>9156.77</v>
      </c>
      <c r="E285" s="2" t="s">
        <v>10</v>
      </c>
    </row>
    <row r="286" spans="1:5" x14ac:dyDescent="0.25">
      <c r="A286" s="2" t="s">
        <v>413</v>
      </c>
      <c r="B286" s="3">
        <v>45397</v>
      </c>
      <c r="C286" s="2" t="s">
        <v>1039</v>
      </c>
      <c r="D286" s="4">
        <v>-11001.27</v>
      </c>
      <c r="E286" s="2" t="s">
        <v>10</v>
      </c>
    </row>
    <row r="287" spans="1:5" x14ac:dyDescent="0.25">
      <c r="A287" s="2" t="s">
        <v>738</v>
      </c>
      <c r="B287" s="3">
        <v>45398</v>
      </c>
      <c r="C287" s="2" t="s">
        <v>1053</v>
      </c>
      <c r="D287" s="4">
        <v>-189.22</v>
      </c>
      <c r="E287" s="2" t="s">
        <v>10</v>
      </c>
    </row>
    <row r="288" spans="1:5" x14ac:dyDescent="0.25">
      <c r="A288" s="2" t="s">
        <v>187</v>
      </c>
      <c r="B288" s="3">
        <v>45545</v>
      </c>
      <c r="C288" s="2" t="s">
        <v>1029</v>
      </c>
      <c r="D288" s="4">
        <v>-6357.29</v>
      </c>
      <c r="E288" s="2" t="s">
        <v>10</v>
      </c>
    </row>
    <row r="289" spans="1:5" x14ac:dyDescent="0.25">
      <c r="A289" s="2" t="s">
        <v>382</v>
      </c>
      <c r="B289" s="3">
        <v>45574</v>
      </c>
      <c r="C289" s="2" t="s">
        <v>1043</v>
      </c>
      <c r="D289" s="4">
        <v>-3183.56</v>
      </c>
      <c r="E289" s="2" t="s">
        <v>10</v>
      </c>
    </row>
    <row r="290" spans="1:5" x14ac:dyDescent="0.25">
      <c r="A290" s="2" t="s">
        <v>593</v>
      </c>
      <c r="B290" s="3">
        <v>45329</v>
      </c>
      <c r="C290" s="2" t="s">
        <v>1041</v>
      </c>
      <c r="D290" s="4">
        <v>-12.5</v>
      </c>
      <c r="E290" s="2" t="s">
        <v>10</v>
      </c>
    </row>
    <row r="291" spans="1:5" x14ac:dyDescent="0.25">
      <c r="A291" s="2" t="s">
        <v>914</v>
      </c>
      <c r="B291" s="3">
        <v>45389</v>
      </c>
      <c r="C291" s="2" t="s">
        <v>1054</v>
      </c>
      <c r="D291" s="4">
        <v>-5144.76</v>
      </c>
      <c r="E291" s="2" t="s">
        <v>10</v>
      </c>
    </row>
    <row r="292" spans="1:5" x14ac:dyDescent="0.25">
      <c r="A292" s="2" t="s">
        <v>61</v>
      </c>
      <c r="B292" s="3">
        <v>45409</v>
      </c>
      <c r="C292" s="2" t="s">
        <v>1038</v>
      </c>
      <c r="D292" s="4">
        <v>-245.17</v>
      </c>
      <c r="E292" s="2" t="s">
        <v>123</v>
      </c>
    </row>
    <row r="293" spans="1:5" x14ac:dyDescent="0.25">
      <c r="A293" s="2" t="s">
        <v>85</v>
      </c>
      <c r="B293" s="3">
        <v>45425</v>
      </c>
      <c r="C293" s="2" t="s">
        <v>1051</v>
      </c>
      <c r="D293" s="4">
        <v>-6251.33</v>
      </c>
      <c r="E293" s="2" t="s">
        <v>10</v>
      </c>
    </row>
    <row r="294" spans="1:5" x14ac:dyDescent="0.25">
      <c r="A294" s="2" t="s">
        <v>449</v>
      </c>
      <c r="B294" s="3">
        <v>45376</v>
      </c>
      <c r="C294" s="2" t="s">
        <v>1030</v>
      </c>
      <c r="D294" s="4">
        <v>-602.20000000000005</v>
      </c>
      <c r="E294" s="2" t="s">
        <v>10</v>
      </c>
    </row>
    <row r="295" spans="1:5" x14ac:dyDescent="0.25">
      <c r="A295" s="2" t="s">
        <v>583</v>
      </c>
      <c r="B295" s="3">
        <v>45457</v>
      </c>
      <c r="C295" s="2" t="s">
        <v>1039</v>
      </c>
      <c r="D295" s="4">
        <v>-14582.7</v>
      </c>
      <c r="E295" s="2" t="s">
        <v>10</v>
      </c>
    </row>
    <row r="296" spans="1:5" x14ac:dyDescent="0.25">
      <c r="A296" s="2" t="s">
        <v>137</v>
      </c>
      <c r="B296" s="3">
        <v>45539</v>
      </c>
      <c r="C296" s="2" t="s">
        <v>1035</v>
      </c>
      <c r="D296" s="4">
        <v>138.6</v>
      </c>
      <c r="E296" s="2" t="s">
        <v>10</v>
      </c>
    </row>
    <row r="297" spans="1:5" x14ac:dyDescent="0.25">
      <c r="A297" s="2" t="s">
        <v>1020</v>
      </c>
      <c r="B297" s="3">
        <v>45611</v>
      </c>
      <c r="C297" s="2" t="s">
        <v>1053</v>
      </c>
      <c r="D297" s="4">
        <v>-637.22</v>
      </c>
      <c r="E297" s="2" t="s">
        <v>10</v>
      </c>
    </row>
    <row r="298" spans="1:5" x14ac:dyDescent="0.25">
      <c r="A298" s="2" t="s">
        <v>176</v>
      </c>
      <c r="B298" s="3">
        <v>45516</v>
      </c>
      <c r="C298" s="2" t="s">
        <v>1054</v>
      </c>
      <c r="D298" s="4">
        <v>-5688.1</v>
      </c>
      <c r="E298" s="2" t="s">
        <v>10</v>
      </c>
    </row>
    <row r="299" spans="1:5" x14ac:dyDescent="0.25">
      <c r="A299" s="2" t="s">
        <v>455</v>
      </c>
      <c r="B299" s="3">
        <v>45330</v>
      </c>
      <c r="C299" s="2" t="s">
        <v>1047</v>
      </c>
      <c r="D299" s="4">
        <v>-39.840000000000003</v>
      </c>
      <c r="E299" s="2" t="s">
        <v>10</v>
      </c>
    </row>
    <row r="300" spans="1:5" x14ac:dyDescent="0.25">
      <c r="A300" s="2" t="s">
        <v>607</v>
      </c>
      <c r="B300" s="3">
        <v>45419</v>
      </c>
      <c r="C300" s="2" t="s">
        <v>1046</v>
      </c>
      <c r="D300" s="4">
        <v>-3575.5</v>
      </c>
      <c r="E300" s="2" t="s">
        <v>10</v>
      </c>
    </row>
    <row r="301" spans="1:5" x14ac:dyDescent="0.25">
      <c r="A301" s="2" t="s">
        <v>840</v>
      </c>
      <c r="B301" s="3">
        <v>45429</v>
      </c>
      <c r="C301" s="2" t="s">
        <v>1036</v>
      </c>
      <c r="D301" s="4">
        <v>-854.56</v>
      </c>
      <c r="E301" s="2" t="s">
        <v>10</v>
      </c>
    </row>
    <row r="302" spans="1:5" x14ac:dyDescent="0.25">
      <c r="A302" s="2" t="s">
        <v>277</v>
      </c>
      <c r="B302" s="3">
        <v>45601</v>
      </c>
      <c r="C302" s="2" t="s">
        <v>1036</v>
      </c>
      <c r="D302" s="4">
        <v>-1780.58</v>
      </c>
      <c r="E302" s="2" t="s">
        <v>10</v>
      </c>
    </row>
    <row r="303" spans="1:5" x14ac:dyDescent="0.25">
      <c r="A303" s="2" t="s">
        <v>199</v>
      </c>
      <c r="B303" s="3">
        <v>45379</v>
      </c>
      <c r="C303" s="2" t="s">
        <v>1054</v>
      </c>
      <c r="D303" s="4">
        <v>-3610.48</v>
      </c>
      <c r="E303" s="2" t="s">
        <v>10</v>
      </c>
    </row>
    <row r="304" spans="1:5" x14ac:dyDescent="0.25">
      <c r="A304" s="2" t="s">
        <v>419</v>
      </c>
      <c r="B304" s="3">
        <v>45497</v>
      </c>
      <c r="C304" s="2" t="s">
        <v>1036</v>
      </c>
      <c r="D304" s="4">
        <v>-5262.98</v>
      </c>
      <c r="E304" s="2" t="s">
        <v>10</v>
      </c>
    </row>
    <row r="305" spans="1:5" x14ac:dyDescent="0.25">
      <c r="A305" s="2" t="s">
        <v>532</v>
      </c>
      <c r="B305" s="3">
        <v>45479</v>
      </c>
      <c r="C305" s="2" t="s">
        <v>1048</v>
      </c>
      <c r="D305" s="4">
        <v>-6.75</v>
      </c>
      <c r="E305" s="2" t="s">
        <v>10</v>
      </c>
    </row>
    <row r="306" spans="1:5" x14ac:dyDescent="0.25">
      <c r="A306" s="2" t="s">
        <v>572</v>
      </c>
      <c r="B306" s="3">
        <v>45511</v>
      </c>
      <c r="C306" s="2" t="s">
        <v>1028</v>
      </c>
      <c r="D306" s="4">
        <v>-363.72</v>
      </c>
      <c r="E306" s="2" t="s">
        <v>10</v>
      </c>
    </row>
    <row r="307" spans="1:5" x14ac:dyDescent="0.25">
      <c r="A307" s="2" t="s">
        <v>126</v>
      </c>
      <c r="B307" s="3">
        <v>45447</v>
      </c>
      <c r="C307" s="2" t="s">
        <v>1035</v>
      </c>
      <c r="D307" s="4">
        <v>-840.95</v>
      </c>
      <c r="E307" s="2" t="s">
        <v>10</v>
      </c>
    </row>
    <row r="308" spans="1:5" x14ac:dyDescent="0.25">
      <c r="A308" s="2" t="s">
        <v>1001</v>
      </c>
      <c r="B308" s="3">
        <v>45609</v>
      </c>
      <c r="C308" s="2" t="s">
        <v>1037</v>
      </c>
      <c r="D308" s="4">
        <v>-2198.56</v>
      </c>
      <c r="E308" s="2" t="s">
        <v>10</v>
      </c>
    </row>
    <row r="309" spans="1:5" x14ac:dyDescent="0.25">
      <c r="A309" s="2" t="s">
        <v>867</v>
      </c>
      <c r="B309" s="3">
        <v>45330</v>
      </c>
      <c r="C309" s="2" t="s">
        <v>1033</v>
      </c>
      <c r="D309" s="4">
        <v>-11429.78</v>
      </c>
      <c r="E309" s="2" t="s">
        <v>10</v>
      </c>
    </row>
    <row r="310" spans="1:5" x14ac:dyDescent="0.25">
      <c r="A310" s="2" t="s">
        <v>276</v>
      </c>
      <c r="B310" s="3">
        <v>45539</v>
      </c>
      <c r="C310" s="2" t="s">
        <v>1037</v>
      </c>
      <c r="D310" s="4">
        <v>-13438.77</v>
      </c>
      <c r="E310" s="2" t="s">
        <v>10</v>
      </c>
    </row>
    <row r="311" spans="1:5" x14ac:dyDescent="0.25">
      <c r="A311" s="2" t="s">
        <v>785</v>
      </c>
      <c r="B311" s="3">
        <v>45565</v>
      </c>
      <c r="C311" s="2" t="s">
        <v>1044</v>
      </c>
      <c r="D311" s="4">
        <v>-3200.57</v>
      </c>
      <c r="E311" s="2" t="s">
        <v>10</v>
      </c>
    </row>
    <row r="312" spans="1:5" x14ac:dyDescent="0.25">
      <c r="A312" s="2" t="s">
        <v>902</v>
      </c>
      <c r="B312" s="3">
        <v>45515</v>
      </c>
      <c r="C312" s="2" t="s">
        <v>1045</v>
      </c>
      <c r="D312" s="4">
        <v>-396.99</v>
      </c>
      <c r="E312" s="2" t="s">
        <v>10</v>
      </c>
    </row>
    <row r="313" spans="1:5" x14ac:dyDescent="0.25">
      <c r="A313" s="2" t="s">
        <v>416</v>
      </c>
      <c r="B313" s="3">
        <v>45330</v>
      </c>
      <c r="C313" s="2" t="s">
        <v>1053</v>
      </c>
      <c r="D313" s="4">
        <v>-399.41</v>
      </c>
      <c r="E313" s="2" t="s">
        <v>10</v>
      </c>
    </row>
    <row r="314" spans="1:5" x14ac:dyDescent="0.25">
      <c r="A314" s="2" t="s">
        <v>680</v>
      </c>
      <c r="B314" s="3">
        <v>45492</v>
      </c>
      <c r="C314" s="2" t="s">
        <v>1038</v>
      </c>
      <c r="D314" s="4">
        <v>-1134.8900000000001</v>
      </c>
      <c r="E314" s="2" t="s">
        <v>10</v>
      </c>
    </row>
    <row r="315" spans="1:5" x14ac:dyDescent="0.25">
      <c r="A315" s="2" t="s">
        <v>611</v>
      </c>
      <c r="B315" s="3">
        <v>45367</v>
      </c>
      <c r="C315" s="2" t="s">
        <v>1030</v>
      </c>
      <c r="D315" s="4">
        <v>-2907.53</v>
      </c>
      <c r="E315" s="2" t="s">
        <v>10</v>
      </c>
    </row>
    <row r="316" spans="1:5" x14ac:dyDescent="0.25">
      <c r="A316" s="2" t="s">
        <v>161</v>
      </c>
      <c r="B316" s="3">
        <v>45529</v>
      </c>
      <c r="C316" s="2" t="s">
        <v>1044</v>
      </c>
      <c r="D316" s="4">
        <v>-402.46</v>
      </c>
      <c r="E316" s="2" t="s">
        <v>10</v>
      </c>
    </row>
    <row r="317" spans="1:5" x14ac:dyDescent="0.25">
      <c r="A317" s="2" t="s">
        <v>952</v>
      </c>
      <c r="B317" s="3">
        <v>45319</v>
      </c>
      <c r="C317" s="2" t="s">
        <v>1039</v>
      </c>
      <c r="D317" s="4">
        <v>-739.17</v>
      </c>
      <c r="E317" s="2" t="s">
        <v>10</v>
      </c>
    </row>
    <row r="318" spans="1:5" x14ac:dyDescent="0.25">
      <c r="A318" s="2" t="s">
        <v>998</v>
      </c>
      <c r="B318" s="3">
        <v>45578</v>
      </c>
      <c r="C318" s="2" t="s">
        <v>1031</v>
      </c>
      <c r="D318" s="4">
        <v>203.64</v>
      </c>
      <c r="E318" s="2" t="s">
        <v>10</v>
      </c>
    </row>
    <row r="319" spans="1:5" x14ac:dyDescent="0.25">
      <c r="A319" s="2" t="s">
        <v>584</v>
      </c>
      <c r="B319" s="3">
        <v>45365</v>
      </c>
      <c r="C319" s="2" t="s">
        <v>1036</v>
      </c>
      <c r="D319" s="4">
        <v>-2840.3</v>
      </c>
      <c r="E319" s="2" t="s">
        <v>10</v>
      </c>
    </row>
    <row r="320" spans="1:5" x14ac:dyDescent="0.25">
      <c r="A320" s="2" t="s">
        <v>206</v>
      </c>
      <c r="B320" s="3">
        <v>45312</v>
      </c>
      <c r="C320" s="2" t="s">
        <v>1041</v>
      </c>
      <c r="D320" s="4">
        <v>-142.58000000000001</v>
      </c>
      <c r="E320" s="2" t="s">
        <v>10</v>
      </c>
    </row>
    <row r="321" spans="1:5" x14ac:dyDescent="0.25">
      <c r="A321" s="2" t="s">
        <v>639</v>
      </c>
      <c r="B321" s="3">
        <v>45498</v>
      </c>
      <c r="C321" s="2" t="s">
        <v>1042</v>
      </c>
      <c r="D321" s="4">
        <v>-5925.23</v>
      </c>
      <c r="E321" s="2" t="s">
        <v>10</v>
      </c>
    </row>
    <row r="322" spans="1:5" x14ac:dyDescent="0.25">
      <c r="A322" s="2" t="s">
        <v>363</v>
      </c>
      <c r="B322" s="3">
        <v>45482</v>
      </c>
      <c r="C322" s="2" t="s">
        <v>1054</v>
      </c>
      <c r="D322" s="4">
        <v>-5181.8</v>
      </c>
      <c r="E322" s="2" t="s">
        <v>10</v>
      </c>
    </row>
    <row r="323" spans="1:5" x14ac:dyDescent="0.25">
      <c r="A323" s="2" t="s">
        <v>703</v>
      </c>
      <c r="B323" s="3">
        <v>45425</v>
      </c>
      <c r="C323" s="2" t="s">
        <v>1034</v>
      </c>
      <c r="D323" s="4">
        <v>19890.560000000001</v>
      </c>
      <c r="E323" s="2" t="s">
        <v>10</v>
      </c>
    </row>
    <row r="324" spans="1:5" x14ac:dyDescent="0.25">
      <c r="A324" s="2" t="s">
        <v>351</v>
      </c>
      <c r="B324" s="3">
        <v>45425</v>
      </c>
      <c r="C324" s="2" t="s">
        <v>1050</v>
      </c>
      <c r="D324" s="4">
        <v>-1033.8</v>
      </c>
      <c r="E324" s="2" t="s">
        <v>10</v>
      </c>
    </row>
    <row r="325" spans="1:5" x14ac:dyDescent="0.25">
      <c r="A325" s="2" t="s">
        <v>765</v>
      </c>
      <c r="B325" s="3">
        <v>45582</v>
      </c>
      <c r="C325" s="2" t="s">
        <v>1044</v>
      </c>
      <c r="D325" s="4">
        <v>-3335.6</v>
      </c>
      <c r="E325" s="2" t="s">
        <v>10</v>
      </c>
    </row>
    <row r="326" spans="1:5" x14ac:dyDescent="0.25">
      <c r="A326" s="2" t="s">
        <v>373</v>
      </c>
      <c r="B326" s="3">
        <v>45613</v>
      </c>
      <c r="C326" s="2" t="s">
        <v>1032</v>
      </c>
      <c r="D326" s="4">
        <v>-481.86</v>
      </c>
      <c r="E326" s="2" t="s">
        <v>10</v>
      </c>
    </row>
    <row r="327" spans="1:5" x14ac:dyDescent="0.25">
      <c r="A327" s="2" t="s">
        <v>779</v>
      </c>
      <c r="B327" s="3">
        <v>45544</v>
      </c>
      <c r="C327" s="2" t="s">
        <v>1032</v>
      </c>
      <c r="D327" s="4">
        <v>-2223.11</v>
      </c>
      <c r="E327" s="2" t="s">
        <v>10</v>
      </c>
    </row>
    <row r="328" spans="1:5" x14ac:dyDescent="0.25">
      <c r="A328" s="2" t="s">
        <v>389</v>
      </c>
      <c r="B328" s="3">
        <v>45468</v>
      </c>
      <c r="C328" s="2" t="s">
        <v>1034</v>
      </c>
      <c r="D328" s="4">
        <v>23275.99</v>
      </c>
      <c r="E328" s="2" t="s">
        <v>10</v>
      </c>
    </row>
    <row r="329" spans="1:5" x14ac:dyDescent="0.25">
      <c r="A329" s="2" t="s">
        <v>636</v>
      </c>
      <c r="B329" s="3">
        <v>45394</v>
      </c>
      <c r="C329" s="2" t="s">
        <v>1052</v>
      </c>
      <c r="D329" s="4">
        <v>-1477.71</v>
      </c>
      <c r="E329" s="2" t="s">
        <v>10</v>
      </c>
    </row>
    <row r="330" spans="1:5" x14ac:dyDescent="0.25">
      <c r="A330" s="2" t="s">
        <v>933</v>
      </c>
      <c r="B330" s="3">
        <v>45387</v>
      </c>
      <c r="C330" s="2" t="s">
        <v>1039</v>
      </c>
      <c r="D330" s="4">
        <v>-952.34</v>
      </c>
      <c r="E330" s="2" t="s">
        <v>10</v>
      </c>
    </row>
    <row r="331" spans="1:5" x14ac:dyDescent="0.25">
      <c r="A331" s="2" t="s">
        <v>759</v>
      </c>
      <c r="B331" s="3">
        <v>45372</v>
      </c>
      <c r="C331" s="2" t="s">
        <v>1032</v>
      </c>
      <c r="D331" s="4">
        <v>-2033.39</v>
      </c>
      <c r="E331" s="2" t="s">
        <v>10</v>
      </c>
    </row>
    <row r="332" spans="1:5" x14ac:dyDescent="0.25">
      <c r="A332" s="2" t="s">
        <v>158</v>
      </c>
      <c r="B332" s="3">
        <v>45482</v>
      </c>
      <c r="C332" s="2" t="s">
        <v>1053</v>
      </c>
      <c r="D332" s="4">
        <v>-68.34</v>
      </c>
      <c r="E332" s="2" t="s">
        <v>10</v>
      </c>
    </row>
    <row r="333" spans="1:5" x14ac:dyDescent="0.25">
      <c r="A333" s="2" t="s">
        <v>45</v>
      </c>
      <c r="B333" s="3">
        <v>45584</v>
      </c>
      <c r="C333" s="2" t="s">
        <v>1029</v>
      </c>
      <c r="D333" s="4">
        <v>-7903.03</v>
      </c>
      <c r="E333" s="2" t="s">
        <v>10</v>
      </c>
    </row>
    <row r="334" spans="1:5" x14ac:dyDescent="0.25">
      <c r="A334" s="2" t="s">
        <v>789</v>
      </c>
      <c r="B334" s="3">
        <v>45629</v>
      </c>
      <c r="C334" s="2" t="s">
        <v>1034</v>
      </c>
      <c r="D334" s="4">
        <v>22723.62</v>
      </c>
      <c r="E334" s="2" t="s">
        <v>10</v>
      </c>
    </row>
    <row r="335" spans="1:5" x14ac:dyDescent="0.25">
      <c r="A335" s="2" t="s">
        <v>613</v>
      </c>
      <c r="B335" s="3">
        <v>45559</v>
      </c>
      <c r="C335" s="2" t="s">
        <v>1024</v>
      </c>
      <c r="D335" s="4">
        <v>140.35</v>
      </c>
      <c r="E335" s="2" t="s">
        <v>10</v>
      </c>
    </row>
    <row r="336" spans="1:5" x14ac:dyDescent="0.25">
      <c r="A336" s="2" t="s">
        <v>154</v>
      </c>
      <c r="B336" s="3">
        <v>45462</v>
      </c>
      <c r="C336" s="2" t="s">
        <v>1047</v>
      </c>
      <c r="D336" s="4">
        <v>-14.74</v>
      </c>
      <c r="E336" s="2" t="s">
        <v>10</v>
      </c>
    </row>
    <row r="337" spans="1:5" x14ac:dyDescent="0.25">
      <c r="A337" s="2" t="s">
        <v>264</v>
      </c>
      <c r="B337" s="3">
        <v>45303</v>
      </c>
      <c r="C337" s="2" t="s">
        <v>1027</v>
      </c>
      <c r="D337" s="4">
        <v>8366.6</v>
      </c>
      <c r="E337" s="2" t="s">
        <v>10</v>
      </c>
    </row>
    <row r="338" spans="1:5" x14ac:dyDescent="0.25">
      <c r="A338" s="2" t="s">
        <v>216</v>
      </c>
      <c r="B338" s="3">
        <v>45421</v>
      </c>
      <c r="C338" s="2" t="s">
        <v>1047</v>
      </c>
      <c r="D338" s="4">
        <v>-43.38</v>
      </c>
      <c r="E338" s="2" t="s">
        <v>10</v>
      </c>
    </row>
    <row r="339" spans="1:5" x14ac:dyDescent="0.25">
      <c r="A339" s="2" t="s">
        <v>404</v>
      </c>
      <c r="B339" s="3">
        <v>45420</v>
      </c>
      <c r="C339" s="2" t="s">
        <v>1037</v>
      </c>
      <c r="D339" s="4">
        <v>-9075.49</v>
      </c>
      <c r="E339" s="2" t="s">
        <v>10</v>
      </c>
    </row>
    <row r="340" spans="1:5" x14ac:dyDescent="0.25">
      <c r="A340" s="2" t="s">
        <v>737</v>
      </c>
      <c r="B340" s="3">
        <v>45580</v>
      </c>
      <c r="C340" s="2" t="s">
        <v>1024</v>
      </c>
      <c r="D340" s="4">
        <v>363.5</v>
      </c>
      <c r="E340" s="2" t="s">
        <v>10</v>
      </c>
    </row>
    <row r="341" spans="1:5" x14ac:dyDescent="0.25">
      <c r="A341" s="2" t="s">
        <v>973</v>
      </c>
      <c r="B341" s="3">
        <v>45408</v>
      </c>
      <c r="C341" s="2" t="s">
        <v>1047</v>
      </c>
      <c r="D341" s="4">
        <v>-98.38</v>
      </c>
      <c r="E341" s="2" t="s">
        <v>10</v>
      </c>
    </row>
    <row r="342" spans="1:5" x14ac:dyDescent="0.25">
      <c r="A342" s="2" t="s">
        <v>431</v>
      </c>
      <c r="B342" s="3">
        <v>45604</v>
      </c>
      <c r="C342" s="2" t="s">
        <v>1048</v>
      </c>
      <c r="D342" s="4">
        <v>-97.5</v>
      </c>
      <c r="E342" s="2" t="s">
        <v>10</v>
      </c>
    </row>
    <row r="343" spans="1:5" x14ac:dyDescent="0.25">
      <c r="A343" s="2" t="s">
        <v>843</v>
      </c>
      <c r="B343" s="3">
        <v>45329</v>
      </c>
      <c r="C343" s="2" t="s">
        <v>1037</v>
      </c>
      <c r="D343" s="4">
        <v>-10827.32</v>
      </c>
      <c r="E343" s="2" t="s">
        <v>10</v>
      </c>
    </row>
    <row r="344" spans="1:5" x14ac:dyDescent="0.25">
      <c r="A344" s="2" t="s">
        <v>1006</v>
      </c>
      <c r="B344" s="3">
        <v>45497</v>
      </c>
      <c r="C344" s="2" t="s">
        <v>1026</v>
      </c>
      <c r="D344" s="4">
        <v>272.27999999999997</v>
      </c>
      <c r="E344" s="2" t="s">
        <v>10</v>
      </c>
    </row>
    <row r="345" spans="1:5" x14ac:dyDescent="0.25">
      <c r="A345" s="2" t="s">
        <v>855</v>
      </c>
      <c r="B345" s="3">
        <v>45605</v>
      </c>
      <c r="C345" s="2" t="s">
        <v>1052</v>
      </c>
      <c r="D345" s="4">
        <v>-4247.0600000000004</v>
      </c>
      <c r="E345" s="2" t="s">
        <v>10</v>
      </c>
    </row>
    <row r="346" spans="1:5" x14ac:dyDescent="0.25">
      <c r="A346" s="2" t="s">
        <v>926</v>
      </c>
      <c r="B346" s="3">
        <v>45646</v>
      </c>
      <c r="C346" s="2" t="s">
        <v>1051</v>
      </c>
      <c r="D346" s="4">
        <v>-11945.65</v>
      </c>
      <c r="E346" s="2" t="s">
        <v>10</v>
      </c>
    </row>
    <row r="347" spans="1:5" x14ac:dyDescent="0.25">
      <c r="A347" s="2" t="s">
        <v>399</v>
      </c>
      <c r="B347" s="3">
        <v>45559</v>
      </c>
      <c r="C347" s="2" t="s">
        <v>1052</v>
      </c>
      <c r="D347" s="4">
        <v>-3604.39</v>
      </c>
      <c r="E347" s="2" t="s">
        <v>10</v>
      </c>
    </row>
    <row r="348" spans="1:5" x14ac:dyDescent="0.25">
      <c r="A348" s="2" t="s">
        <v>318</v>
      </c>
      <c r="B348" s="3">
        <v>45489</v>
      </c>
      <c r="C348" s="2" t="s">
        <v>1052</v>
      </c>
      <c r="D348" s="4">
        <v>-6697.85</v>
      </c>
      <c r="E348" s="2" t="s">
        <v>10</v>
      </c>
    </row>
    <row r="349" spans="1:5" x14ac:dyDescent="0.25">
      <c r="A349" s="2" t="s">
        <v>352</v>
      </c>
      <c r="B349" s="3">
        <v>45513</v>
      </c>
      <c r="C349" s="2" t="s">
        <v>1038</v>
      </c>
      <c r="D349" s="4">
        <v>-413.82</v>
      </c>
      <c r="E349" s="2" t="s">
        <v>10</v>
      </c>
    </row>
    <row r="350" spans="1:5" x14ac:dyDescent="0.25">
      <c r="A350" s="2" t="s">
        <v>306</v>
      </c>
      <c r="B350" s="3">
        <v>45513</v>
      </c>
      <c r="C350" s="2" t="s">
        <v>1044</v>
      </c>
      <c r="D350" s="4">
        <v>-2159.8000000000002</v>
      </c>
      <c r="E350" s="2" t="s">
        <v>10</v>
      </c>
    </row>
    <row r="351" spans="1:5" x14ac:dyDescent="0.25">
      <c r="A351" s="2" t="s">
        <v>643</v>
      </c>
      <c r="B351" s="3">
        <v>45328</v>
      </c>
      <c r="C351" s="2" t="s">
        <v>1054</v>
      </c>
      <c r="D351" s="4">
        <v>-4734.58</v>
      </c>
      <c r="E351" s="2" t="s">
        <v>10</v>
      </c>
    </row>
    <row r="352" spans="1:5" x14ac:dyDescent="0.25">
      <c r="A352" s="2" t="s">
        <v>457</v>
      </c>
      <c r="B352" s="3">
        <v>45434</v>
      </c>
      <c r="C352" s="2" t="s">
        <v>1044</v>
      </c>
      <c r="D352" s="4">
        <v>-1695.84</v>
      </c>
      <c r="E352" s="2" t="s">
        <v>10</v>
      </c>
    </row>
    <row r="353" spans="1:5" x14ac:dyDescent="0.25">
      <c r="A353" s="2" t="s">
        <v>89</v>
      </c>
      <c r="B353" s="3">
        <v>45423</v>
      </c>
      <c r="C353" s="2" t="s">
        <v>1033</v>
      </c>
      <c r="D353" s="4">
        <v>-6690.3</v>
      </c>
      <c r="E353" s="2" t="s">
        <v>10</v>
      </c>
    </row>
    <row r="354" spans="1:5" x14ac:dyDescent="0.25">
      <c r="A354" s="2" t="s">
        <v>941</v>
      </c>
      <c r="B354" s="3">
        <v>45358</v>
      </c>
      <c r="C354" s="2" t="s">
        <v>1054</v>
      </c>
      <c r="D354" s="4">
        <v>-892.88</v>
      </c>
      <c r="E354" s="2" t="s">
        <v>10</v>
      </c>
    </row>
    <row r="355" spans="1:5" x14ac:dyDescent="0.25">
      <c r="A355" s="2" t="s">
        <v>448</v>
      </c>
      <c r="B355" s="3">
        <v>45565</v>
      </c>
      <c r="C355" s="2" t="s">
        <v>1029</v>
      </c>
      <c r="D355" s="4">
        <v>-4942.6000000000004</v>
      </c>
      <c r="E355" s="2" t="s">
        <v>10</v>
      </c>
    </row>
    <row r="356" spans="1:5" x14ac:dyDescent="0.25">
      <c r="A356" s="2" t="s">
        <v>971</v>
      </c>
      <c r="B356" s="3">
        <v>45397</v>
      </c>
      <c r="C356" s="2" t="s">
        <v>1052</v>
      </c>
      <c r="D356" s="4">
        <v>-1527.38</v>
      </c>
      <c r="E356" s="2" t="s">
        <v>10</v>
      </c>
    </row>
    <row r="357" spans="1:5" x14ac:dyDescent="0.25">
      <c r="A357" s="2" t="s">
        <v>259</v>
      </c>
      <c r="B357" s="3">
        <v>45565</v>
      </c>
      <c r="C357" s="2" t="s">
        <v>1029</v>
      </c>
      <c r="D357" s="4">
        <v>-1520.12</v>
      </c>
      <c r="E357" s="2" t="s">
        <v>10</v>
      </c>
    </row>
    <row r="358" spans="1:5" x14ac:dyDescent="0.25">
      <c r="A358" s="2" t="s">
        <v>403</v>
      </c>
      <c r="B358" s="3">
        <v>45339</v>
      </c>
      <c r="C358" s="2" t="s">
        <v>1033</v>
      </c>
      <c r="D358" s="4">
        <v>-2487.2199999999998</v>
      </c>
      <c r="E358" s="2" t="s">
        <v>10</v>
      </c>
    </row>
    <row r="359" spans="1:5" x14ac:dyDescent="0.25">
      <c r="A359" s="2" t="s">
        <v>726</v>
      </c>
      <c r="B359" s="3">
        <v>45514</v>
      </c>
      <c r="C359" s="2" t="s">
        <v>1046</v>
      </c>
      <c r="D359" s="4">
        <v>-4325.87</v>
      </c>
      <c r="E359" s="2" t="s">
        <v>10</v>
      </c>
    </row>
    <row r="360" spans="1:5" x14ac:dyDescent="0.25">
      <c r="A360" s="2" t="s">
        <v>587</v>
      </c>
      <c r="B360" s="3">
        <v>45607</v>
      </c>
      <c r="C360" s="2" t="s">
        <v>1036</v>
      </c>
      <c r="D360" s="4">
        <v>-6451.61</v>
      </c>
      <c r="E360" s="2" t="s">
        <v>10</v>
      </c>
    </row>
    <row r="361" spans="1:5" x14ac:dyDescent="0.25">
      <c r="A361" s="2" t="s">
        <v>384</v>
      </c>
      <c r="B361" s="3">
        <v>45419</v>
      </c>
      <c r="C361" s="2" t="s">
        <v>1032</v>
      </c>
      <c r="D361" s="4">
        <v>-1612.9</v>
      </c>
      <c r="E361" s="2" t="s">
        <v>10</v>
      </c>
    </row>
    <row r="362" spans="1:5" x14ac:dyDescent="0.25">
      <c r="A362" s="2" t="s">
        <v>501</v>
      </c>
      <c r="B362" s="3">
        <v>45501</v>
      </c>
      <c r="C362" s="2" t="s">
        <v>1053</v>
      </c>
      <c r="D362" s="4">
        <v>-832.93</v>
      </c>
      <c r="E362" s="2" t="s">
        <v>10</v>
      </c>
    </row>
    <row r="363" spans="1:5" x14ac:dyDescent="0.25">
      <c r="A363" s="2" t="s">
        <v>11</v>
      </c>
      <c r="B363" s="3">
        <v>45328</v>
      </c>
      <c r="C363" s="2" t="s">
        <v>1032</v>
      </c>
      <c r="D363" s="4">
        <v>-2555.21</v>
      </c>
      <c r="E363" s="2" t="s">
        <v>10</v>
      </c>
    </row>
    <row r="364" spans="1:5" x14ac:dyDescent="0.25">
      <c r="A364" s="2" t="s">
        <v>274</v>
      </c>
      <c r="B364" s="3">
        <v>45610</v>
      </c>
      <c r="C364" s="2" t="s">
        <v>1041</v>
      </c>
      <c r="D364" s="4">
        <v>-95.89</v>
      </c>
      <c r="E364" s="2" t="s">
        <v>10</v>
      </c>
    </row>
    <row r="365" spans="1:5" x14ac:dyDescent="0.25">
      <c r="A365" s="2" t="s">
        <v>832</v>
      </c>
      <c r="B365" s="3">
        <v>45333</v>
      </c>
      <c r="C365" s="2" t="s">
        <v>1044</v>
      </c>
      <c r="D365" s="4">
        <v>-3452.22</v>
      </c>
      <c r="E365" s="2" t="s">
        <v>10</v>
      </c>
    </row>
    <row r="366" spans="1:5" x14ac:dyDescent="0.25">
      <c r="A366" s="2" t="s">
        <v>194</v>
      </c>
      <c r="B366" s="3">
        <v>45577</v>
      </c>
      <c r="C366" s="2" t="s">
        <v>1048</v>
      </c>
      <c r="D366" s="4">
        <v>-107.23</v>
      </c>
      <c r="E366" s="2" t="s">
        <v>10</v>
      </c>
    </row>
    <row r="367" spans="1:5" x14ac:dyDescent="0.25">
      <c r="A367" s="2" t="s">
        <v>347</v>
      </c>
      <c r="B367" s="3">
        <v>45341</v>
      </c>
      <c r="C367" s="2" t="s">
        <v>1045</v>
      </c>
      <c r="D367" s="4">
        <v>-537.02</v>
      </c>
      <c r="E367" s="2" t="s">
        <v>10</v>
      </c>
    </row>
    <row r="368" spans="1:5" x14ac:dyDescent="0.25">
      <c r="A368" s="2" t="s">
        <v>688</v>
      </c>
      <c r="B368" s="3">
        <v>45317</v>
      </c>
      <c r="C368" s="2" t="s">
        <v>1029</v>
      </c>
      <c r="D368" s="4">
        <v>-917.64</v>
      </c>
      <c r="E368" s="2" t="s">
        <v>10</v>
      </c>
    </row>
    <row r="369" spans="1:5" x14ac:dyDescent="0.25">
      <c r="A369" s="2" t="s">
        <v>608</v>
      </c>
      <c r="B369" s="3">
        <v>45623</v>
      </c>
      <c r="C369" s="2" t="s">
        <v>1043</v>
      </c>
      <c r="D369" s="4">
        <v>-5232.3900000000003</v>
      </c>
      <c r="E369" s="2" t="s">
        <v>10</v>
      </c>
    </row>
    <row r="370" spans="1:5" x14ac:dyDescent="0.25">
      <c r="A370" s="2" t="s">
        <v>781</v>
      </c>
      <c r="B370" s="3">
        <v>45494</v>
      </c>
      <c r="C370" s="2" t="s">
        <v>1027</v>
      </c>
      <c r="D370" s="4">
        <v>7381.96</v>
      </c>
      <c r="E370" s="2" t="s">
        <v>10</v>
      </c>
    </row>
    <row r="371" spans="1:5" x14ac:dyDescent="0.25">
      <c r="A371" s="2" t="s">
        <v>295</v>
      </c>
      <c r="B371" s="3">
        <v>45411</v>
      </c>
      <c r="C371" s="2" t="s">
        <v>1045</v>
      </c>
      <c r="D371" s="4">
        <v>-408.28</v>
      </c>
      <c r="E371" s="2" t="s">
        <v>10</v>
      </c>
    </row>
    <row r="372" spans="1:5" x14ac:dyDescent="0.25">
      <c r="A372" s="2" t="s">
        <v>813</v>
      </c>
      <c r="B372" s="3">
        <v>45386</v>
      </c>
      <c r="C372" s="2" t="s">
        <v>1041</v>
      </c>
      <c r="D372" s="4">
        <v>-116.92</v>
      </c>
      <c r="E372" s="2" t="s">
        <v>10</v>
      </c>
    </row>
    <row r="373" spans="1:5" x14ac:dyDescent="0.25">
      <c r="A373" s="2" t="s">
        <v>181</v>
      </c>
      <c r="B373" s="3">
        <v>45382</v>
      </c>
      <c r="C373" s="2" t="s">
        <v>1037</v>
      </c>
      <c r="D373" s="4">
        <v>-12381.99</v>
      </c>
      <c r="E373" s="2" t="s">
        <v>10</v>
      </c>
    </row>
    <row r="374" spans="1:5" x14ac:dyDescent="0.25">
      <c r="A374" s="2" t="s">
        <v>686</v>
      </c>
      <c r="B374" s="3">
        <v>45657</v>
      </c>
      <c r="C374" s="2" t="s">
        <v>1036</v>
      </c>
      <c r="D374" s="4">
        <v>-1355.6</v>
      </c>
      <c r="E374" s="2" t="s">
        <v>10</v>
      </c>
    </row>
    <row r="375" spans="1:5" x14ac:dyDescent="0.25">
      <c r="A375" s="2" t="s">
        <v>558</v>
      </c>
      <c r="B375" s="3">
        <v>45432</v>
      </c>
      <c r="C375" s="2" t="s">
        <v>1053</v>
      </c>
      <c r="D375" s="4">
        <v>-780.44</v>
      </c>
      <c r="E375" s="2" t="s">
        <v>10</v>
      </c>
    </row>
    <row r="376" spans="1:5" x14ac:dyDescent="0.25">
      <c r="A376" s="2" t="s">
        <v>397</v>
      </c>
      <c r="B376" s="3">
        <v>45312</v>
      </c>
      <c r="C376" s="2" t="s">
        <v>1047</v>
      </c>
      <c r="D376" s="4">
        <v>-125.29</v>
      </c>
      <c r="E376" s="2" t="s">
        <v>10</v>
      </c>
    </row>
    <row r="377" spans="1:5" x14ac:dyDescent="0.25">
      <c r="A377" s="2" t="s">
        <v>177</v>
      </c>
      <c r="B377" s="3">
        <v>45493</v>
      </c>
      <c r="C377" s="2" t="s">
        <v>1035</v>
      </c>
      <c r="D377" s="4">
        <v>-675.78</v>
      </c>
      <c r="E377" s="2" t="s">
        <v>10</v>
      </c>
    </row>
    <row r="378" spans="1:5" x14ac:dyDescent="0.25">
      <c r="A378" s="2" t="s">
        <v>794</v>
      </c>
      <c r="B378" s="3">
        <v>45405</v>
      </c>
      <c r="C378" s="2" t="s">
        <v>1025</v>
      </c>
      <c r="D378" s="4">
        <v>-2983.94</v>
      </c>
      <c r="E378" s="2" t="s">
        <v>10</v>
      </c>
    </row>
    <row r="379" spans="1:5" x14ac:dyDescent="0.25">
      <c r="A379" s="2" t="s">
        <v>341</v>
      </c>
      <c r="B379" s="3">
        <v>45295</v>
      </c>
      <c r="C379" s="2" t="s">
        <v>1048</v>
      </c>
      <c r="D379" s="4">
        <v>-81.66</v>
      </c>
      <c r="E379" s="2" t="s">
        <v>10</v>
      </c>
    </row>
    <row r="380" spans="1:5" x14ac:dyDescent="0.25">
      <c r="A380" s="2" t="s">
        <v>142</v>
      </c>
      <c r="B380" s="3">
        <v>45505</v>
      </c>
      <c r="C380" s="2" t="s">
        <v>1034</v>
      </c>
      <c r="D380" s="4">
        <v>18379.63</v>
      </c>
      <c r="E380" s="2" t="s">
        <v>10</v>
      </c>
    </row>
    <row r="381" spans="1:5" x14ac:dyDescent="0.25">
      <c r="A381" s="2" t="s">
        <v>162</v>
      </c>
      <c r="B381" s="3">
        <v>45451</v>
      </c>
      <c r="C381" s="2" t="s">
        <v>1045</v>
      </c>
      <c r="D381" s="4">
        <v>-801.43</v>
      </c>
      <c r="E381" s="2" t="s">
        <v>10</v>
      </c>
    </row>
    <row r="382" spans="1:5" x14ac:dyDescent="0.25">
      <c r="A382" s="2" t="s">
        <v>666</v>
      </c>
      <c r="B382" s="3">
        <v>45487</v>
      </c>
      <c r="C382" s="2" t="s">
        <v>1041</v>
      </c>
      <c r="D382" s="4">
        <v>-111.45</v>
      </c>
      <c r="E382" s="2" t="s">
        <v>10</v>
      </c>
    </row>
    <row r="383" spans="1:5" x14ac:dyDescent="0.25">
      <c r="A383" s="2" t="s">
        <v>866</v>
      </c>
      <c r="B383" s="3">
        <v>45629</v>
      </c>
      <c r="C383" s="2" t="s">
        <v>1030</v>
      </c>
      <c r="D383" s="4">
        <v>-2640.97</v>
      </c>
      <c r="E383" s="2" t="s">
        <v>10</v>
      </c>
    </row>
    <row r="384" spans="1:5" x14ac:dyDescent="0.25">
      <c r="A384" s="2" t="s">
        <v>1057</v>
      </c>
      <c r="B384" s="3">
        <v>45604</v>
      </c>
      <c r="C384" s="2" t="s">
        <v>1048</v>
      </c>
      <c r="D384" s="4">
        <v>-131.58000000000001</v>
      </c>
      <c r="E384" s="2" t="s">
        <v>10</v>
      </c>
    </row>
    <row r="385" spans="1:5" x14ac:dyDescent="0.25">
      <c r="A385" s="2" t="s">
        <v>723</v>
      </c>
      <c r="B385" s="3">
        <v>45453</v>
      </c>
      <c r="C385" s="2" t="s">
        <v>1043</v>
      </c>
      <c r="D385" s="4">
        <v>-4196.6000000000004</v>
      </c>
      <c r="E385" s="2" t="s">
        <v>10</v>
      </c>
    </row>
    <row r="386" spans="1:5" x14ac:dyDescent="0.25">
      <c r="A386" s="2" t="s">
        <v>664</v>
      </c>
      <c r="B386" s="3">
        <v>45297</v>
      </c>
      <c r="C386" s="2" t="s">
        <v>1042</v>
      </c>
      <c r="D386" s="4">
        <v>-3413.06</v>
      </c>
      <c r="E386" s="2" t="s">
        <v>10</v>
      </c>
    </row>
    <row r="387" spans="1:5" x14ac:dyDescent="0.25">
      <c r="A387" s="2" t="s">
        <v>82</v>
      </c>
      <c r="B387" s="3">
        <v>45492</v>
      </c>
      <c r="C387" s="2" t="s">
        <v>1036</v>
      </c>
      <c r="D387" s="4">
        <v>-3861.35</v>
      </c>
      <c r="E387" s="2" t="s">
        <v>10</v>
      </c>
    </row>
    <row r="388" spans="1:5" x14ac:dyDescent="0.25">
      <c r="A388" s="2" t="s">
        <v>911</v>
      </c>
      <c r="B388" s="3">
        <v>45331</v>
      </c>
      <c r="C388" s="2" t="s">
        <v>1039</v>
      </c>
      <c r="D388" s="4">
        <v>-720.6</v>
      </c>
      <c r="E388" s="2" t="s">
        <v>10</v>
      </c>
    </row>
    <row r="389" spans="1:5" x14ac:dyDescent="0.25">
      <c r="A389" s="2" t="s">
        <v>786</v>
      </c>
      <c r="B389" s="3">
        <v>45437</v>
      </c>
      <c r="C389" s="2" t="s">
        <v>1052</v>
      </c>
      <c r="D389" s="4">
        <v>-7425.14</v>
      </c>
      <c r="E389" s="2" t="s">
        <v>10</v>
      </c>
    </row>
    <row r="390" spans="1:5" x14ac:dyDescent="0.25">
      <c r="A390" s="2" t="s">
        <v>637</v>
      </c>
      <c r="B390" s="3">
        <v>45295</v>
      </c>
      <c r="C390" s="2" t="s">
        <v>1025</v>
      </c>
      <c r="D390" s="4">
        <v>-1137.26</v>
      </c>
      <c r="E390" s="2" t="s">
        <v>10</v>
      </c>
    </row>
    <row r="391" spans="1:5" x14ac:dyDescent="0.25">
      <c r="A391" s="2" t="s">
        <v>226</v>
      </c>
      <c r="B391" s="3">
        <v>45549</v>
      </c>
      <c r="C391" s="2" t="s">
        <v>1039</v>
      </c>
      <c r="D391" s="4">
        <v>-11295.65</v>
      </c>
      <c r="E391" s="2" t="s">
        <v>10</v>
      </c>
    </row>
    <row r="392" spans="1:5" x14ac:dyDescent="0.25">
      <c r="A392" s="2" t="s">
        <v>235</v>
      </c>
      <c r="B392" s="3">
        <v>45352</v>
      </c>
      <c r="C392" s="2" t="s">
        <v>1048</v>
      </c>
      <c r="D392" s="4">
        <v>-86.76</v>
      </c>
      <c r="E392" s="2" t="s">
        <v>10</v>
      </c>
    </row>
    <row r="393" spans="1:5" x14ac:dyDescent="0.25">
      <c r="A393" s="2" t="s">
        <v>772</v>
      </c>
      <c r="B393" s="3">
        <v>45549</v>
      </c>
      <c r="C393" s="2" t="s">
        <v>1045</v>
      </c>
      <c r="D393" s="4">
        <v>-603.84</v>
      </c>
      <c r="E393" s="2" t="s">
        <v>10</v>
      </c>
    </row>
    <row r="394" spans="1:5" x14ac:dyDescent="0.25">
      <c r="A394" s="2" t="s">
        <v>793</v>
      </c>
      <c r="B394" s="3">
        <v>45644</v>
      </c>
      <c r="C394" s="2" t="s">
        <v>1054</v>
      </c>
      <c r="D394" s="4">
        <v>-3563.35</v>
      </c>
      <c r="E394" s="2" t="s">
        <v>10</v>
      </c>
    </row>
    <row r="395" spans="1:5" x14ac:dyDescent="0.25">
      <c r="A395" s="2" t="s">
        <v>400</v>
      </c>
      <c r="B395" s="3">
        <v>45309</v>
      </c>
      <c r="C395" s="2" t="s">
        <v>1035</v>
      </c>
      <c r="D395" s="4">
        <v>-863.66</v>
      </c>
      <c r="E395" s="2" t="s">
        <v>10</v>
      </c>
    </row>
    <row r="396" spans="1:5" x14ac:dyDescent="0.25">
      <c r="A396" s="2" t="s">
        <v>478</v>
      </c>
      <c r="B396" s="3">
        <v>45312</v>
      </c>
      <c r="C396" s="2" t="s">
        <v>1026</v>
      </c>
      <c r="D396" s="4">
        <v>192.2</v>
      </c>
      <c r="E396" s="2" t="s">
        <v>10</v>
      </c>
    </row>
    <row r="397" spans="1:5" x14ac:dyDescent="0.25">
      <c r="A397" s="2" t="s">
        <v>741</v>
      </c>
      <c r="B397" s="3">
        <v>45338</v>
      </c>
      <c r="C397" s="2" t="s">
        <v>1029</v>
      </c>
      <c r="D397" s="4">
        <v>-496.77</v>
      </c>
      <c r="E397" s="2" t="s">
        <v>10</v>
      </c>
    </row>
    <row r="398" spans="1:5" x14ac:dyDescent="0.25">
      <c r="A398" s="2" t="s">
        <v>355</v>
      </c>
      <c r="B398" s="3">
        <v>45521</v>
      </c>
      <c r="C398" s="2" t="s">
        <v>1032</v>
      </c>
      <c r="D398" s="4">
        <v>-2140.2399999999998</v>
      </c>
      <c r="E398" s="2" t="s">
        <v>10</v>
      </c>
    </row>
    <row r="399" spans="1:5" x14ac:dyDescent="0.25">
      <c r="A399" s="2" t="s">
        <v>237</v>
      </c>
      <c r="B399" s="3">
        <v>45525</v>
      </c>
      <c r="C399" s="2" t="s">
        <v>1032</v>
      </c>
      <c r="D399" s="4">
        <v>-3065.36</v>
      </c>
      <c r="E399" s="2" t="s">
        <v>10</v>
      </c>
    </row>
    <row r="400" spans="1:5" x14ac:dyDescent="0.25">
      <c r="A400" s="2" t="s">
        <v>468</v>
      </c>
      <c r="B400" s="3">
        <v>45421</v>
      </c>
      <c r="C400" s="2" t="s">
        <v>1026</v>
      </c>
      <c r="D400" s="4">
        <v>255.52</v>
      </c>
      <c r="E400" s="2" t="s">
        <v>10</v>
      </c>
    </row>
    <row r="401" spans="1:5" x14ac:dyDescent="0.25">
      <c r="A401" s="2" t="s">
        <v>566</v>
      </c>
      <c r="B401" s="3">
        <v>45436</v>
      </c>
      <c r="C401" s="2" t="s">
        <v>1051</v>
      </c>
      <c r="D401" s="4">
        <v>-11266.11</v>
      </c>
      <c r="E401" s="2" t="s">
        <v>10</v>
      </c>
    </row>
    <row r="402" spans="1:5" x14ac:dyDescent="0.25">
      <c r="A402" s="2" t="s">
        <v>83</v>
      </c>
      <c r="B402" s="3">
        <v>45527</v>
      </c>
      <c r="C402" s="2" t="s">
        <v>1027</v>
      </c>
      <c r="D402" s="4">
        <v>8054.16</v>
      </c>
      <c r="E402" s="2" t="s">
        <v>10</v>
      </c>
    </row>
    <row r="403" spans="1:5" x14ac:dyDescent="0.25">
      <c r="A403" s="2" t="s">
        <v>630</v>
      </c>
      <c r="B403" s="3">
        <v>45416</v>
      </c>
      <c r="C403" s="2" t="s">
        <v>1038</v>
      </c>
      <c r="D403" s="4">
        <v>-568.70000000000005</v>
      </c>
      <c r="E403" s="2" t="s">
        <v>10</v>
      </c>
    </row>
    <row r="404" spans="1:5" x14ac:dyDescent="0.25">
      <c r="A404" s="2" t="s">
        <v>131</v>
      </c>
      <c r="B404" s="3">
        <v>45310</v>
      </c>
      <c r="C404" s="2" t="s">
        <v>1033</v>
      </c>
      <c r="D404" s="4">
        <v>-8047.24</v>
      </c>
      <c r="E404" s="2" t="s">
        <v>10</v>
      </c>
    </row>
    <row r="405" spans="1:5" x14ac:dyDescent="0.25">
      <c r="A405" s="2" t="s">
        <v>22</v>
      </c>
      <c r="B405" s="3">
        <v>45538</v>
      </c>
      <c r="C405" s="2" t="s">
        <v>1045</v>
      </c>
      <c r="D405" s="4">
        <v>-474.48</v>
      </c>
      <c r="E405" s="2" t="s">
        <v>10</v>
      </c>
    </row>
    <row r="406" spans="1:5" x14ac:dyDescent="0.25">
      <c r="A406" s="2" t="s">
        <v>1058</v>
      </c>
      <c r="B406" s="3">
        <v>45520</v>
      </c>
      <c r="C406" s="2" t="s">
        <v>1047</v>
      </c>
      <c r="D406" s="4">
        <v>-141.9</v>
      </c>
      <c r="E406" s="2" t="s">
        <v>10</v>
      </c>
    </row>
    <row r="407" spans="1:5" x14ac:dyDescent="0.25">
      <c r="A407" s="2" t="s">
        <v>100</v>
      </c>
      <c r="B407" s="3">
        <v>45533</v>
      </c>
      <c r="C407" s="2" t="s">
        <v>1024</v>
      </c>
      <c r="D407" s="4">
        <v>150.71</v>
      </c>
      <c r="E407" s="2" t="s">
        <v>10</v>
      </c>
    </row>
    <row r="408" spans="1:5" x14ac:dyDescent="0.25">
      <c r="A408" s="2" t="s">
        <v>796</v>
      </c>
      <c r="B408" s="3">
        <v>45431</v>
      </c>
      <c r="C408" s="2" t="s">
        <v>1041</v>
      </c>
      <c r="D408" s="4">
        <v>-26.76</v>
      </c>
      <c r="E408" s="2" t="s">
        <v>10</v>
      </c>
    </row>
    <row r="409" spans="1:5" x14ac:dyDescent="0.25">
      <c r="A409" s="2" t="s">
        <v>966</v>
      </c>
      <c r="B409" s="3">
        <v>45402</v>
      </c>
      <c r="C409" s="2" t="s">
        <v>1047</v>
      </c>
      <c r="D409" s="4">
        <v>-23.46</v>
      </c>
      <c r="E409" s="2" t="s">
        <v>10</v>
      </c>
    </row>
    <row r="410" spans="1:5" x14ac:dyDescent="0.25">
      <c r="A410" s="2" t="s">
        <v>238</v>
      </c>
      <c r="B410" s="3">
        <v>45409</v>
      </c>
      <c r="C410" s="2" t="s">
        <v>1031</v>
      </c>
      <c r="D410" s="4">
        <v>220.59</v>
      </c>
      <c r="E410" s="2" t="s">
        <v>10</v>
      </c>
    </row>
    <row r="411" spans="1:5" x14ac:dyDescent="0.25">
      <c r="A411" s="2" t="s">
        <v>508</v>
      </c>
      <c r="B411" s="3">
        <v>45525</v>
      </c>
      <c r="C411" s="2" t="s">
        <v>1035</v>
      </c>
      <c r="D411" s="4">
        <v>-399.74</v>
      </c>
      <c r="E411" s="2" t="s">
        <v>10</v>
      </c>
    </row>
    <row r="412" spans="1:5" x14ac:dyDescent="0.25">
      <c r="A412" s="2" t="s">
        <v>109</v>
      </c>
      <c r="B412" s="3">
        <v>45590</v>
      </c>
      <c r="C412" s="2" t="s">
        <v>1054</v>
      </c>
      <c r="D412" s="4">
        <v>-2379.7399999999998</v>
      </c>
      <c r="E412" s="2" t="s">
        <v>10</v>
      </c>
    </row>
    <row r="413" spans="1:5" x14ac:dyDescent="0.25">
      <c r="A413" s="2" t="s">
        <v>683</v>
      </c>
      <c r="B413" s="3">
        <v>45323</v>
      </c>
      <c r="C413" s="2" t="s">
        <v>1049</v>
      </c>
      <c r="D413" s="4">
        <v>12411.71</v>
      </c>
      <c r="E413" s="2" t="s">
        <v>10</v>
      </c>
    </row>
    <row r="414" spans="1:5" x14ac:dyDescent="0.25">
      <c r="A414" s="2" t="s">
        <v>470</v>
      </c>
      <c r="B414" s="3">
        <v>45476</v>
      </c>
      <c r="C414" s="2" t="s">
        <v>1034</v>
      </c>
      <c r="D414" s="4">
        <v>14361.86</v>
      </c>
      <c r="E414" s="2" t="s">
        <v>10</v>
      </c>
    </row>
    <row r="415" spans="1:5" x14ac:dyDescent="0.25">
      <c r="A415" s="2" t="s">
        <v>242</v>
      </c>
      <c r="B415" s="3">
        <v>45403</v>
      </c>
      <c r="C415" s="2" t="s">
        <v>1037</v>
      </c>
      <c r="D415" s="4">
        <v>-11508.33</v>
      </c>
      <c r="E415" s="2" t="s">
        <v>10</v>
      </c>
    </row>
    <row r="416" spans="1:5" x14ac:dyDescent="0.25">
      <c r="A416" s="2" t="s">
        <v>122</v>
      </c>
      <c r="B416" s="3">
        <v>45544</v>
      </c>
      <c r="C416" s="2" t="s">
        <v>1051</v>
      </c>
      <c r="D416" s="4">
        <v>-11219.71</v>
      </c>
      <c r="E416" s="2" t="s">
        <v>10</v>
      </c>
    </row>
    <row r="417" spans="1:5" x14ac:dyDescent="0.25">
      <c r="A417" s="2" t="s">
        <v>705</v>
      </c>
      <c r="B417" s="3">
        <v>45471</v>
      </c>
      <c r="C417" s="2" t="s">
        <v>1026</v>
      </c>
      <c r="D417" s="4">
        <v>102.05</v>
      </c>
      <c r="E417" s="2" t="s">
        <v>10</v>
      </c>
    </row>
    <row r="418" spans="1:5" x14ac:dyDescent="0.25">
      <c r="A418" s="2" t="s">
        <v>32</v>
      </c>
      <c r="B418" s="3">
        <v>45351</v>
      </c>
      <c r="C418" s="2" t="s">
        <v>1032</v>
      </c>
      <c r="D418" s="4">
        <v>-2441.17</v>
      </c>
      <c r="E418" s="2" t="s">
        <v>10</v>
      </c>
    </row>
    <row r="419" spans="1:5" x14ac:dyDescent="0.25">
      <c r="A419" s="2" t="s">
        <v>309</v>
      </c>
      <c r="B419" s="3">
        <v>45350</v>
      </c>
      <c r="C419" s="2" t="s">
        <v>1044</v>
      </c>
      <c r="D419" s="4">
        <v>-2624.46</v>
      </c>
      <c r="E419" s="2" t="s">
        <v>10</v>
      </c>
    </row>
    <row r="420" spans="1:5" x14ac:dyDescent="0.25">
      <c r="A420" s="2" t="s">
        <v>585</v>
      </c>
      <c r="B420" s="3">
        <v>45533</v>
      </c>
      <c r="C420" s="2" t="s">
        <v>1054</v>
      </c>
      <c r="D420" s="4">
        <v>-3003.01</v>
      </c>
      <c r="E420" s="2" t="s">
        <v>10</v>
      </c>
    </row>
    <row r="421" spans="1:5" x14ac:dyDescent="0.25">
      <c r="A421" s="2" t="s">
        <v>717</v>
      </c>
      <c r="B421" s="3">
        <v>45486</v>
      </c>
      <c r="C421" s="2" t="s">
        <v>1053</v>
      </c>
      <c r="D421" s="4">
        <v>-300.13</v>
      </c>
      <c r="E421" s="2" t="s">
        <v>10</v>
      </c>
    </row>
    <row r="422" spans="1:5" x14ac:dyDescent="0.25">
      <c r="A422" s="2" t="s">
        <v>1059</v>
      </c>
      <c r="B422" s="3">
        <v>45439</v>
      </c>
      <c r="C422" s="2" t="s">
        <v>1024</v>
      </c>
      <c r="D422" s="4">
        <v>112.9</v>
      </c>
      <c r="E422" s="2" t="s">
        <v>10</v>
      </c>
    </row>
    <row r="423" spans="1:5" x14ac:dyDescent="0.25">
      <c r="A423" s="2" t="s">
        <v>105</v>
      </c>
      <c r="B423" s="3">
        <v>45443</v>
      </c>
      <c r="C423" s="2" t="s">
        <v>1026</v>
      </c>
      <c r="D423" s="4">
        <v>88.85</v>
      </c>
      <c r="E423" s="2" t="s">
        <v>10</v>
      </c>
    </row>
    <row r="424" spans="1:5" x14ac:dyDescent="0.25">
      <c r="A424" s="2" t="s">
        <v>378</v>
      </c>
      <c r="B424" s="3">
        <v>45377</v>
      </c>
      <c r="C424" s="2" t="s">
        <v>1043</v>
      </c>
      <c r="D424" s="4">
        <v>-5350.44</v>
      </c>
      <c r="E424" s="2" t="s">
        <v>10</v>
      </c>
    </row>
    <row r="425" spans="1:5" x14ac:dyDescent="0.25">
      <c r="A425" s="2" t="s">
        <v>565</v>
      </c>
      <c r="B425" s="3">
        <v>45328</v>
      </c>
      <c r="C425" s="2" t="s">
        <v>1024</v>
      </c>
      <c r="D425" s="4">
        <v>74.05</v>
      </c>
      <c r="E425" s="2" t="s">
        <v>10</v>
      </c>
    </row>
    <row r="426" spans="1:5" x14ac:dyDescent="0.25">
      <c r="A426" s="2" t="s">
        <v>953</v>
      </c>
      <c r="B426" s="3">
        <v>45425</v>
      </c>
      <c r="C426" s="2" t="s">
        <v>1035</v>
      </c>
      <c r="D426" s="4">
        <v>-379.32</v>
      </c>
      <c r="E426" s="2" t="s">
        <v>10</v>
      </c>
    </row>
    <row r="427" spans="1:5" x14ac:dyDescent="0.25">
      <c r="A427" s="2" t="s">
        <v>528</v>
      </c>
      <c r="B427" s="3">
        <v>45517</v>
      </c>
      <c r="C427" s="2" t="s">
        <v>1030</v>
      </c>
      <c r="D427" s="4">
        <v>-189.59</v>
      </c>
      <c r="E427" s="2" t="s">
        <v>10</v>
      </c>
    </row>
    <row r="428" spans="1:5" x14ac:dyDescent="0.25">
      <c r="A428" s="2" t="s">
        <v>184</v>
      </c>
      <c r="B428" s="3">
        <v>45525</v>
      </c>
      <c r="C428" s="2" t="s">
        <v>1025</v>
      </c>
      <c r="D428" s="4">
        <v>-7611.34</v>
      </c>
      <c r="E428" s="2" t="s">
        <v>10</v>
      </c>
    </row>
    <row r="429" spans="1:5" x14ac:dyDescent="0.25">
      <c r="A429" s="2" t="s">
        <v>846</v>
      </c>
      <c r="B429" s="3">
        <v>45495</v>
      </c>
      <c r="C429" s="2" t="s">
        <v>1028</v>
      </c>
      <c r="D429" s="4">
        <v>-312.05</v>
      </c>
      <c r="E429" s="2" t="s">
        <v>10</v>
      </c>
    </row>
    <row r="430" spans="1:5" x14ac:dyDescent="0.25">
      <c r="A430" s="2" t="s">
        <v>560</v>
      </c>
      <c r="B430" s="3">
        <v>45530</v>
      </c>
      <c r="C430" s="2" t="s">
        <v>1039</v>
      </c>
      <c r="D430" s="4">
        <v>-11973.78</v>
      </c>
      <c r="E430" s="2" t="s">
        <v>10</v>
      </c>
    </row>
    <row r="431" spans="1:5" x14ac:dyDescent="0.25">
      <c r="A431" s="2" t="s">
        <v>293</v>
      </c>
      <c r="B431" s="3">
        <v>45574</v>
      </c>
      <c r="C431" s="2" t="s">
        <v>1048</v>
      </c>
      <c r="D431" s="4">
        <v>-43.54</v>
      </c>
      <c r="E431" s="2" t="s">
        <v>10</v>
      </c>
    </row>
    <row r="432" spans="1:5" x14ac:dyDescent="0.25">
      <c r="A432" s="2" t="s">
        <v>571</v>
      </c>
      <c r="B432" s="3">
        <v>45449</v>
      </c>
      <c r="C432" s="2" t="s">
        <v>1034</v>
      </c>
      <c r="D432" s="4">
        <v>22256.7</v>
      </c>
      <c r="E432" s="2" t="s">
        <v>10</v>
      </c>
    </row>
    <row r="433" spans="1:5" x14ac:dyDescent="0.25">
      <c r="A433" s="2" t="s">
        <v>344</v>
      </c>
      <c r="B433" s="3">
        <v>45475</v>
      </c>
      <c r="C433" s="2" t="s">
        <v>1027</v>
      </c>
      <c r="D433" s="4">
        <v>5451.8</v>
      </c>
      <c r="E433" s="2" t="s">
        <v>10</v>
      </c>
    </row>
    <row r="434" spans="1:5" x14ac:dyDescent="0.25">
      <c r="A434" s="2" t="s">
        <v>653</v>
      </c>
      <c r="B434" s="3">
        <v>45632</v>
      </c>
      <c r="C434" s="2" t="s">
        <v>1033</v>
      </c>
      <c r="D434" s="4">
        <v>-7320</v>
      </c>
      <c r="E434" s="2" t="s">
        <v>10</v>
      </c>
    </row>
    <row r="435" spans="1:5" x14ac:dyDescent="0.25">
      <c r="A435" s="2" t="s">
        <v>709</v>
      </c>
      <c r="B435" s="3">
        <v>45403</v>
      </c>
      <c r="C435" s="2" t="s">
        <v>1031</v>
      </c>
      <c r="D435" s="4">
        <v>311.44</v>
      </c>
      <c r="E435" s="2" t="s">
        <v>10</v>
      </c>
    </row>
    <row r="436" spans="1:5" x14ac:dyDescent="0.25">
      <c r="A436" s="2" t="s">
        <v>606</v>
      </c>
      <c r="B436" s="3">
        <v>45443</v>
      </c>
      <c r="C436" s="2" t="s">
        <v>1047</v>
      </c>
      <c r="D436" s="4">
        <v>-15.74</v>
      </c>
      <c r="E436" s="2" t="s">
        <v>10</v>
      </c>
    </row>
    <row r="437" spans="1:5" x14ac:dyDescent="0.25">
      <c r="A437" s="2" t="s">
        <v>729</v>
      </c>
      <c r="B437" s="3">
        <v>45443</v>
      </c>
      <c r="C437" s="2" t="s">
        <v>1039</v>
      </c>
      <c r="D437" s="4">
        <v>-13873.73</v>
      </c>
      <c r="E437" s="2" t="s">
        <v>10</v>
      </c>
    </row>
    <row r="438" spans="1:5" x14ac:dyDescent="0.25">
      <c r="A438" s="2" t="s">
        <v>349</v>
      </c>
      <c r="B438" s="3">
        <v>45366</v>
      </c>
      <c r="C438" s="2" t="s">
        <v>1036</v>
      </c>
      <c r="D438" s="4">
        <v>-904.35</v>
      </c>
      <c r="E438" s="2" t="s">
        <v>10</v>
      </c>
    </row>
    <row r="439" spans="1:5" x14ac:dyDescent="0.25">
      <c r="A439" s="2" t="s">
        <v>932</v>
      </c>
      <c r="B439" s="3">
        <v>45359</v>
      </c>
      <c r="C439" s="2" t="s">
        <v>1054</v>
      </c>
      <c r="D439" s="4">
        <v>-1716.72</v>
      </c>
      <c r="E439" s="2" t="s">
        <v>10</v>
      </c>
    </row>
    <row r="440" spans="1:5" x14ac:dyDescent="0.25">
      <c r="A440" s="2" t="s">
        <v>526</v>
      </c>
      <c r="B440" s="3">
        <v>45618</v>
      </c>
      <c r="C440" s="2" t="s">
        <v>1035</v>
      </c>
      <c r="D440" s="4">
        <v>-391.15</v>
      </c>
      <c r="E440" s="2" t="s">
        <v>10</v>
      </c>
    </row>
    <row r="441" spans="1:5" x14ac:dyDescent="0.25">
      <c r="A441" s="2" t="s">
        <v>411</v>
      </c>
      <c r="B441" s="3">
        <v>45343</v>
      </c>
      <c r="C441" s="2" t="s">
        <v>1045</v>
      </c>
      <c r="D441" s="4">
        <v>-701.67</v>
      </c>
      <c r="E441" s="2" t="s">
        <v>10</v>
      </c>
    </row>
    <row r="442" spans="1:5" x14ac:dyDescent="0.25">
      <c r="A442" s="2" t="s">
        <v>1000</v>
      </c>
      <c r="B442" s="3">
        <v>45508</v>
      </c>
      <c r="C442" s="2" t="s">
        <v>1039</v>
      </c>
      <c r="D442" s="4">
        <v>-1365.4</v>
      </c>
      <c r="E442" s="2" t="s">
        <v>10</v>
      </c>
    </row>
    <row r="443" spans="1:5" x14ac:dyDescent="0.25">
      <c r="A443" s="2" t="s">
        <v>7</v>
      </c>
      <c r="B443" s="3">
        <v>45612</v>
      </c>
      <c r="C443" s="2" t="s">
        <v>1042</v>
      </c>
      <c r="D443" s="4">
        <v>-2897.44</v>
      </c>
      <c r="E443" s="2" t="s">
        <v>10</v>
      </c>
    </row>
    <row r="444" spans="1:5" x14ac:dyDescent="0.25">
      <c r="A444" s="2" t="s">
        <v>260</v>
      </c>
      <c r="B444" s="3">
        <v>45390</v>
      </c>
      <c r="C444" s="2" t="s">
        <v>1031</v>
      </c>
      <c r="D444" s="4">
        <v>268.66000000000003</v>
      </c>
      <c r="E444" s="2" t="s">
        <v>10</v>
      </c>
    </row>
    <row r="445" spans="1:5" x14ac:dyDescent="0.25">
      <c r="A445" s="2" t="s">
        <v>574</v>
      </c>
      <c r="B445" s="3">
        <v>45547</v>
      </c>
      <c r="C445" s="2" t="s">
        <v>1051</v>
      </c>
      <c r="D445" s="4">
        <v>-6518.44</v>
      </c>
      <c r="E445" s="2" t="s">
        <v>10</v>
      </c>
    </row>
    <row r="446" spans="1:5" x14ac:dyDescent="0.25">
      <c r="A446" s="2" t="s">
        <v>434</v>
      </c>
      <c r="B446" s="3">
        <v>45629</v>
      </c>
      <c r="C446" s="2" t="s">
        <v>1025</v>
      </c>
      <c r="D446" s="4">
        <v>-9371.85</v>
      </c>
      <c r="E446" s="2" t="s">
        <v>10</v>
      </c>
    </row>
    <row r="447" spans="1:5" x14ac:dyDescent="0.25">
      <c r="A447" s="2" t="s">
        <v>521</v>
      </c>
      <c r="B447" s="3">
        <v>45471</v>
      </c>
      <c r="C447" s="2" t="s">
        <v>1047</v>
      </c>
      <c r="D447" s="4">
        <v>-469.2</v>
      </c>
      <c r="E447" s="2" t="s">
        <v>10</v>
      </c>
    </row>
    <row r="448" spans="1:5" x14ac:dyDescent="0.25">
      <c r="A448" s="2" t="s">
        <v>36</v>
      </c>
      <c r="B448" s="3">
        <v>45352</v>
      </c>
      <c r="C448" s="2" t="s">
        <v>1045</v>
      </c>
      <c r="D448" s="4">
        <v>-776.41</v>
      </c>
      <c r="E448" s="2" t="s">
        <v>10</v>
      </c>
    </row>
    <row r="449" spans="1:5" x14ac:dyDescent="0.25">
      <c r="A449" s="2" t="s">
        <v>247</v>
      </c>
      <c r="B449" s="3">
        <v>45562</v>
      </c>
      <c r="C449" s="2" t="s">
        <v>1054</v>
      </c>
      <c r="D449" s="4">
        <v>-1316.02</v>
      </c>
      <c r="E449" s="2" t="s">
        <v>10</v>
      </c>
    </row>
    <row r="450" spans="1:5" x14ac:dyDescent="0.25">
      <c r="A450" s="2" t="s">
        <v>727</v>
      </c>
      <c r="B450" s="3">
        <v>45380</v>
      </c>
      <c r="C450" s="2" t="s">
        <v>1028</v>
      </c>
      <c r="D450" s="4">
        <v>-122.58</v>
      </c>
      <c r="E450" s="2" t="s">
        <v>10</v>
      </c>
    </row>
    <row r="451" spans="1:5" x14ac:dyDescent="0.25">
      <c r="A451" s="2" t="s">
        <v>446</v>
      </c>
      <c r="B451" s="3">
        <v>45481</v>
      </c>
      <c r="C451" s="2" t="s">
        <v>1052</v>
      </c>
      <c r="D451" s="4">
        <v>-3270.57</v>
      </c>
      <c r="E451" s="2" t="s">
        <v>10</v>
      </c>
    </row>
    <row r="452" spans="1:5" x14ac:dyDescent="0.25">
      <c r="A452" s="2" t="s">
        <v>715</v>
      </c>
      <c r="B452" s="3">
        <v>45342</v>
      </c>
      <c r="C452" s="2" t="s">
        <v>1039</v>
      </c>
      <c r="D452" s="4">
        <v>-9280.0400000000009</v>
      </c>
      <c r="E452" s="2" t="s">
        <v>10</v>
      </c>
    </row>
    <row r="453" spans="1:5" x14ac:dyDescent="0.25">
      <c r="A453" s="2" t="s">
        <v>453</v>
      </c>
      <c r="B453" s="3">
        <v>45650</v>
      </c>
      <c r="C453" s="2" t="s">
        <v>1033</v>
      </c>
      <c r="D453" s="4">
        <v>-9967.19</v>
      </c>
      <c r="E453" s="2" t="s">
        <v>10</v>
      </c>
    </row>
    <row r="454" spans="1:5" x14ac:dyDescent="0.25">
      <c r="A454" s="2" t="s">
        <v>951</v>
      </c>
      <c r="B454" s="3">
        <v>45461</v>
      </c>
      <c r="C454" s="2" t="s">
        <v>1053</v>
      </c>
      <c r="D454" s="4">
        <v>-490.71</v>
      </c>
      <c r="E454" s="2" t="s">
        <v>10</v>
      </c>
    </row>
    <row r="455" spans="1:5" x14ac:dyDescent="0.25">
      <c r="A455" s="2" t="s">
        <v>513</v>
      </c>
      <c r="B455" s="3">
        <v>45361</v>
      </c>
      <c r="C455" s="2" t="s">
        <v>1029</v>
      </c>
      <c r="D455" s="4">
        <v>-2982.36</v>
      </c>
      <c r="E455" s="2" t="s">
        <v>10</v>
      </c>
    </row>
    <row r="456" spans="1:5" x14ac:dyDescent="0.25">
      <c r="A456" s="2" t="s">
        <v>710</v>
      </c>
      <c r="B456" s="3">
        <v>45656</v>
      </c>
      <c r="C456" s="2" t="s">
        <v>1044</v>
      </c>
      <c r="D456" s="4">
        <v>-2820.75</v>
      </c>
      <c r="E456" s="2" t="s">
        <v>10</v>
      </c>
    </row>
    <row r="457" spans="1:5" x14ac:dyDescent="0.25">
      <c r="A457" s="2" t="s">
        <v>215</v>
      </c>
      <c r="B457" s="3">
        <v>45380</v>
      </c>
      <c r="C457" s="2" t="s">
        <v>1046</v>
      </c>
      <c r="D457" s="4">
        <v>-6292.24</v>
      </c>
      <c r="E457" s="2" t="s">
        <v>10</v>
      </c>
    </row>
    <row r="458" spans="1:5" x14ac:dyDescent="0.25">
      <c r="A458" s="2" t="s">
        <v>275</v>
      </c>
      <c r="B458" s="3">
        <v>45373</v>
      </c>
      <c r="C458" s="2" t="s">
        <v>1034</v>
      </c>
      <c r="D458" s="4">
        <v>17742.55</v>
      </c>
      <c r="E458" s="2" t="s">
        <v>10</v>
      </c>
    </row>
    <row r="459" spans="1:5" x14ac:dyDescent="0.25">
      <c r="A459" s="2" t="s">
        <v>1017</v>
      </c>
      <c r="B459" s="3">
        <v>45437</v>
      </c>
      <c r="C459" s="2" t="s">
        <v>1029</v>
      </c>
      <c r="D459" s="4">
        <v>-2099.11</v>
      </c>
      <c r="E459" s="2" t="s">
        <v>10</v>
      </c>
    </row>
    <row r="460" spans="1:5" x14ac:dyDescent="0.25">
      <c r="A460" s="2" t="s">
        <v>210</v>
      </c>
      <c r="B460" s="3">
        <v>45519</v>
      </c>
      <c r="C460" s="2" t="s">
        <v>1035</v>
      </c>
      <c r="D460" s="4">
        <v>-226.54</v>
      </c>
      <c r="E460" s="2" t="s">
        <v>10</v>
      </c>
    </row>
    <row r="461" spans="1:5" x14ac:dyDescent="0.25">
      <c r="A461" s="2" t="s">
        <v>874</v>
      </c>
      <c r="B461" s="3">
        <v>45402</v>
      </c>
      <c r="C461" s="2" t="s">
        <v>1031</v>
      </c>
      <c r="D461" s="4">
        <v>93.95</v>
      </c>
      <c r="E461" s="2" t="s">
        <v>10</v>
      </c>
    </row>
    <row r="462" spans="1:5" x14ac:dyDescent="0.25">
      <c r="A462" s="2" t="s">
        <v>317</v>
      </c>
      <c r="B462" s="3">
        <v>45495</v>
      </c>
      <c r="C462" s="2" t="s">
        <v>1035</v>
      </c>
      <c r="D462" s="4">
        <v>-530.61</v>
      </c>
      <c r="E462" s="2" t="s">
        <v>10</v>
      </c>
    </row>
    <row r="463" spans="1:5" x14ac:dyDescent="0.25">
      <c r="A463" s="2" t="s">
        <v>555</v>
      </c>
      <c r="B463" s="3">
        <v>45384</v>
      </c>
      <c r="C463" s="2" t="s">
        <v>1033</v>
      </c>
      <c r="D463" s="4">
        <v>-9124.89</v>
      </c>
      <c r="E463" s="2" t="s">
        <v>10</v>
      </c>
    </row>
    <row r="464" spans="1:5" x14ac:dyDescent="0.25">
      <c r="A464" s="2" t="s">
        <v>656</v>
      </c>
      <c r="B464" s="3">
        <v>45520</v>
      </c>
      <c r="C464" s="2" t="s">
        <v>1049</v>
      </c>
      <c r="D464" s="4">
        <v>8602.5400000000009</v>
      </c>
      <c r="E464" s="2" t="s">
        <v>10</v>
      </c>
    </row>
    <row r="465" spans="1:5" x14ac:dyDescent="0.25">
      <c r="A465" s="2" t="s">
        <v>876</v>
      </c>
      <c r="B465" s="3">
        <v>45539</v>
      </c>
      <c r="C465" s="2" t="s">
        <v>1041</v>
      </c>
      <c r="D465" s="4">
        <v>-128.38999999999999</v>
      </c>
      <c r="E465" s="2" t="s">
        <v>10</v>
      </c>
    </row>
    <row r="466" spans="1:5" x14ac:dyDescent="0.25">
      <c r="A466" s="2" t="s">
        <v>518</v>
      </c>
      <c r="B466" s="3">
        <v>45473</v>
      </c>
      <c r="C466" s="2" t="s">
        <v>1028</v>
      </c>
      <c r="D466" s="4">
        <v>-321.39999999999998</v>
      </c>
      <c r="E466" s="2" t="s">
        <v>10</v>
      </c>
    </row>
    <row r="467" spans="1:5" x14ac:dyDescent="0.25">
      <c r="A467" s="2" t="s">
        <v>761</v>
      </c>
      <c r="B467" s="3">
        <v>45617</v>
      </c>
      <c r="C467" s="2" t="s">
        <v>1053</v>
      </c>
      <c r="D467" s="4">
        <v>-514.4</v>
      </c>
      <c r="E467" s="2" t="s">
        <v>10</v>
      </c>
    </row>
    <row r="468" spans="1:5" x14ac:dyDescent="0.25">
      <c r="A468" s="2" t="s">
        <v>218</v>
      </c>
      <c r="B468" s="3">
        <v>45412</v>
      </c>
      <c r="C468" s="2" t="s">
        <v>1024</v>
      </c>
      <c r="D468" s="4">
        <v>147.5</v>
      </c>
      <c r="E468" s="2" t="s">
        <v>10</v>
      </c>
    </row>
    <row r="469" spans="1:5" x14ac:dyDescent="0.25">
      <c r="A469" s="2" t="s">
        <v>784</v>
      </c>
      <c r="B469" s="3">
        <v>45586</v>
      </c>
      <c r="C469" s="2" t="s">
        <v>1054</v>
      </c>
      <c r="D469" s="4">
        <v>-1151.0999999999999</v>
      </c>
      <c r="E469" s="2" t="s">
        <v>10</v>
      </c>
    </row>
    <row r="470" spans="1:5" x14ac:dyDescent="0.25">
      <c r="A470" s="2" t="s">
        <v>493</v>
      </c>
      <c r="B470" s="3">
        <v>45402</v>
      </c>
      <c r="C470" s="2" t="s">
        <v>1027</v>
      </c>
      <c r="D470" s="4">
        <v>24171.96</v>
      </c>
      <c r="E470" s="2" t="s">
        <v>10</v>
      </c>
    </row>
    <row r="471" spans="1:5" x14ac:dyDescent="0.25">
      <c r="A471" s="2" t="s">
        <v>495</v>
      </c>
      <c r="B471" s="3">
        <v>45421</v>
      </c>
      <c r="C471" s="2" t="s">
        <v>1024</v>
      </c>
      <c r="D471" s="4">
        <v>362.04</v>
      </c>
      <c r="E471" s="2" t="s">
        <v>10</v>
      </c>
    </row>
    <row r="472" spans="1:5" x14ac:dyDescent="0.25">
      <c r="A472" s="2" t="s">
        <v>369</v>
      </c>
      <c r="B472" s="3">
        <v>45404</v>
      </c>
      <c r="C472" s="2" t="s">
        <v>1053</v>
      </c>
      <c r="D472" s="4">
        <v>-329.95</v>
      </c>
      <c r="E472" s="2" t="s">
        <v>10</v>
      </c>
    </row>
    <row r="473" spans="1:5" x14ac:dyDescent="0.25">
      <c r="A473" s="2" t="s">
        <v>1007</v>
      </c>
      <c r="B473" s="3">
        <v>45559</v>
      </c>
      <c r="C473" s="2" t="s">
        <v>1045</v>
      </c>
      <c r="D473" s="4">
        <v>-376.39</v>
      </c>
      <c r="E473" s="2" t="s">
        <v>10</v>
      </c>
    </row>
    <row r="474" spans="1:5" x14ac:dyDescent="0.25">
      <c r="A474" s="2" t="s">
        <v>88</v>
      </c>
      <c r="B474" s="3">
        <v>45533</v>
      </c>
      <c r="C474" s="2" t="s">
        <v>1027</v>
      </c>
      <c r="D474" s="4">
        <v>4232</v>
      </c>
      <c r="E474" s="2" t="s">
        <v>10</v>
      </c>
    </row>
    <row r="475" spans="1:5" x14ac:dyDescent="0.25">
      <c r="A475" s="2" t="s">
        <v>891</v>
      </c>
      <c r="B475" s="3">
        <v>45397</v>
      </c>
      <c r="C475" s="2" t="s">
        <v>1037</v>
      </c>
      <c r="D475" s="4">
        <v>-6853.08</v>
      </c>
      <c r="E475" s="2" t="s">
        <v>10</v>
      </c>
    </row>
    <row r="476" spans="1:5" x14ac:dyDescent="0.25">
      <c r="A476" s="2" t="s">
        <v>624</v>
      </c>
      <c r="B476" s="3">
        <v>45396</v>
      </c>
      <c r="C476" s="2" t="s">
        <v>1054</v>
      </c>
      <c r="D476" s="4">
        <v>-5510.12</v>
      </c>
      <c r="E476" s="2" t="s">
        <v>10</v>
      </c>
    </row>
    <row r="477" spans="1:5" x14ac:dyDescent="0.25">
      <c r="A477" s="2" t="s">
        <v>816</v>
      </c>
      <c r="B477" s="3">
        <v>45386</v>
      </c>
      <c r="C477" s="2" t="s">
        <v>1051</v>
      </c>
      <c r="D477" s="4">
        <v>-5059.67</v>
      </c>
      <c r="E477" s="2" t="s">
        <v>10</v>
      </c>
    </row>
    <row r="478" spans="1:5" x14ac:dyDescent="0.25">
      <c r="A478" s="2" t="s">
        <v>554</v>
      </c>
      <c r="B478" s="3">
        <v>45539</v>
      </c>
      <c r="C478" s="2" t="s">
        <v>1050</v>
      </c>
      <c r="D478" s="4">
        <v>-227.59</v>
      </c>
      <c r="E478" s="2" t="s">
        <v>10</v>
      </c>
    </row>
    <row r="479" spans="1:5" x14ac:dyDescent="0.25">
      <c r="A479" s="2" t="s">
        <v>716</v>
      </c>
      <c r="B479" s="3">
        <v>45598</v>
      </c>
      <c r="C479" s="2" t="s">
        <v>1027</v>
      </c>
      <c r="D479" s="4">
        <v>13241.76</v>
      </c>
      <c r="E479" s="2" t="s">
        <v>10</v>
      </c>
    </row>
    <row r="480" spans="1:5" x14ac:dyDescent="0.25">
      <c r="A480" s="2" t="s">
        <v>367</v>
      </c>
      <c r="B480" s="3">
        <v>45432</v>
      </c>
      <c r="C480" s="2" t="s">
        <v>1031</v>
      </c>
      <c r="D480" s="4">
        <v>268.8</v>
      </c>
      <c r="E480" s="2" t="s">
        <v>10</v>
      </c>
    </row>
    <row r="481" spans="1:5" x14ac:dyDescent="0.25">
      <c r="A481" s="2" t="s">
        <v>461</v>
      </c>
      <c r="B481" s="3">
        <v>45376</v>
      </c>
      <c r="C481" s="2" t="s">
        <v>1048</v>
      </c>
      <c r="D481" s="4">
        <v>-72.81</v>
      </c>
      <c r="E481" s="2" t="s">
        <v>10</v>
      </c>
    </row>
    <row r="482" spans="1:5" x14ac:dyDescent="0.25">
      <c r="A482" s="2" t="s">
        <v>539</v>
      </c>
      <c r="B482" s="3">
        <v>45580</v>
      </c>
      <c r="C482" s="2" t="s">
        <v>1024</v>
      </c>
      <c r="D482" s="4">
        <v>138.06</v>
      </c>
      <c r="E482" s="2" t="s">
        <v>10</v>
      </c>
    </row>
    <row r="483" spans="1:5" x14ac:dyDescent="0.25">
      <c r="A483" s="2" t="s">
        <v>599</v>
      </c>
      <c r="B483" s="3">
        <v>45317</v>
      </c>
      <c r="C483" s="2" t="s">
        <v>1032</v>
      </c>
      <c r="D483" s="4">
        <v>-1435.81</v>
      </c>
      <c r="E483" s="2" t="s">
        <v>10</v>
      </c>
    </row>
    <row r="484" spans="1:5" x14ac:dyDescent="0.25">
      <c r="A484" s="2" t="s">
        <v>514</v>
      </c>
      <c r="B484" s="3">
        <v>45495</v>
      </c>
      <c r="C484" s="2" t="s">
        <v>1028</v>
      </c>
      <c r="D484" s="4">
        <v>-513.61</v>
      </c>
      <c r="E484" s="2" t="s">
        <v>10</v>
      </c>
    </row>
    <row r="485" spans="1:5" x14ac:dyDescent="0.25">
      <c r="A485" s="2" t="s">
        <v>600</v>
      </c>
      <c r="B485" s="3">
        <v>45322</v>
      </c>
      <c r="C485" s="2" t="s">
        <v>1052</v>
      </c>
      <c r="D485" s="4">
        <v>-1019.19</v>
      </c>
      <c r="E485" s="2" t="s">
        <v>10</v>
      </c>
    </row>
    <row r="486" spans="1:5" x14ac:dyDescent="0.25">
      <c r="A486" s="2" t="s">
        <v>482</v>
      </c>
      <c r="B486" s="3">
        <v>45556</v>
      </c>
      <c r="C486" s="2" t="s">
        <v>1026</v>
      </c>
      <c r="D486" s="4">
        <v>106.87</v>
      </c>
      <c r="E486" s="2" t="s">
        <v>10</v>
      </c>
    </row>
    <row r="487" spans="1:5" x14ac:dyDescent="0.25">
      <c r="A487" s="2" t="s">
        <v>833</v>
      </c>
      <c r="B487" s="3">
        <v>45352</v>
      </c>
      <c r="C487" s="2" t="s">
        <v>1041</v>
      </c>
      <c r="D487" s="4">
        <v>-52.07</v>
      </c>
      <c r="E487" s="2" t="s">
        <v>10</v>
      </c>
    </row>
    <row r="488" spans="1:5" x14ac:dyDescent="0.25">
      <c r="A488" s="2" t="s">
        <v>551</v>
      </c>
      <c r="B488" s="3">
        <v>45603</v>
      </c>
      <c r="C488" s="2" t="s">
        <v>1054</v>
      </c>
      <c r="D488" s="4">
        <v>-1092.7</v>
      </c>
      <c r="E488" s="2" t="s">
        <v>10</v>
      </c>
    </row>
    <row r="489" spans="1:5" x14ac:dyDescent="0.25">
      <c r="A489" s="2" t="s">
        <v>387</v>
      </c>
      <c r="B489" s="3">
        <v>45297</v>
      </c>
      <c r="C489" s="2" t="s">
        <v>1042</v>
      </c>
      <c r="D489" s="4">
        <v>-5716.7</v>
      </c>
      <c r="E489" s="2" t="s">
        <v>10</v>
      </c>
    </row>
    <row r="490" spans="1:5" x14ac:dyDescent="0.25">
      <c r="A490" s="2" t="s">
        <v>401</v>
      </c>
      <c r="B490" s="3">
        <v>45555</v>
      </c>
      <c r="C490" s="2" t="s">
        <v>1029</v>
      </c>
      <c r="D490" s="4">
        <v>-4046.88</v>
      </c>
      <c r="E490" s="2" t="s">
        <v>10</v>
      </c>
    </row>
    <row r="491" spans="1:5" x14ac:dyDescent="0.25">
      <c r="A491" s="2" t="s">
        <v>892</v>
      </c>
      <c r="B491" s="3">
        <v>45441</v>
      </c>
      <c r="C491" s="2" t="s">
        <v>1045</v>
      </c>
      <c r="D491" s="4">
        <v>-90.64</v>
      </c>
      <c r="E491" s="2" t="s">
        <v>10</v>
      </c>
    </row>
    <row r="492" spans="1:5" x14ac:dyDescent="0.25">
      <c r="A492" s="2" t="s">
        <v>151</v>
      </c>
      <c r="B492" s="3">
        <v>45645</v>
      </c>
      <c r="C492" s="2" t="s">
        <v>1025</v>
      </c>
      <c r="D492" s="4">
        <v>-4585.2299999999996</v>
      </c>
      <c r="E492" s="2" t="s">
        <v>10</v>
      </c>
    </row>
    <row r="493" spans="1:5" x14ac:dyDescent="0.25">
      <c r="A493" s="2" t="s">
        <v>870</v>
      </c>
      <c r="B493" s="3">
        <v>45361</v>
      </c>
      <c r="C493" s="2" t="s">
        <v>1051</v>
      </c>
      <c r="D493" s="4">
        <v>-2410.4699999999998</v>
      </c>
      <c r="E493" s="2" t="s">
        <v>10</v>
      </c>
    </row>
    <row r="494" spans="1:5" x14ac:dyDescent="0.25">
      <c r="A494" s="2" t="s">
        <v>787</v>
      </c>
      <c r="B494" s="3">
        <v>45422</v>
      </c>
      <c r="C494" s="2" t="s">
        <v>1030</v>
      </c>
      <c r="D494" s="4">
        <v>-804.88</v>
      </c>
      <c r="E494" s="2" t="s">
        <v>10</v>
      </c>
    </row>
    <row r="495" spans="1:5" x14ac:dyDescent="0.25">
      <c r="A495" s="2" t="s">
        <v>835</v>
      </c>
      <c r="B495" s="3">
        <v>45555</v>
      </c>
      <c r="C495" s="2" t="s">
        <v>1053</v>
      </c>
      <c r="D495" s="4">
        <v>-102.08</v>
      </c>
      <c r="E495" s="2" t="s">
        <v>10</v>
      </c>
    </row>
    <row r="496" spans="1:5" x14ac:dyDescent="0.25">
      <c r="A496" s="2" t="s">
        <v>328</v>
      </c>
      <c r="B496" s="3">
        <v>45334</v>
      </c>
      <c r="C496" s="2" t="s">
        <v>1030</v>
      </c>
      <c r="D496" s="4">
        <v>-1508.26</v>
      </c>
      <c r="E496" s="2" t="s">
        <v>10</v>
      </c>
    </row>
    <row r="497" spans="1:5" x14ac:dyDescent="0.25">
      <c r="A497" s="2" t="s">
        <v>1060</v>
      </c>
      <c r="B497" s="3">
        <v>45506</v>
      </c>
      <c r="C497" s="2" t="s">
        <v>1041</v>
      </c>
      <c r="D497" s="4">
        <v>-103.46</v>
      </c>
      <c r="E497" s="2" t="s">
        <v>10</v>
      </c>
    </row>
    <row r="498" spans="1:5" x14ac:dyDescent="0.25">
      <c r="A498" s="2" t="s">
        <v>842</v>
      </c>
      <c r="B498" s="3">
        <v>45569</v>
      </c>
      <c r="C498" s="2" t="s">
        <v>1026</v>
      </c>
      <c r="D498" s="4">
        <v>46.14</v>
      </c>
      <c r="E498" s="2" t="s">
        <v>10</v>
      </c>
    </row>
    <row r="499" spans="1:5" x14ac:dyDescent="0.25">
      <c r="A499" s="2" t="s">
        <v>112</v>
      </c>
      <c r="B499" s="3">
        <v>45484</v>
      </c>
      <c r="C499" s="2" t="s">
        <v>1042</v>
      </c>
      <c r="D499" s="4">
        <v>-93.79</v>
      </c>
      <c r="E499" s="2" t="s">
        <v>10</v>
      </c>
    </row>
    <row r="500" spans="1:5" x14ac:dyDescent="0.25">
      <c r="A500" s="2" t="s">
        <v>435</v>
      </c>
      <c r="B500" s="3">
        <v>45644</v>
      </c>
      <c r="C500" s="2" t="s">
        <v>1034</v>
      </c>
      <c r="D500" s="4">
        <v>19471.23</v>
      </c>
      <c r="E500" s="2" t="s">
        <v>10</v>
      </c>
    </row>
    <row r="501" spans="1:5" x14ac:dyDescent="0.25">
      <c r="A501" s="2" t="s">
        <v>1005</v>
      </c>
      <c r="B501" s="3">
        <v>45332</v>
      </c>
      <c r="C501" s="2" t="s">
        <v>1035</v>
      </c>
      <c r="D501" s="4">
        <v>-479.58</v>
      </c>
      <c r="E501" s="2" t="s">
        <v>10</v>
      </c>
    </row>
    <row r="502" spans="1:5" x14ac:dyDescent="0.25">
      <c r="A502" s="2" t="s">
        <v>985</v>
      </c>
      <c r="B502" s="3">
        <v>45503</v>
      </c>
      <c r="C502" s="2" t="s">
        <v>1032</v>
      </c>
      <c r="D502" s="4">
        <v>-2886.31</v>
      </c>
      <c r="E502" s="2" t="s">
        <v>10</v>
      </c>
    </row>
    <row r="503" spans="1:5" x14ac:dyDescent="0.25">
      <c r="A503" s="2" t="s">
        <v>330</v>
      </c>
      <c r="B503" s="3">
        <v>45574</v>
      </c>
      <c r="C503" s="2" t="s">
        <v>1033</v>
      </c>
      <c r="D503" s="4">
        <v>-2948.97</v>
      </c>
      <c r="E503" s="2" t="s">
        <v>10</v>
      </c>
    </row>
    <row r="504" spans="1:5" x14ac:dyDescent="0.25">
      <c r="A504" s="2" t="s">
        <v>393</v>
      </c>
      <c r="B504" s="3">
        <v>45320</v>
      </c>
      <c r="C504" s="2" t="s">
        <v>1050</v>
      </c>
      <c r="D504" s="4">
        <v>-1172.55</v>
      </c>
      <c r="E504" s="2" t="s">
        <v>10</v>
      </c>
    </row>
    <row r="505" spans="1:5" x14ac:dyDescent="0.25">
      <c r="A505" s="2" t="s">
        <v>84</v>
      </c>
      <c r="B505" s="3">
        <v>45310</v>
      </c>
      <c r="C505" s="2" t="s">
        <v>1052</v>
      </c>
      <c r="D505" s="4">
        <v>-5280.29</v>
      </c>
      <c r="E505" s="2" t="s">
        <v>10</v>
      </c>
    </row>
    <row r="506" spans="1:5" x14ac:dyDescent="0.25">
      <c r="A506" s="2" t="s">
        <v>733</v>
      </c>
      <c r="B506" s="3">
        <v>45294</v>
      </c>
      <c r="C506" s="2" t="s">
        <v>1047</v>
      </c>
      <c r="D506" s="4">
        <v>-40.65</v>
      </c>
      <c r="E506" s="2" t="s">
        <v>10</v>
      </c>
    </row>
    <row r="507" spans="1:5" x14ac:dyDescent="0.25">
      <c r="A507" s="2" t="s">
        <v>1022</v>
      </c>
      <c r="B507" s="3">
        <v>45404</v>
      </c>
      <c r="C507" s="2" t="s">
        <v>1036</v>
      </c>
      <c r="D507" s="4">
        <v>-2170.77</v>
      </c>
      <c r="E507" s="2" t="s">
        <v>123</v>
      </c>
    </row>
    <row r="508" spans="1:5" x14ac:dyDescent="0.25">
      <c r="A508" s="2" t="s">
        <v>486</v>
      </c>
      <c r="B508" s="3">
        <v>45507</v>
      </c>
      <c r="C508" s="2" t="s">
        <v>1049</v>
      </c>
      <c r="D508" s="4">
        <v>20003.48</v>
      </c>
      <c r="E508" s="2" t="s">
        <v>10</v>
      </c>
    </row>
    <row r="509" spans="1:5" x14ac:dyDescent="0.25">
      <c r="A509" s="2" t="s">
        <v>497</v>
      </c>
      <c r="B509" s="3">
        <v>45316</v>
      </c>
      <c r="C509" s="2" t="s">
        <v>1033</v>
      </c>
      <c r="D509" s="4">
        <v>-1665.96</v>
      </c>
      <c r="E509" s="2" t="s">
        <v>10</v>
      </c>
    </row>
    <row r="510" spans="1:5" x14ac:dyDescent="0.25">
      <c r="A510" s="2" t="s">
        <v>496</v>
      </c>
      <c r="B510" s="3">
        <v>45558</v>
      </c>
      <c r="C510" s="2" t="s">
        <v>1041</v>
      </c>
      <c r="D510" s="4">
        <v>-134.74</v>
      </c>
      <c r="E510" s="2" t="s">
        <v>10</v>
      </c>
    </row>
    <row r="511" spans="1:5" x14ac:dyDescent="0.25">
      <c r="A511" s="2" t="s">
        <v>647</v>
      </c>
      <c r="B511" s="3">
        <v>45344</v>
      </c>
      <c r="C511" s="2" t="s">
        <v>1044</v>
      </c>
      <c r="D511" s="4">
        <v>-3106.18</v>
      </c>
      <c r="E511" s="2" t="s">
        <v>10</v>
      </c>
    </row>
    <row r="512" spans="1:5" x14ac:dyDescent="0.25">
      <c r="A512" s="2" t="s">
        <v>875</v>
      </c>
      <c r="B512" s="3">
        <v>45577</v>
      </c>
      <c r="C512" s="2" t="s">
        <v>1039</v>
      </c>
      <c r="D512" s="4">
        <v>-6932.44</v>
      </c>
      <c r="E512" s="2" t="s">
        <v>10</v>
      </c>
    </row>
    <row r="513" spans="1:5" x14ac:dyDescent="0.25">
      <c r="A513" s="2" t="s">
        <v>557</v>
      </c>
      <c r="B513" s="3">
        <v>45505</v>
      </c>
      <c r="C513" s="2" t="s">
        <v>1046</v>
      </c>
      <c r="D513" s="4">
        <v>-6281.2</v>
      </c>
      <c r="E513" s="2" t="s">
        <v>10</v>
      </c>
    </row>
    <row r="514" spans="1:5" x14ac:dyDescent="0.25">
      <c r="A514" s="2" t="s">
        <v>616</v>
      </c>
      <c r="B514" s="3">
        <v>45601</v>
      </c>
      <c r="C514" s="2" t="s">
        <v>1043</v>
      </c>
      <c r="D514" s="4">
        <v>-4120.03</v>
      </c>
      <c r="E514" s="2" t="s">
        <v>10</v>
      </c>
    </row>
    <row r="515" spans="1:5" x14ac:dyDescent="0.25">
      <c r="A515" s="2" t="s">
        <v>342</v>
      </c>
      <c r="B515" s="3">
        <v>45359</v>
      </c>
      <c r="C515" s="2" t="s">
        <v>1045</v>
      </c>
      <c r="D515" s="4">
        <v>-232.7</v>
      </c>
      <c r="E515" s="2" t="s">
        <v>10</v>
      </c>
    </row>
    <row r="516" spans="1:5" x14ac:dyDescent="0.25">
      <c r="A516" s="2" t="s">
        <v>14</v>
      </c>
      <c r="B516" s="3">
        <v>45607</v>
      </c>
      <c r="C516" s="2" t="s">
        <v>1044</v>
      </c>
      <c r="D516" s="4">
        <v>-747.32</v>
      </c>
      <c r="E516" s="2" t="s">
        <v>10</v>
      </c>
    </row>
    <row r="517" spans="1:5" x14ac:dyDescent="0.25">
      <c r="A517" s="2" t="s">
        <v>290</v>
      </c>
      <c r="B517" s="3">
        <v>45463</v>
      </c>
      <c r="C517" s="2" t="s">
        <v>1051</v>
      </c>
      <c r="D517" s="4">
        <v>-11812.52</v>
      </c>
      <c r="E517" s="2" t="s">
        <v>10</v>
      </c>
    </row>
    <row r="518" spans="1:5" x14ac:dyDescent="0.25">
      <c r="A518" s="2" t="s">
        <v>628</v>
      </c>
      <c r="B518" s="3">
        <v>45351</v>
      </c>
      <c r="C518" s="2" t="s">
        <v>1052</v>
      </c>
      <c r="D518" s="4">
        <v>-7773.41</v>
      </c>
      <c r="E518" s="2" t="s">
        <v>10</v>
      </c>
    </row>
    <row r="519" spans="1:5" x14ac:dyDescent="0.25">
      <c r="A519" s="2" t="s">
        <v>970</v>
      </c>
      <c r="B519" s="3">
        <v>45445</v>
      </c>
      <c r="C519" s="2" t="s">
        <v>1050</v>
      </c>
      <c r="D519" s="4">
        <v>-718.99</v>
      </c>
      <c r="E519" s="2" t="s">
        <v>10</v>
      </c>
    </row>
    <row r="520" spans="1:5" x14ac:dyDescent="0.25">
      <c r="A520" s="2" t="s">
        <v>739</v>
      </c>
      <c r="B520" s="3">
        <v>45508</v>
      </c>
      <c r="C520" s="2" t="s">
        <v>1039</v>
      </c>
      <c r="D520" s="4">
        <v>-8353.4500000000007</v>
      </c>
      <c r="E520" s="2" t="s">
        <v>10</v>
      </c>
    </row>
    <row r="521" spans="1:5" x14ac:dyDescent="0.25">
      <c r="A521" s="2" t="s">
        <v>315</v>
      </c>
      <c r="B521" s="3">
        <v>45635</v>
      </c>
      <c r="C521" s="2" t="s">
        <v>1047</v>
      </c>
      <c r="D521" s="4">
        <v>-27.01</v>
      </c>
      <c r="E521" s="2" t="s">
        <v>10</v>
      </c>
    </row>
    <row r="522" spans="1:5" x14ac:dyDescent="0.25">
      <c r="A522" s="2" t="s">
        <v>93</v>
      </c>
      <c r="B522" s="3">
        <v>45405</v>
      </c>
      <c r="C522" s="2" t="s">
        <v>1053</v>
      </c>
      <c r="D522" s="4">
        <v>-95.66</v>
      </c>
      <c r="E522" s="2" t="s">
        <v>10</v>
      </c>
    </row>
    <row r="523" spans="1:5" x14ac:dyDescent="0.25">
      <c r="A523" s="2" t="s">
        <v>320</v>
      </c>
      <c r="B523" s="3">
        <v>45637</v>
      </c>
      <c r="C523" s="2" t="s">
        <v>1037</v>
      </c>
      <c r="D523" s="4">
        <v>-10408.48</v>
      </c>
      <c r="E523" s="2" t="s">
        <v>10</v>
      </c>
    </row>
    <row r="524" spans="1:5" x14ac:dyDescent="0.25">
      <c r="A524" s="2" t="s">
        <v>773</v>
      </c>
      <c r="B524" s="3">
        <v>45346</v>
      </c>
      <c r="C524" s="2" t="s">
        <v>1052</v>
      </c>
      <c r="D524" s="4">
        <v>-543.34</v>
      </c>
      <c r="E524" s="2" t="s">
        <v>10</v>
      </c>
    </row>
    <row r="525" spans="1:5" x14ac:dyDescent="0.25">
      <c r="A525" s="2" t="s">
        <v>150</v>
      </c>
      <c r="B525" s="3">
        <v>45564</v>
      </c>
      <c r="C525" s="2" t="s">
        <v>1035</v>
      </c>
      <c r="D525" s="4">
        <v>-207.51</v>
      </c>
      <c r="E525" s="2" t="s">
        <v>10</v>
      </c>
    </row>
    <row r="526" spans="1:5" x14ac:dyDescent="0.25">
      <c r="A526" s="2" t="s">
        <v>698</v>
      </c>
      <c r="B526" s="3">
        <v>45469</v>
      </c>
      <c r="C526" s="2" t="s">
        <v>1041</v>
      </c>
      <c r="D526" s="4">
        <v>-72.38</v>
      </c>
      <c r="E526" s="2" t="s">
        <v>10</v>
      </c>
    </row>
    <row r="527" spans="1:5" x14ac:dyDescent="0.25">
      <c r="A527" s="2" t="s">
        <v>26</v>
      </c>
      <c r="B527" s="3">
        <v>45553</v>
      </c>
      <c r="C527" s="2" t="s">
        <v>1041</v>
      </c>
      <c r="D527" s="4">
        <v>-46.95</v>
      </c>
      <c r="E527" s="2" t="s">
        <v>10</v>
      </c>
    </row>
    <row r="528" spans="1:5" x14ac:dyDescent="0.25">
      <c r="A528" s="2" t="s">
        <v>625</v>
      </c>
      <c r="B528" s="3">
        <v>45438</v>
      </c>
      <c r="C528" s="2" t="s">
        <v>1049</v>
      </c>
      <c r="D528" s="4">
        <v>5233.6000000000004</v>
      </c>
      <c r="E528" s="2" t="s">
        <v>10</v>
      </c>
    </row>
    <row r="529" spans="1:5" x14ac:dyDescent="0.25">
      <c r="A529" s="2" t="s">
        <v>934</v>
      </c>
      <c r="B529" s="3">
        <v>45555</v>
      </c>
      <c r="C529" s="2" t="s">
        <v>1024</v>
      </c>
      <c r="D529" s="4">
        <v>353.72</v>
      </c>
      <c r="E529" s="2" t="s">
        <v>10</v>
      </c>
    </row>
    <row r="530" spans="1:5" x14ac:dyDescent="0.25">
      <c r="A530" s="2" t="s">
        <v>314</v>
      </c>
      <c r="B530" s="3">
        <v>45467</v>
      </c>
      <c r="C530" s="2" t="s">
        <v>1026</v>
      </c>
      <c r="D530" s="4">
        <v>368.66</v>
      </c>
      <c r="E530" s="2" t="s">
        <v>10</v>
      </c>
    </row>
    <row r="531" spans="1:5" x14ac:dyDescent="0.25">
      <c r="A531" s="2" t="s">
        <v>633</v>
      </c>
      <c r="B531" s="3">
        <v>45645</v>
      </c>
      <c r="C531" s="2" t="s">
        <v>1026</v>
      </c>
      <c r="D531" s="4">
        <v>22.82</v>
      </c>
      <c r="E531" s="2" t="s">
        <v>10</v>
      </c>
    </row>
    <row r="532" spans="1:5" x14ac:dyDescent="0.25">
      <c r="A532" s="2" t="s">
        <v>459</v>
      </c>
      <c r="B532" s="3">
        <v>45381</v>
      </c>
      <c r="C532" s="2" t="s">
        <v>1029</v>
      </c>
      <c r="D532" s="4">
        <v>-6099.6</v>
      </c>
      <c r="E532" s="2" t="s">
        <v>10</v>
      </c>
    </row>
    <row r="533" spans="1:5" x14ac:dyDescent="0.25">
      <c r="A533" s="2" t="s">
        <v>757</v>
      </c>
      <c r="B533" s="3">
        <v>45478</v>
      </c>
      <c r="C533" s="2" t="s">
        <v>1041</v>
      </c>
      <c r="D533" s="4">
        <v>-53.74</v>
      </c>
      <c r="E533" s="2" t="s">
        <v>10</v>
      </c>
    </row>
    <row r="534" spans="1:5" x14ac:dyDescent="0.25">
      <c r="A534" s="2" t="s">
        <v>946</v>
      </c>
      <c r="B534" s="3">
        <v>45374</v>
      </c>
      <c r="C534" s="2" t="s">
        <v>1043</v>
      </c>
      <c r="D534" s="4">
        <v>-2580.5</v>
      </c>
      <c r="E534" s="2" t="s">
        <v>10</v>
      </c>
    </row>
    <row r="535" spans="1:5" x14ac:dyDescent="0.25">
      <c r="A535" s="2" t="s">
        <v>864</v>
      </c>
      <c r="B535" s="3">
        <v>45305</v>
      </c>
      <c r="C535" s="2" t="s">
        <v>1026</v>
      </c>
      <c r="D535" s="4">
        <v>137.83000000000001</v>
      </c>
      <c r="E535" s="2" t="s">
        <v>10</v>
      </c>
    </row>
    <row r="536" spans="1:5" x14ac:dyDescent="0.25">
      <c r="A536" s="2" t="s">
        <v>940</v>
      </c>
      <c r="B536" s="3">
        <v>45647</v>
      </c>
      <c r="C536" s="2" t="s">
        <v>1046</v>
      </c>
      <c r="D536" s="4">
        <v>-9883.7099999999991</v>
      </c>
      <c r="E536" s="2" t="s">
        <v>10</v>
      </c>
    </row>
    <row r="537" spans="1:5" x14ac:dyDescent="0.25">
      <c r="A537" s="2" t="s">
        <v>869</v>
      </c>
      <c r="B537" s="3">
        <v>45640</v>
      </c>
      <c r="C537" s="2" t="s">
        <v>1042</v>
      </c>
      <c r="D537" s="4">
        <v>-1412.79</v>
      </c>
      <c r="E537" s="2" t="s">
        <v>10</v>
      </c>
    </row>
    <row r="538" spans="1:5" x14ac:dyDescent="0.25">
      <c r="A538" s="2" t="s">
        <v>354</v>
      </c>
      <c r="B538" s="3">
        <v>45551</v>
      </c>
      <c r="C538" s="2" t="s">
        <v>1053</v>
      </c>
      <c r="D538" s="4">
        <v>-413.22</v>
      </c>
      <c r="E538" s="2" t="s">
        <v>10</v>
      </c>
    </row>
    <row r="539" spans="1:5" x14ac:dyDescent="0.25">
      <c r="A539" s="2" t="s">
        <v>398</v>
      </c>
      <c r="B539" s="3">
        <v>45515</v>
      </c>
      <c r="C539" s="2" t="s">
        <v>1031</v>
      </c>
      <c r="D539" s="4">
        <v>239.22</v>
      </c>
      <c r="E539" s="2" t="s">
        <v>10</v>
      </c>
    </row>
    <row r="540" spans="1:5" x14ac:dyDescent="0.25">
      <c r="A540" s="2" t="s">
        <v>720</v>
      </c>
      <c r="B540" s="3">
        <v>45349</v>
      </c>
      <c r="C540" s="2" t="s">
        <v>1043</v>
      </c>
      <c r="D540" s="4">
        <v>-1781.3</v>
      </c>
      <c r="E540" s="2" t="s">
        <v>10</v>
      </c>
    </row>
    <row r="541" spans="1:5" x14ac:dyDescent="0.25">
      <c r="A541" s="2" t="s">
        <v>201</v>
      </c>
      <c r="B541" s="3">
        <v>45356</v>
      </c>
      <c r="C541" s="2" t="s">
        <v>1034</v>
      </c>
      <c r="D541" s="4">
        <v>1444.28</v>
      </c>
      <c r="E541" s="2" t="s">
        <v>10</v>
      </c>
    </row>
    <row r="542" spans="1:5" x14ac:dyDescent="0.25">
      <c r="A542" s="2" t="s">
        <v>573</v>
      </c>
      <c r="B542" s="3">
        <v>45491</v>
      </c>
      <c r="C542" s="2" t="s">
        <v>1049</v>
      </c>
      <c r="D542" s="4">
        <v>18347.810000000001</v>
      </c>
      <c r="E542" s="2" t="s">
        <v>123</v>
      </c>
    </row>
    <row r="543" spans="1:5" x14ac:dyDescent="0.25">
      <c r="A543" s="2" t="s">
        <v>183</v>
      </c>
      <c r="B543" s="3">
        <v>45600</v>
      </c>
      <c r="C543" s="2" t="s">
        <v>1025</v>
      </c>
      <c r="D543" s="4">
        <v>-14303.25</v>
      </c>
      <c r="E543" s="2" t="s">
        <v>10</v>
      </c>
    </row>
    <row r="544" spans="1:5" x14ac:dyDescent="0.25">
      <c r="A544" s="2" t="s">
        <v>427</v>
      </c>
      <c r="B544" s="3">
        <v>45504</v>
      </c>
      <c r="C544" s="2" t="s">
        <v>1026</v>
      </c>
      <c r="D544" s="4">
        <v>187.58</v>
      </c>
      <c r="E544" s="2" t="s">
        <v>10</v>
      </c>
    </row>
    <row r="545" spans="1:5" x14ac:dyDescent="0.25">
      <c r="A545" s="2" t="s">
        <v>414</v>
      </c>
      <c r="B545" s="3">
        <v>45416</v>
      </c>
      <c r="C545" s="2" t="s">
        <v>1051</v>
      </c>
      <c r="D545" s="4">
        <v>-8353.2099999999991</v>
      </c>
      <c r="E545" s="2" t="s">
        <v>10</v>
      </c>
    </row>
    <row r="546" spans="1:5" x14ac:dyDescent="0.25">
      <c r="A546" s="2" t="s">
        <v>391</v>
      </c>
      <c r="B546" s="3">
        <v>45568</v>
      </c>
      <c r="C546" s="2" t="s">
        <v>1030</v>
      </c>
      <c r="D546" s="4">
        <v>-2927.25</v>
      </c>
      <c r="E546" s="2" t="s">
        <v>10</v>
      </c>
    </row>
    <row r="547" spans="1:5" x14ac:dyDescent="0.25">
      <c r="A547" s="2" t="s">
        <v>780</v>
      </c>
      <c r="B547" s="3">
        <v>45619</v>
      </c>
      <c r="C547" s="2" t="s">
        <v>1038</v>
      </c>
      <c r="D547" s="4">
        <v>-108.51</v>
      </c>
      <c r="E547" s="2" t="s">
        <v>10</v>
      </c>
    </row>
    <row r="548" spans="1:5" x14ac:dyDescent="0.25">
      <c r="A548" s="2" t="s">
        <v>544</v>
      </c>
      <c r="B548" s="3">
        <v>45518</v>
      </c>
      <c r="C548" s="2" t="s">
        <v>1048</v>
      </c>
      <c r="D548" s="4">
        <v>-76.14</v>
      </c>
      <c r="E548" s="2" t="s">
        <v>10</v>
      </c>
    </row>
    <row r="549" spans="1:5" x14ac:dyDescent="0.25">
      <c r="A549" s="2" t="s">
        <v>768</v>
      </c>
      <c r="B549" s="3">
        <v>45590</v>
      </c>
      <c r="C549" s="2" t="s">
        <v>1036</v>
      </c>
      <c r="D549" s="4">
        <v>-1805.83</v>
      </c>
      <c r="E549" s="2" t="s">
        <v>10</v>
      </c>
    </row>
    <row r="550" spans="1:5" x14ac:dyDescent="0.25">
      <c r="A550" s="2" t="s">
        <v>239</v>
      </c>
      <c r="B550" s="3">
        <v>45470</v>
      </c>
      <c r="C550" s="2" t="s">
        <v>1034</v>
      </c>
      <c r="D550" s="4">
        <v>3843.53</v>
      </c>
      <c r="E550" s="2" t="s">
        <v>10</v>
      </c>
    </row>
    <row r="551" spans="1:5" x14ac:dyDescent="0.25">
      <c r="A551" s="2" t="s">
        <v>839</v>
      </c>
      <c r="B551" s="3">
        <v>45475</v>
      </c>
      <c r="C551" s="2" t="s">
        <v>1042</v>
      </c>
      <c r="D551" s="4">
        <v>-4406.41</v>
      </c>
      <c r="E551" s="2" t="s">
        <v>10</v>
      </c>
    </row>
    <row r="552" spans="1:5" x14ac:dyDescent="0.25">
      <c r="A552" s="2" t="s">
        <v>316</v>
      </c>
      <c r="B552" s="3">
        <v>45337</v>
      </c>
      <c r="C552" s="2" t="s">
        <v>1045</v>
      </c>
      <c r="D552" s="4">
        <v>-269.5</v>
      </c>
      <c r="E552" s="2" t="s">
        <v>10</v>
      </c>
    </row>
    <row r="553" spans="1:5" x14ac:dyDescent="0.25">
      <c r="A553" s="2" t="s">
        <v>424</v>
      </c>
      <c r="B553" s="3">
        <v>45641</v>
      </c>
      <c r="C553" s="2" t="s">
        <v>1052</v>
      </c>
      <c r="D553" s="4">
        <v>-1083.78</v>
      </c>
      <c r="E553" s="2" t="s">
        <v>10</v>
      </c>
    </row>
    <row r="554" spans="1:5" x14ac:dyDescent="0.25">
      <c r="A554" s="2" t="s">
        <v>1061</v>
      </c>
      <c r="B554" s="3">
        <v>45638</v>
      </c>
      <c r="C554" s="2" t="s">
        <v>1026</v>
      </c>
      <c r="D554" s="4">
        <v>97.76</v>
      </c>
      <c r="E554" s="2" t="s">
        <v>10</v>
      </c>
    </row>
    <row r="555" spans="1:5" x14ac:dyDescent="0.25">
      <c r="A555" s="2" t="s">
        <v>568</v>
      </c>
      <c r="B555" s="3">
        <v>45295</v>
      </c>
      <c r="C555" s="2" t="s">
        <v>1043</v>
      </c>
      <c r="D555" s="4">
        <v>-4750.1400000000003</v>
      </c>
      <c r="E555" s="2" t="s">
        <v>10</v>
      </c>
    </row>
    <row r="556" spans="1:5" x14ac:dyDescent="0.25">
      <c r="A556" s="2" t="s">
        <v>910</v>
      </c>
      <c r="B556" s="3">
        <v>45437</v>
      </c>
      <c r="C556" s="2" t="s">
        <v>1036</v>
      </c>
      <c r="D556" s="4">
        <v>-6525.17</v>
      </c>
      <c r="E556" s="2" t="s">
        <v>10</v>
      </c>
    </row>
    <row r="557" spans="1:5" x14ac:dyDescent="0.25">
      <c r="A557" s="2" t="s">
        <v>111</v>
      </c>
      <c r="B557" s="3">
        <v>45501</v>
      </c>
      <c r="C557" s="2" t="s">
        <v>1030</v>
      </c>
      <c r="D557" s="4">
        <v>-159.44</v>
      </c>
      <c r="E557" s="2" t="s">
        <v>10</v>
      </c>
    </row>
    <row r="558" spans="1:5" x14ac:dyDescent="0.25">
      <c r="A558" s="2" t="s">
        <v>186</v>
      </c>
      <c r="B558" s="3">
        <v>45580</v>
      </c>
      <c r="C558" s="2" t="s">
        <v>1037</v>
      </c>
      <c r="D558" s="4">
        <v>-13037.87</v>
      </c>
      <c r="E558" s="2" t="s">
        <v>10</v>
      </c>
    </row>
    <row r="559" spans="1:5" x14ac:dyDescent="0.25">
      <c r="A559" s="2" t="s">
        <v>512</v>
      </c>
      <c r="B559" s="3">
        <v>45311</v>
      </c>
      <c r="C559" s="2" t="s">
        <v>1037</v>
      </c>
      <c r="D559" s="4">
        <v>-1915.3</v>
      </c>
      <c r="E559" s="2" t="s">
        <v>10</v>
      </c>
    </row>
    <row r="560" spans="1:5" x14ac:dyDescent="0.25">
      <c r="A560" s="2" t="s">
        <v>502</v>
      </c>
      <c r="B560" s="3">
        <v>45338</v>
      </c>
      <c r="C560" s="2" t="s">
        <v>1045</v>
      </c>
      <c r="D560" s="4">
        <v>-467.86</v>
      </c>
      <c r="E560" s="2" t="s">
        <v>10</v>
      </c>
    </row>
    <row r="561" spans="1:5" x14ac:dyDescent="0.25">
      <c r="A561" s="2" t="s">
        <v>200</v>
      </c>
      <c r="B561" s="3">
        <v>45455</v>
      </c>
      <c r="C561" s="2" t="s">
        <v>1032</v>
      </c>
      <c r="D561" s="4">
        <v>-1017.54</v>
      </c>
      <c r="E561" s="2" t="s">
        <v>10</v>
      </c>
    </row>
    <row r="562" spans="1:5" x14ac:dyDescent="0.25">
      <c r="A562" s="2" t="s">
        <v>862</v>
      </c>
      <c r="B562" s="3">
        <v>45480</v>
      </c>
      <c r="C562" s="2" t="s">
        <v>1045</v>
      </c>
      <c r="D562" s="4">
        <v>-719.38</v>
      </c>
      <c r="E562" s="2" t="s">
        <v>10</v>
      </c>
    </row>
    <row r="563" spans="1:5" x14ac:dyDescent="0.25">
      <c r="A563" s="2" t="s">
        <v>261</v>
      </c>
      <c r="B563" s="3">
        <v>45354</v>
      </c>
      <c r="C563" s="2" t="s">
        <v>1054</v>
      </c>
      <c r="D563" s="4">
        <v>-4593.37</v>
      </c>
      <c r="E563" s="2" t="s">
        <v>10</v>
      </c>
    </row>
    <row r="564" spans="1:5" x14ac:dyDescent="0.25">
      <c r="A564" s="2" t="s">
        <v>901</v>
      </c>
      <c r="B564" s="3">
        <v>45603</v>
      </c>
      <c r="C564" s="2" t="s">
        <v>1026</v>
      </c>
      <c r="D564" s="4">
        <v>286.20999999999998</v>
      </c>
      <c r="E564" s="2" t="s">
        <v>10</v>
      </c>
    </row>
    <row r="565" spans="1:5" x14ac:dyDescent="0.25">
      <c r="A565" s="2" t="s">
        <v>372</v>
      </c>
      <c r="B565" s="3">
        <v>45295</v>
      </c>
      <c r="C565" s="2" t="s">
        <v>1025</v>
      </c>
      <c r="D565" s="4">
        <v>-2287.1999999999998</v>
      </c>
      <c r="E565" s="2" t="s">
        <v>10</v>
      </c>
    </row>
    <row r="566" spans="1:5" x14ac:dyDescent="0.25">
      <c r="A566" s="2" t="s">
        <v>689</v>
      </c>
      <c r="B566" s="3">
        <v>45484</v>
      </c>
      <c r="C566" s="2" t="s">
        <v>1043</v>
      </c>
      <c r="D566" s="4">
        <v>-5471.55</v>
      </c>
      <c r="E566" s="2" t="s">
        <v>10</v>
      </c>
    </row>
    <row r="567" spans="1:5" x14ac:dyDescent="0.25">
      <c r="A567" s="2" t="s">
        <v>990</v>
      </c>
      <c r="B567" s="3">
        <v>45381</v>
      </c>
      <c r="C567" s="2" t="s">
        <v>1041</v>
      </c>
      <c r="D567" s="4">
        <v>-148.06</v>
      </c>
      <c r="E567" s="2" t="s">
        <v>10</v>
      </c>
    </row>
    <row r="568" spans="1:5" x14ac:dyDescent="0.25">
      <c r="A568" s="2" t="s">
        <v>1062</v>
      </c>
      <c r="B568" s="3">
        <v>45527</v>
      </c>
      <c r="C568" s="2" t="s">
        <v>1048</v>
      </c>
      <c r="D568" s="4">
        <v>-80.36</v>
      </c>
      <c r="E568" s="2" t="s">
        <v>10</v>
      </c>
    </row>
    <row r="569" spans="1:5" x14ac:dyDescent="0.25">
      <c r="A569" s="2" t="s">
        <v>929</v>
      </c>
      <c r="B569" s="3">
        <v>45655</v>
      </c>
      <c r="C569" s="2" t="s">
        <v>1050</v>
      </c>
      <c r="D569" s="4">
        <v>-701.38</v>
      </c>
      <c r="E569" s="2" t="s">
        <v>10</v>
      </c>
    </row>
    <row r="570" spans="1:5" x14ac:dyDescent="0.25">
      <c r="A570" s="2" t="s">
        <v>285</v>
      </c>
      <c r="B570" s="3">
        <v>45655</v>
      </c>
      <c r="C570" s="2" t="s">
        <v>1039</v>
      </c>
      <c r="D570" s="4">
        <v>-13.6</v>
      </c>
      <c r="E570" s="2" t="s">
        <v>10</v>
      </c>
    </row>
    <row r="571" spans="1:5" x14ac:dyDescent="0.25">
      <c r="A571" s="2" t="s">
        <v>322</v>
      </c>
      <c r="B571" s="3">
        <v>45562</v>
      </c>
      <c r="C571" s="2" t="s">
        <v>1038</v>
      </c>
      <c r="D571" s="4">
        <v>-667.8</v>
      </c>
      <c r="E571" s="2" t="s">
        <v>10</v>
      </c>
    </row>
    <row r="572" spans="1:5" x14ac:dyDescent="0.25">
      <c r="A572" s="2" t="s">
        <v>212</v>
      </c>
      <c r="B572" s="3">
        <v>45650</v>
      </c>
      <c r="C572" s="2" t="s">
        <v>1027</v>
      </c>
      <c r="D572" s="4">
        <v>21219.64</v>
      </c>
      <c r="E572" s="2" t="s">
        <v>10</v>
      </c>
    </row>
    <row r="573" spans="1:5" x14ac:dyDescent="0.25">
      <c r="A573" s="2" t="s">
        <v>385</v>
      </c>
      <c r="B573" s="3">
        <v>45653</v>
      </c>
      <c r="C573" s="2" t="s">
        <v>1053</v>
      </c>
      <c r="D573" s="4">
        <v>-429.87</v>
      </c>
      <c r="E573" s="2" t="s">
        <v>10</v>
      </c>
    </row>
    <row r="574" spans="1:5" x14ac:dyDescent="0.25">
      <c r="A574" s="2" t="s">
        <v>582</v>
      </c>
      <c r="B574" s="3">
        <v>45616</v>
      </c>
      <c r="C574" s="2" t="s">
        <v>1050</v>
      </c>
      <c r="D574" s="4">
        <v>-200.83</v>
      </c>
      <c r="E574" s="2" t="s">
        <v>10</v>
      </c>
    </row>
    <row r="575" spans="1:5" x14ac:dyDescent="0.25">
      <c r="A575" s="2" t="s">
        <v>267</v>
      </c>
      <c r="B575" s="3">
        <v>45297</v>
      </c>
      <c r="C575" s="2" t="s">
        <v>1045</v>
      </c>
      <c r="D575" s="4">
        <v>-501.35</v>
      </c>
      <c r="E575" s="2" t="s">
        <v>10</v>
      </c>
    </row>
    <row r="576" spans="1:5" x14ac:dyDescent="0.25">
      <c r="A576" s="2" t="s">
        <v>171</v>
      </c>
      <c r="B576" s="3">
        <v>45507</v>
      </c>
      <c r="C576" s="2" t="s">
        <v>1035</v>
      </c>
      <c r="D576" s="4">
        <v>-50.9</v>
      </c>
      <c r="E576" s="2" t="s">
        <v>10</v>
      </c>
    </row>
    <row r="577" spans="1:5" x14ac:dyDescent="0.25">
      <c r="A577" s="2" t="s">
        <v>767</v>
      </c>
      <c r="B577" s="3">
        <v>45329</v>
      </c>
      <c r="C577" s="2" t="s">
        <v>1053</v>
      </c>
      <c r="D577" s="4">
        <v>-655.22</v>
      </c>
      <c r="E577" s="2" t="s">
        <v>10</v>
      </c>
    </row>
    <row r="578" spans="1:5" x14ac:dyDescent="0.25">
      <c r="A578" s="2" t="s">
        <v>107</v>
      </c>
      <c r="B578" s="3">
        <v>45625</v>
      </c>
      <c r="C578" s="2" t="s">
        <v>1049</v>
      </c>
      <c r="D578" s="4">
        <v>13908.43</v>
      </c>
      <c r="E578" s="2" t="s">
        <v>10</v>
      </c>
    </row>
    <row r="579" spans="1:5" x14ac:dyDescent="0.25">
      <c r="A579" s="2" t="s">
        <v>118</v>
      </c>
      <c r="B579" s="3">
        <v>45518</v>
      </c>
      <c r="C579" s="2" t="s">
        <v>1041</v>
      </c>
      <c r="D579" s="4">
        <v>-36.450000000000003</v>
      </c>
      <c r="E579" s="2" t="s">
        <v>10</v>
      </c>
    </row>
    <row r="580" spans="1:5" x14ac:dyDescent="0.25">
      <c r="A580" s="2" t="s">
        <v>481</v>
      </c>
      <c r="B580" s="3">
        <v>45415</v>
      </c>
      <c r="C580" s="2" t="s">
        <v>1039</v>
      </c>
      <c r="D580" s="4">
        <v>-4566.28</v>
      </c>
      <c r="E580" s="2" t="s">
        <v>10</v>
      </c>
    </row>
    <row r="581" spans="1:5" x14ac:dyDescent="0.25">
      <c r="A581" s="2" t="s">
        <v>559</v>
      </c>
      <c r="B581" s="3">
        <v>45549</v>
      </c>
      <c r="C581" s="2" t="s">
        <v>1037</v>
      </c>
      <c r="D581" s="4">
        <v>-5803.59</v>
      </c>
      <c r="E581" s="2" t="s">
        <v>10</v>
      </c>
    </row>
    <row r="582" spans="1:5" x14ac:dyDescent="0.25">
      <c r="A582" s="2" t="s">
        <v>227</v>
      </c>
      <c r="B582" s="3">
        <v>45497</v>
      </c>
      <c r="C582" s="2" t="s">
        <v>1032</v>
      </c>
      <c r="D582" s="4">
        <v>-3417.57</v>
      </c>
      <c r="E582" s="2" t="s">
        <v>10</v>
      </c>
    </row>
    <row r="583" spans="1:5" x14ac:dyDescent="0.25">
      <c r="A583" s="2" t="s">
        <v>185</v>
      </c>
      <c r="B583" s="3">
        <v>45324</v>
      </c>
      <c r="C583" s="2" t="s">
        <v>1054</v>
      </c>
      <c r="D583" s="4">
        <v>-4510.6499999999996</v>
      </c>
      <c r="E583" s="2" t="s">
        <v>10</v>
      </c>
    </row>
    <row r="584" spans="1:5" x14ac:dyDescent="0.25">
      <c r="A584" s="2" t="s">
        <v>458</v>
      </c>
      <c r="B584" s="3">
        <v>45558</v>
      </c>
      <c r="C584" s="2" t="s">
        <v>1030</v>
      </c>
      <c r="D584" s="4">
        <v>-2109.8200000000002</v>
      </c>
      <c r="E584" s="2" t="s">
        <v>10</v>
      </c>
    </row>
    <row r="585" spans="1:5" x14ac:dyDescent="0.25">
      <c r="A585" s="2" t="s">
        <v>854</v>
      </c>
      <c r="B585" s="3">
        <v>45468</v>
      </c>
      <c r="C585" s="2" t="s">
        <v>1051</v>
      </c>
      <c r="D585" s="4">
        <v>-7908.52</v>
      </c>
      <c r="E585" s="2" t="s">
        <v>10</v>
      </c>
    </row>
    <row r="586" spans="1:5" x14ac:dyDescent="0.25">
      <c r="A586" s="2" t="s">
        <v>581</v>
      </c>
      <c r="B586" s="3">
        <v>45307</v>
      </c>
      <c r="C586" s="2" t="s">
        <v>1042</v>
      </c>
      <c r="D586" s="4">
        <v>-2630.66</v>
      </c>
      <c r="E586" s="2" t="s">
        <v>10</v>
      </c>
    </row>
    <row r="587" spans="1:5" x14ac:dyDescent="0.25">
      <c r="A587" s="2" t="s">
        <v>807</v>
      </c>
      <c r="B587" s="3">
        <v>45445</v>
      </c>
      <c r="C587" s="2" t="s">
        <v>1053</v>
      </c>
      <c r="D587" s="4">
        <v>-684.87</v>
      </c>
      <c r="E587" s="2" t="s">
        <v>10</v>
      </c>
    </row>
    <row r="588" spans="1:5" x14ac:dyDescent="0.25">
      <c r="A588" s="2" t="s">
        <v>826</v>
      </c>
      <c r="B588" s="3">
        <v>45419</v>
      </c>
      <c r="C588" s="2" t="s">
        <v>1036</v>
      </c>
      <c r="D588" s="4">
        <v>-6067.1</v>
      </c>
      <c r="E588" s="2" t="s">
        <v>10</v>
      </c>
    </row>
    <row r="589" spans="1:5" x14ac:dyDescent="0.25">
      <c r="A589" s="2" t="s">
        <v>366</v>
      </c>
      <c r="B589" s="3">
        <v>45650</v>
      </c>
      <c r="C589" s="2" t="s">
        <v>1049</v>
      </c>
      <c r="D589" s="4">
        <v>5202.07</v>
      </c>
      <c r="E589" s="2" t="s">
        <v>10</v>
      </c>
    </row>
    <row r="590" spans="1:5" x14ac:dyDescent="0.25">
      <c r="A590" s="2" t="s">
        <v>308</v>
      </c>
      <c r="B590" s="3">
        <v>45316</v>
      </c>
      <c r="C590" s="2" t="s">
        <v>1030</v>
      </c>
      <c r="D590" s="4">
        <v>-3259.14</v>
      </c>
      <c r="E590" s="2" t="s">
        <v>10</v>
      </c>
    </row>
    <row r="591" spans="1:5" x14ac:dyDescent="0.25">
      <c r="A591" s="2" t="s">
        <v>135</v>
      </c>
      <c r="B591" s="3">
        <v>45417</v>
      </c>
      <c r="C591" s="2" t="s">
        <v>1054</v>
      </c>
      <c r="D591" s="4">
        <v>-2998.22</v>
      </c>
      <c r="E591" s="2" t="s">
        <v>10</v>
      </c>
    </row>
    <row r="592" spans="1:5" x14ac:dyDescent="0.25">
      <c r="A592" s="2" t="s">
        <v>913</v>
      </c>
      <c r="B592" s="3">
        <v>45463</v>
      </c>
      <c r="C592" s="2" t="s">
        <v>1046</v>
      </c>
      <c r="D592" s="4">
        <v>-5363</v>
      </c>
      <c r="E592" s="2" t="s">
        <v>10</v>
      </c>
    </row>
    <row r="593" spans="1:5" x14ac:dyDescent="0.25">
      <c r="A593" s="2" t="s">
        <v>25</v>
      </c>
      <c r="B593" s="3">
        <v>45377</v>
      </c>
      <c r="C593" s="2" t="s">
        <v>1037</v>
      </c>
      <c r="D593" s="4">
        <v>-12254.21</v>
      </c>
      <c r="E593" s="2" t="s">
        <v>10</v>
      </c>
    </row>
    <row r="594" spans="1:5" x14ac:dyDescent="0.25">
      <c r="A594" s="2" t="s">
        <v>724</v>
      </c>
      <c r="B594" s="3">
        <v>45481</v>
      </c>
      <c r="C594" s="2" t="s">
        <v>1054</v>
      </c>
      <c r="D594" s="4">
        <v>-5249.34</v>
      </c>
      <c r="E594" s="2" t="s">
        <v>10</v>
      </c>
    </row>
    <row r="595" spans="1:5" x14ac:dyDescent="0.25">
      <c r="A595" s="2" t="s">
        <v>500</v>
      </c>
      <c r="B595" s="3">
        <v>45585</v>
      </c>
      <c r="C595" s="2" t="s">
        <v>1028</v>
      </c>
      <c r="D595" s="4">
        <v>-935.6</v>
      </c>
      <c r="E595" s="2" t="s">
        <v>10</v>
      </c>
    </row>
    <row r="596" spans="1:5" x14ac:dyDescent="0.25">
      <c r="A596" s="2" t="s">
        <v>828</v>
      </c>
      <c r="B596" s="3">
        <v>45532</v>
      </c>
      <c r="C596" s="2" t="s">
        <v>1053</v>
      </c>
      <c r="D596" s="4">
        <v>-454.78</v>
      </c>
      <c r="E596" s="2" t="s">
        <v>10</v>
      </c>
    </row>
    <row r="597" spans="1:5" x14ac:dyDescent="0.25">
      <c r="A597" s="2" t="s">
        <v>357</v>
      </c>
      <c r="B597" s="3">
        <v>45608</v>
      </c>
      <c r="C597" s="2" t="s">
        <v>1045</v>
      </c>
      <c r="D597" s="4">
        <v>-179.56</v>
      </c>
      <c r="E597" s="2" t="s">
        <v>10</v>
      </c>
    </row>
    <row r="598" spans="1:5" x14ac:dyDescent="0.25">
      <c r="A598" s="2" t="s">
        <v>257</v>
      </c>
      <c r="B598" s="3">
        <v>45472</v>
      </c>
      <c r="C598" s="2" t="s">
        <v>1049</v>
      </c>
      <c r="D598" s="4">
        <v>5688.42</v>
      </c>
      <c r="E598" s="2" t="s">
        <v>10</v>
      </c>
    </row>
    <row r="599" spans="1:5" x14ac:dyDescent="0.25">
      <c r="A599" s="2" t="s">
        <v>886</v>
      </c>
      <c r="B599" s="3">
        <v>45460</v>
      </c>
      <c r="C599" s="2" t="s">
        <v>1044</v>
      </c>
      <c r="D599" s="4">
        <v>-2387.65</v>
      </c>
      <c r="E599" s="2" t="s">
        <v>10</v>
      </c>
    </row>
    <row r="600" spans="1:5" x14ac:dyDescent="0.25">
      <c r="A600" s="2" t="s">
        <v>148</v>
      </c>
      <c r="B600" s="3">
        <v>45633</v>
      </c>
      <c r="C600" s="2" t="s">
        <v>1025</v>
      </c>
      <c r="D600" s="4">
        <v>-11490.6</v>
      </c>
      <c r="E600" s="2" t="s">
        <v>10</v>
      </c>
    </row>
    <row r="601" spans="1:5" x14ac:dyDescent="0.25">
      <c r="A601" s="2" t="s">
        <v>410</v>
      </c>
      <c r="B601" s="3">
        <v>45586</v>
      </c>
      <c r="C601" s="2" t="s">
        <v>1046</v>
      </c>
      <c r="D601" s="4">
        <v>-3339.4</v>
      </c>
      <c r="E601" s="2" t="s">
        <v>10</v>
      </c>
    </row>
    <row r="602" spans="1:5" x14ac:dyDescent="0.25">
      <c r="A602" s="2" t="s">
        <v>740</v>
      </c>
      <c r="B602" s="3">
        <v>45324</v>
      </c>
      <c r="C602" s="2" t="s">
        <v>1048</v>
      </c>
      <c r="D602" s="4">
        <v>-123.78</v>
      </c>
      <c r="E602" s="2" t="s">
        <v>10</v>
      </c>
    </row>
    <row r="603" spans="1:5" x14ac:dyDescent="0.25">
      <c r="A603" s="2" t="s">
        <v>211</v>
      </c>
      <c r="B603" s="3">
        <v>45622</v>
      </c>
      <c r="C603" s="2" t="s">
        <v>1054</v>
      </c>
      <c r="D603" s="4">
        <v>-2252.65</v>
      </c>
      <c r="E603" s="2" t="s">
        <v>10</v>
      </c>
    </row>
    <row r="604" spans="1:5" x14ac:dyDescent="0.25">
      <c r="A604" s="2" t="s">
        <v>546</v>
      </c>
      <c r="B604" s="3">
        <v>45537</v>
      </c>
      <c r="C604" s="2" t="s">
        <v>1025</v>
      </c>
      <c r="D604" s="4">
        <v>-5911.64</v>
      </c>
      <c r="E604" s="2" t="s">
        <v>10</v>
      </c>
    </row>
    <row r="605" spans="1:5" x14ac:dyDescent="0.25">
      <c r="A605" s="2" t="s">
        <v>713</v>
      </c>
      <c r="B605" s="3">
        <v>45334</v>
      </c>
      <c r="C605" s="2" t="s">
        <v>1033</v>
      </c>
      <c r="D605" s="4">
        <v>-8224.61</v>
      </c>
      <c r="E605" s="2" t="s">
        <v>10</v>
      </c>
    </row>
    <row r="606" spans="1:5" x14ac:dyDescent="0.25">
      <c r="A606" s="2" t="s">
        <v>992</v>
      </c>
      <c r="B606" s="3">
        <v>45332</v>
      </c>
      <c r="C606" s="2" t="s">
        <v>1033</v>
      </c>
      <c r="D606" s="4">
        <v>-7639.9</v>
      </c>
      <c r="E606" s="2" t="s">
        <v>10</v>
      </c>
    </row>
    <row r="607" spans="1:5" x14ac:dyDescent="0.25">
      <c r="A607" s="2" t="s">
        <v>944</v>
      </c>
      <c r="B607" s="3">
        <v>45636</v>
      </c>
      <c r="C607" s="2" t="s">
        <v>1029</v>
      </c>
      <c r="D607" s="4">
        <v>-1177.73</v>
      </c>
      <c r="E607" s="2" t="s">
        <v>10</v>
      </c>
    </row>
    <row r="608" spans="1:5" x14ac:dyDescent="0.25">
      <c r="A608" s="2" t="s">
        <v>751</v>
      </c>
      <c r="B608" s="3">
        <v>45652</v>
      </c>
      <c r="C608" s="2" t="s">
        <v>1036</v>
      </c>
      <c r="D608" s="4">
        <v>-6049.43</v>
      </c>
      <c r="E608" s="2" t="s">
        <v>10</v>
      </c>
    </row>
    <row r="609" spans="1:5" x14ac:dyDescent="0.25">
      <c r="A609" s="2" t="s">
        <v>281</v>
      </c>
      <c r="B609" s="3">
        <v>45548</v>
      </c>
      <c r="C609" s="2" t="s">
        <v>1052</v>
      </c>
      <c r="D609" s="4">
        <v>-5839.81</v>
      </c>
      <c r="E609" s="2" t="s">
        <v>10</v>
      </c>
    </row>
    <row r="610" spans="1:5" x14ac:dyDescent="0.25">
      <c r="A610" s="2" t="s">
        <v>947</v>
      </c>
      <c r="B610" s="3">
        <v>45486</v>
      </c>
      <c r="C610" s="2" t="s">
        <v>1038</v>
      </c>
      <c r="D610" s="4">
        <v>-354.53</v>
      </c>
      <c r="E610" s="2" t="s">
        <v>10</v>
      </c>
    </row>
    <row r="611" spans="1:5" x14ac:dyDescent="0.25">
      <c r="A611" s="2" t="s">
        <v>988</v>
      </c>
      <c r="B611" s="3">
        <v>45616</v>
      </c>
      <c r="C611" s="2" t="s">
        <v>1048</v>
      </c>
      <c r="D611" s="4">
        <v>-95.91</v>
      </c>
      <c r="E611" s="2" t="s">
        <v>10</v>
      </c>
    </row>
    <row r="612" spans="1:5" x14ac:dyDescent="0.25">
      <c r="A612" s="2" t="s">
        <v>225</v>
      </c>
      <c r="B612" s="3">
        <v>45307</v>
      </c>
      <c r="C612" s="2" t="s">
        <v>1053</v>
      </c>
      <c r="D612" s="4">
        <v>-668.14</v>
      </c>
      <c r="E612" s="2" t="s">
        <v>10</v>
      </c>
    </row>
    <row r="613" spans="1:5" x14ac:dyDescent="0.25">
      <c r="A613" s="2" t="s">
        <v>777</v>
      </c>
      <c r="B613" s="3">
        <v>45380</v>
      </c>
      <c r="C613" s="2" t="s">
        <v>1024</v>
      </c>
      <c r="D613" s="4">
        <v>175.62</v>
      </c>
      <c r="E613" s="2" t="s">
        <v>10</v>
      </c>
    </row>
    <row r="614" spans="1:5" x14ac:dyDescent="0.25">
      <c r="A614" s="2" t="s">
        <v>108</v>
      </c>
      <c r="B614" s="3">
        <v>45410</v>
      </c>
      <c r="C614" s="2" t="s">
        <v>1037</v>
      </c>
      <c r="D614" s="4">
        <v>-7082.21</v>
      </c>
      <c r="E614" s="2" t="s">
        <v>10</v>
      </c>
    </row>
    <row r="615" spans="1:5" x14ac:dyDescent="0.25">
      <c r="A615" s="2" t="s">
        <v>991</v>
      </c>
      <c r="B615" s="3">
        <v>45365</v>
      </c>
      <c r="C615" s="2" t="s">
        <v>1024</v>
      </c>
      <c r="D615" s="4">
        <v>159.78</v>
      </c>
      <c r="E615" s="2" t="s">
        <v>10</v>
      </c>
    </row>
    <row r="616" spans="1:5" x14ac:dyDescent="0.25">
      <c r="A616" s="2" t="s">
        <v>537</v>
      </c>
      <c r="B616" s="3">
        <v>45502</v>
      </c>
      <c r="C616" s="2" t="s">
        <v>1048</v>
      </c>
      <c r="D616" s="4">
        <v>-113.87</v>
      </c>
      <c r="E616" s="2" t="s">
        <v>10</v>
      </c>
    </row>
    <row r="617" spans="1:5" x14ac:dyDescent="0.25">
      <c r="A617" s="2" t="s">
        <v>360</v>
      </c>
      <c r="B617" s="3">
        <v>45653</v>
      </c>
      <c r="C617" s="2" t="s">
        <v>1036</v>
      </c>
      <c r="D617" s="4">
        <v>-1832.46</v>
      </c>
      <c r="E617" s="2" t="s">
        <v>10</v>
      </c>
    </row>
    <row r="618" spans="1:5" x14ac:dyDescent="0.25">
      <c r="A618" s="2" t="s">
        <v>75</v>
      </c>
      <c r="B618" s="3">
        <v>45659</v>
      </c>
      <c r="C618" s="2" t="s">
        <v>1047</v>
      </c>
      <c r="D618" s="4">
        <v>-30.57</v>
      </c>
      <c r="E618" s="2" t="s">
        <v>10</v>
      </c>
    </row>
    <row r="619" spans="1:5" x14ac:dyDescent="0.25">
      <c r="A619" s="2" t="s">
        <v>271</v>
      </c>
      <c r="B619" s="3">
        <v>45388</v>
      </c>
      <c r="C619" s="2" t="s">
        <v>1030</v>
      </c>
      <c r="D619" s="4">
        <v>-1176.8499999999999</v>
      </c>
      <c r="E619" s="2" t="s">
        <v>10</v>
      </c>
    </row>
    <row r="620" spans="1:5" x14ac:dyDescent="0.25">
      <c r="A620" s="2" t="s">
        <v>219</v>
      </c>
      <c r="B620" s="3">
        <v>45429</v>
      </c>
      <c r="C620" s="2" t="s">
        <v>1050</v>
      </c>
      <c r="D620" s="4">
        <v>-754.05</v>
      </c>
      <c r="E620" s="2" t="s">
        <v>10</v>
      </c>
    </row>
    <row r="621" spans="1:5" x14ac:dyDescent="0.25">
      <c r="A621" s="2" t="s">
        <v>450</v>
      </c>
      <c r="B621" s="3">
        <v>45569</v>
      </c>
      <c r="C621" s="2" t="s">
        <v>1051</v>
      </c>
      <c r="D621" s="4">
        <v>-9246.8700000000008</v>
      </c>
      <c r="E621" s="2" t="s">
        <v>10</v>
      </c>
    </row>
    <row r="622" spans="1:5" x14ac:dyDescent="0.25">
      <c r="A622" s="2" t="s">
        <v>492</v>
      </c>
      <c r="B622" s="3">
        <v>45444</v>
      </c>
      <c r="C622" s="2" t="s">
        <v>1051</v>
      </c>
      <c r="D622" s="4">
        <v>-5380.5</v>
      </c>
      <c r="E622" s="2" t="s">
        <v>10</v>
      </c>
    </row>
    <row r="623" spans="1:5" x14ac:dyDescent="0.25">
      <c r="A623" s="2" t="s">
        <v>208</v>
      </c>
      <c r="B623" s="3">
        <v>45343</v>
      </c>
      <c r="C623" s="2" t="s">
        <v>1046</v>
      </c>
      <c r="D623" s="4">
        <v>-4090.61</v>
      </c>
      <c r="E623" s="2" t="s">
        <v>10</v>
      </c>
    </row>
    <row r="624" spans="1:5" x14ac:dyDescent="0.25">
      <c r="A624" s="2" t="s">
        <v>591</v>
      </c>
      <c r="B624" s="3">
        <v>45474</v>
      </c>
      <c r="C624" s="2" t="s">
        <v>1043</v>
      </c>
      <c r="D624" s="4">
        <v>-2943.74</v>
      </c>
      <c r="E624" s="2" t="s">
        <v>10</v>
      </c>
    </row>
    <row r="625" spans="1:5" x14ac:dyDescent="0.25">
      <c r="A625" s="2" t="s">
        <v>407</v>
      </c>
      <c r="B625" s="3">
        <v>45402</v>
      </c>
      <c r="C625" s="2" t="s">
        <v>1046</v>
      </c>
      <c r="D625" s="4">
        <v>-5649.96</v>
      </c>
      <c r="E625" s="2" t="s">
        <v>10</v>
      </c>
    </row>
    <row r="626" spans="1:5" x14ac:dyDescent="0.25">
      <c r="A626" s="2" t="s">
        <v>429</v>
      </c>
      <c r="B626" s="3">
        <v>45310</v>
      </c>
      <c r="C626" s="2" t="s">
        <v>1052</v>
      </c>
      <c r="D626" s="4">
        <v>-5589.47</v>
      </c>
      <c r="E626" s="2" t="s">
        <v>10</v>
      </c>
    </row>
    <row r="627" spans="1:5" x14ac:dyDescent="0.25">
      <c r="A627" s="2" t="s">
        <v>312</v>
      </c>
      <c r="B627" s="3">
        <v>45458</v>
      </c>
      <c r="C627" s="2" t="s">
        <v>1029</v>
      </c>
      <c r="D627" s="4">
        <v>-1358.61</v>
      </c>
      <c r="E627" s="2" t="s">
        <v>10</v>
      </c>
    </row>
    <row r="628" spans="1:5" x14ac:dyDescent="0.25">
      <c r="A628" s="2" t="s">
        <v>418</v>
      </c>
      <c r="B628" s="3">
        <v>45570</v>
      </c>
      <c r="C628" s="2" t="s">
        <v>1044</v>
      </c>
      <c r="D628" s="4">
        <v>-1573.4</v>
      </c>
      <c r="E628" s="2" t="s">
        <v>10</v>
      </c>
    </row>
    <row r="629" spans="1:5" x14ac:dyDescent="0.25">
      <c r="A629" s="2" t="s">
        <v>331</v>
      </c>
      <c r="B629" s="3">
        <v>45370</v>
      </c>
      <c r="C629" s="2" t="s">
        <v>1047</v>
      </c>
      <c r="D629" s="4">
        <v>-113.18</v>
      </c>
      <c r="E629" s="2" t="s">
        <v>10</v>
      </c>
    </row>
    <row r="630" spans="1:5" x14ac:dyDescent="0.25">
      <c r="A630" s="2" t="s">
        <v>74</v>
      </c>
      <c r="B630" s="3">
        <v>45441</v>
      </c>
      <c r="C630" s="2" t="s">
        <v>1025</v>
      </c>
      <c r="D630" s="4">
        <v>-1234.99</v>
      </c>
      <c r="E630" s="2" t="s">
        <v>10</v>
      </c>
    </row>
    <row r="631" spans="1:5" x14ac:dyDescent="0.25">
      <c r="A631" s="2" t="s">
        <v>520</v>
      </c>
      <c r="B631" s="3">
        <v>45301</v>
      </c>
      <c r="C631" s="2" t="s">
        <v>1032</v>
      </c>
      <c r="D631" s="4">
        <v>-384.52</v>
      </c>
      <c r="E631" s="2" t="s">
        <v>10</v>
      </c>
    </row>
    <row r="632" spans="1:5" x14ac:dyDescent="0.25">
      <c r="A632" s="2" t="s">
        <v>640</v>
      </c>
      <c r="B632" s="3">
        <v>45427</v>
      </c>
      <c r="C632" s="2" t="s">
        <v>1038</v>
      </c>
      <c r="D632" s="4">
        <v>-326.26</v>
      </c>
      <c r="E632" s="2" t="s">
        <v>10</v>
      </c>
    </row>
    <row r="633" spans="1:5" x14ac:dyDescent="0.25">
      <c r="A633" s="2" t="s">
        <v>529</v>
      </c>
      <c r="B633" s="3">
        <v>45644</v>
      </c>
      <c r="C633" s="2" t="s">
        <v>1030</v>
      </c>
      <c r="D633" s="4">
        <v>-1360.67</v>
      </c>
      <c r="E633" s="2" t="s">
        <v>10</v>
      </c>
    </row>
    <row r="634" spans="1:5" x14ac:dyDescent="0.25">
      <c r="A634" s="2" t="s">
        <v>415</v>
      </c>
      <c r="B634" s="3">
        <v>45510</v>
      </c>
      <c r="C634" s="2" t="s">
        <v>1026</v>
      </c>
      <c r="D634" s="4">
        <v>107.98</v>
      </c>
      <c r="E634" s="2" t="s">
        <v>10</v>
      </c>
    </row>
    <row r="635" spans="1:5" x14ac:dyDescent="0.25">
      <c r="A635" s="2" t="s">
        <v>553</v>
      </c>
      <c r="B635" s="3">
        <v>45335</v>
      </c>
      <c r="C635" s="2" t="s">
        <v>1054</v>
      </c>
      <c r="D635" s="4">
        <v>-2818.4</v>
      </c>
      <c r="E635" s="2" t="s">
        <v>10</v>
      </c>
    </row>
    <row r="636" spans="1:5" x14ac:dyDescent="0.25">
      <c r="A636" s="2" t="s">
        <v>851</v>
      </c>
      <c r="B636" s="3">
        <v>45300</v>
      </c>
      <c r="C636" s="2" t="s">
        <v>1025</v>
      </c>
      <c r="D636" s="4">
        <v>-9103.07</v>
      </c>
      <c r="E636" s="2" t="s">
        <v>10</v>
      </c>
    </row>
    <row r="637" spans="1:5" x14ac:dyDescent="0.25">
      <c r="A637" s="2" t="s">
        <v>1004</v>
      </c>
      <c r="B637" s="3">
        <v>45530</v>
      </c>
      <c r="C637" s="2" t="s">
        <v>1054</v>
      </c>
      <c r="D637" s="4">
        <v>-3589.74</v>
      </c>
      <c r="E637" s="2" t="s">
        <v>10</v>
      </c>
    </row>
    <row r="638" spans="1:5" x14ac:dyDescent="0.25">
      <c r="A638" s="2" t="s">
        <v>139</v>
      </c>
      <c r="B638" s="3">
        <v>45489</v>
      </c>
      <c r="C638" s="2" t="s">
        <v>1029</v>
      </c>
      <c r="D638" s="4">
        <v>-6820.38</v>
      </c>
      <c r="E638" s="2" t="s">
        <v>10</v>
      </c>
    </row>
    <row r="639" spans="1:5" x14ac:dyDescent="0.25">
      <c r="A639" s="2" t="s">
        <v>999</v>
      </c>
      <c r="B639" s="3">
        <v>45654</v>
      </c>
      <c r="C639" s="2" t="s">
        <v>1037</v>
      </c>
      <c r="D639" s="4">
        <v>-2576.71</v>
      </c>
      <c r="E639" s="2" t="s">
        <v>10</v>
      </c>
    </row>
    <row r="640" spans="1:5" x14ac:dyDescent="0.25">
      <c r="A640" s="2" t="s">
        <v>70</v>
      </c>
      <c r="B640" s="3">
        <v>45375</v>
      </c>
      <c r="C640" s="2" t="s">
        <v>1050</v>
      </c>
      <c r="D640" s="4">
        <v>-1004.52</v>
      </c>
      <c r="E640" s="2" t="s">
        <v>10</v>
      </c>
    </row>
    <row r="641" spans="1:5" x14ac:dyDescent="0.25">
      <c r="A641" s="2" t="s">
        <v>799</v>
      </c>
      <c r="B641" s="3">
        <v>45579</v>
      </c>
      <c r="C641" s="2" t="s">
        <v>1032</v>
      </c>
      <c r="D641" s="4">
        <v>-2728.51</v>
      </c>
      <c r="E641" s="2" t="s">
        <v>10</v>
      </c>
    </row>
    <row r="642" spans="1:5" x14ac:dyDescent="0.25">
      <c r="A642" s="2" t="s">
        <v>535</v>
      </c>
      <c r="B642" s="3">
        <v>45561</v>
      </c>
      <c r="C642" s="2" t="s">
        <v>1036</v>
      </c>
      <c r="D642" s="4">
        <v>-4225.46</v>
      </c>
      <c r="E642" s="2" t="s">
        <v>10</v>
      </c>
    </row>
    <row r="643" spans="1:5" x14ac:dyDescent="0.25">
      <c r="A643" s="2" t="s">
        <v>278</v>
      </c>
      <c r="B643" s="3">
        <v>45619</v>
      </c>
      <c r="C643" s="2" t="s">
        <v>1050</v>
      </c>
      <c r="D643" s="4">
        <v>-129.51</v>
      </c>
      <c r="E643" s="2" t="s">
        <v>10</v>
      </c>
    </row>
    <row r="644" spans="1:5" x14ac:dyDescent="0.25">
      <c r="A644" s="2" t="s">
        <v>92</v>
      </c>
      <c r="B644" s="3">
        <v>45477</v>
      </c>
      <c r="C644" s="2" t="s">
        <v>1027</v>
      </c>
      <c r="D644" s="4">
        <v>10370.549999999999</v>
      </c>
      <c r="E644" s="2" t="s">
        <v>10</v>
      </c>
    </row>
    <row r="645" spans="1:5" x14ac:dyDescent="0.25">
      <c r="A645" s="2" t="s">
        <v>230</v>
      </c>
      <c r="B645" s="3">
        <v>45556</v>
      </c>
      <c r="C645" s="2" t="s">
        <v>1025</v>
      </c>
      <c r="D645" s="4">
        <v>-3384.64</v>
      </c>
      <c r="E645" s="2" t="s">
        <v>10</v>
      </c>
    </row>
    <row r="646" spans="1:5" x14ac:dyDescent="0.25">
      <c r="A646" s="2" t="s">
        <v>881</v>
      </c>
      <c r="B646" s="3">
        <v>45453</v>
      </c>
      <c r="C646" s="2" t="s">
        <v>1044</v>
      </c>
      <c r="D646" s="4">
        <v>-3070.22</v>
      </c>
      <c r="E646" s="2" t="s">
        <v>10</v>
      </c>
    </row>
    <row r="647" spans="1:5" x14ac:dyDescent="0.25">
      <c r="A647" s="2" t="s">
        <v>849</v>
      </c>
      <c r="B647" s="3">
        <v>45400</v>
      </c>
      <c r="C647" s="2" t="s">
        <v>1029</v>
      </c>
      <c r="D647" s="4">
        <v>-5298.6</v>
      </c>
      <c r="E647" s="2" t="s">
        <v>10</v>
      </c>
    </row>
    <row r="648" spans="1:5" x14ac:dyDescent="0.25">
      <c r="A648" s="2" t="s">
        <v>561</v>
      </c>
      <c r="B648" s="3">
        <v>45364</v>
      </c>
      <c r="C648" s="2" t="s">
        <v>1053</v>
      </c>
      <c r="D648" s="4">
        <v>-788.12</v>
      </c>
      <c r="E648" s="2" t="s">
        <v>10</v>
      </c>
    </row>
    <row r="649" spans="1:5" x14ac:dyDescent="0.25">
      <c r="A649" s="2" t="s">
        <v>801</v>
      </c>
      <c r="B649" s="3">
        <v>45366</v>
      </c>
      <c r="C649" s="2" t="s">
        <v>1025</v>
      </c>
      <c r="D649" s="4">
        <v>-6228.96</v>
      </c>
      <c r="E649" s="2" t="s">
        <v>10</v>
      </c>
    </row>
    <row r="650" spans="1:5" x14ac:dyDescent="0.25">
      <c r="A650" s="2" t="s">
        <v>699</v>
      </c>
      <c r="B650" s="3">
        <v>45614</v>
      </c>
      <c r="C650" s="2" t="s">
        <v>1042</v>
      </c>
      <c r="D650" s="4">
        <v>-5337.17</v>
      </c>
      <c r="E650" s="2" t="s">
        <v>10</v>
      </c>
    </row>
    <row r="651" spans="1:5" x14ac:dyDescent="0.25">
      <c r="A651" s="2" t="s">
        <v>294</v>
      </c>
      <c r="B651" s="3">
        <v>45496</v>
      </c>
      <c r="C651" s="2" t="s">
        <v>1033</v>
      </c>
      <c r="D651" s="4">
        <v>-3645.78</v>
      </c>
      <c r="E651" s="2" t="s">
        <v>10</v>
      </c>
    </row>
    <row r="652" spans="1:5" x14ac:dyDescent="0.25">
      <c r="A652" s="2" t="s">
        <v>620</v>
      </c>
      <c r="B652" s="3">
        <v>45538</v>
      </c>
      <c r="C652" s="2" t="s">
        <v>1043</v>
      </c>
      <c r="D652" s="4">
        <v>-5274.96</v>
      </c>
      <c r="E652" s="2" t="s">
        <v>10</v>
      </c>
    </row>
    <row r="653" spans="1:5" x14ac:dyDescent="0.25">
      <c r="A653" s="2" t="s">
        <v>33</v>
      </c>
      <c r="B653" s="3">
        <v>45441</v>
      </c>
      <c r="C653" s="2" t="s">
        <v>1027</v>
      </c>
      <c r="D653" s="4">
        <v>13645.92</v>
      </c>
      <c r="E653" s="2" t="s">
        <v>10</v>
      </c>
    </row>
    <row r="654" spans="1:5" x14ac:dyDescent="0.25">
      <c r="A654" s="2" t="s">
        <v>925</v>
      </c>
      <c r="B654" s="3">
        <v>45455</v>
      </c>
      <c r="C654" s="2" t="s">
        <v>1051</v>
      </c>
      <c r="D654" s="4">
        <v>-2636.62</v>
      </c>
      <c r="E654" s="2" t="s">
        <v>10</v>
      </c>
    </row>
    <row r="655" spans="1:5" x14ac:dyDescent="0.25">
      <c r="A655" s="2" t="s">
        <v>982</v>
      </c>
      <c r="B655" s="3">
        <v>45542</v>
      </c>
      <c r="C655" s="2" t="s">
        <v>1034</v>
      </c>
      <c r="D655" s="4">
        <v>15147.47</v>
      </c>
      <c r="E655" s="2" t="s">
        <v>10</v>
      </c>
    </row>
    <row r="656" spans="1:5" x14ac:dyDescent="0.25">
      <c r="A656" s="2" t="s">
        <v>782</v>
      </c>
      <c r="B656" s="3">
        <v>45384</v>
      </c>
      <c r="C656" s="2" t="s">
        <v>1053</v>
      </c>
      <c r="D656" s="4">
        <v>-199.4</v>
      </c>
      <c r="E656" s="2" t="s">
        <v>10</v>
      </c>
    </row>
    <row r="657" spans="1:5" x14ac:dyDescent="0.25">
      <c r="A657" s="2" t="s">
        <v>755</v>
      </c>
      <c r="B657" s="3">
        <v>45303</v>
      </c>
      <c r="C657" s="2" t="s">
        <v>1025</v>
      </c>
      <c r="D657" s="4">
        <v>-5316.82</v>
      </c>
      <c r="E657" s="2" t="s">
        <v>10</v>
      </c>
    </row>
    <row r="658" spans="1:5" x14ac:dyDescent="0.25">
      <c r="A658" s="2" t="s">
        <v>975</v>
      </c>
      <c r="B658" s="3">
        <v>45322</v>
      </c>
      <c r="C658" s="2" t="s">
        <v>1031</v>
      </c>
      <c r="D658" s="4">
        <v>151.13999999999999</v>
      </c>
      <c r="E658" s="2" t="s">
        <v>10</v>
      </c>
    </row>
    <row r="659" spans="1:5" x14ac:dyDescent="0.25">
      <c r="A659" s="2" t="s">
        <v>115</v>
      </c>
      <c r="B659" s="3">
        <v>45456</v>
      </c>
      <c r="C659" s="2" t="s">
        <v>1034</v>
      </c>
      <c r="D659" s="4">
        <v>10914.5</v>
      </c>
      <c r="E659" s="2" t="s">
        <v>10</v>
      </c>
    </row>
    <row r="660" spans="1:5" x14ac:dyDescent="0.25">
      <c r="A660" s="2" t="s">
        <v>1063</v>
      </c>
      <c r="B660" s="3">
        <v>45586</v>
      </c>
      <c r="C660" s="2" t="s">
        <v>1041</v>
      </c>
      <c r="D660" s="4">
        <v>-59.14</v>
      </c>
      <c r="E660" s="2" t="s">
        <v>10</v>
      </c>
    </row>
    <row r="661" spans="1:5" x14ac:dyDescent="0.25">
      <c r="A661" s="2" t="s">
        <v>262</v>
      </c>
      <c r="B661" s="3">
        <v>45507</v>
      </c>
      <c r="C661" s="2" t="s">
        <v>1035</v>
      </c>
      <c r="D661" s="4">
        <v>-784.77</v>
      </c>
      <c r="E661" s="2" t="s">
        <v>10</v>
      </c>
    </row>
    <row r="662" spans="1:5" x14ac:dyDescent="0.25">
      <c r="A662" s="2" t="s">
        <v>476</v>
      </c>
      <c r="B662" s="3">
        <v>45426</v>
      </c>
      <c r="C662" s="2" t="s">
        <v>1037</v>
      </c>
      <c r="D662" s="4">
        <v>-7991.61</v>
      </c>
      <c r="E662" s="2" t="s">
        <v>10</v>
      </c>
    </row>
    <row r="663" spans="1:5" x14ac:dyDescent="0.25">
      <c r="A663" s="2" t="s">
        <v>436</v>
      </c>
      <c r="B663" s="3">
        <v>45387</v>
      </c>
      <c r="C663" s="2" t="s">
        <v>1034</v>
      </c>
      <c r="D663" s="4">
        <v>12055.18</v>
      </c>
      <c r="E663" s="2" t="s">
        <v>10</v>
      </c>
    </row>
    <row r="664" spans="1:5" x14ac:dyDescent="0.25">
      <c r="A664" s="2" t="s">
        <v>252</v>
      </c>
      <c r="B664" s="3">
        <v>45627</v>
      </c>
      <c r="C664" s="2" t="s">
        <v>1026</v>
      </c>
      <c r="D664" s="4">
        <v>306.45</v>
      </c>
      <c r="E664" s="2" t="s">
        <v>10</v>
      </c>
    </row>
    <row r="665" spans="1:5" x14ac:dyDescent="0.25">
      <c r="A665" s="2" t="s">
        <v>937</v>
      </c>
      <c r="B665" s="3">
        <v>45611</v>
      </c>
      <c r="C665" s="2" t="s">
        <v>1032</v>
      </c>
      <c r="D665" s="4">
        <v>-1060.1500000000001</v>
      </c>
      <c r="E665" s="2" t="s">
        <v>10</v>
      </c>
    </row>
    <row r="666" spans="1:5" x14ac:dyDescent="0.25">
      <c r="A666" s="2" t="s">
        <v>669</v>
      </c>
      <c r="B666" s="3">
        <v>45400</v>
      </c>
      <c r="C666" s="2" t="s">
        <v>1048</v>
      </c>
      <c r="D666" s="4">
        <v>-140.28</v>
      </c>
      <c r="E666" s="2" t="s">
        <v>10</v>
      </c>
    </row>
    <row r="667" spans="1:5" x14ac:dyDescent="0.25">
      <c r="A667" s="2" t="s">
        <v>224</v>
      </c>
      <c r="B667" s="3">
        <v>45489</v>
      </c>
      <c r="C667" s="2" t="s">
        <v>1050</v>
      </c>
      <c r="D667" s="4">
        <v>-296.20999999999998</v>
      </c>
      <c r="E667" s="2" t="s">
        <v>10</v>
      </c>
    </row>
    <row r="668" spans="1:5" x14ac:dyDescent="0.25">
      <c r="A668" s="2" t="s">
        <v>893</v>
      </c>
      <c r="B668" s="3">
        <v>45437</v>
      </c>
      <c r="C668" s="2" t="s">
        <v>1038</v>
      </c>
      <c r="D668" s="4">
        <v>-282.14999999999998</v>
      </c>
      <c r="E668" s="2" t="s">
        <v>10</v>
      </c>
    </row>
    <row r="669" spans="1:5" x14ac:dyDescent="0.25">
      <c r="A669" s="2" t="s">
        <v>812</v>
      </c>
      <c r="B669" s="3">
        <v>45582</v>
      </c>
      <c r="C669" s="2" t="s">
        <v>1047</v>
      </c>
      <c r="D669" s="4">
        <v>-46.48</v>
      </c>
      <c r="E669" s="2" t="s">
        <v>10</v>
      </c>
    </row>
    <row r="670" spans="1:5" x14ac:dyDescent="0.25">
      <c r="A670" s="2" t="s">
        <v>577</v>
      </c>
      <c r="B670" s="3">
        <v>45522</v>
      </c>
      <c r="C670" s="2" t="s">
        <v>1029</v>
      </c>
      <c r="D670" s="4">
        <v>-6516.06</v>
      </c>
      <c r="E670" s="2" t="s">
        <v>10</v>
      </c>
    </row>
    <row r="671" spans="1:5" x14ac:dyDescent="0.25">
      <c r="A671" s="2" t="s">
        <v>1013</v>
      </c>
      <c r="B671" s="3">
        <v>45411</v>
      </c>
      <c r="C671" s="2" t="s">
        <v>1024</v>
      </c>
      <c r="D671" s="4">
        <v>217.88</v>
      </c>
      <c r="E671" s="2" t="s">
        <v>10</v>
      </c>
    </row>
    <row r="672" spans="1:5" x14ac:dyDescent="0.25">
      <c r="A672" s="2" t="s">
        <v>972</v>
      </c>
      <c r="B672" s="3">
        <v>45583</v>
      </c>
      <c r="C672" s="2" t="s">
        <v>1038</v>
      </c>
      <c r="D672" s="4">
        <v>-923.24</v>
      </c>
      <c r="E672" s="2" t="s">
        <v>10</v>
      </c>
    </row>
    <row r="673" spans="1:5" x14ac:dyDescent="0.25">
      <c r="A673" s="2" t="s">
        <v>452</v>
      </c>
      <c r="B673" s="3">
        <v>45567</v>
      </c>
      <c r="C673" s="2" t="s">
        <v>1053</v>
      </c>
      <c r="D673" s="4">
        <v>-91.05</v>
      </c>
      <c r="E673" s="2" t="s">
        <v>10</v>
      </c>
    </row>
    <row r="674" spans="1:5" x14ac:dyDescent="0.25">
      <c r="A674" s="2" t="s">
        <v>588</v>
      </c>
      <c r="B674" s="3">
        <v>45309</v>
      </c>
      <c r="C674" s="2" t="s">
        <v>1051</v>
      </c>
      <c r="D674" s="4">
        <v>-2209.04</v>
      </c>
      <c r="E674" s="2" t="s">
        <v>10</v>
      </c>
    </row>
    <row r="675" spans="1:5" x14ac:dyDescent="0.25">
      <c r="A675" s="2" t="s">
        <v>445</v>
      </c>
      <c r="B675" s="3">
        <v>45444</v>
      </c>
      <c r="C675" s="2" t="s">
        <v>1026</v>
      </c>
      <c r="D675" s="4">
        <v>69.61</v>
      </c>
      <c r="E675" s="2" t="s">
        <v>10</v>
      </c>
    </row>
    <row r="676" spans="1:5" x14ac:dyDescent="0.25">
      <c r="A676" s="2" t="s">
        <v>702</v>
      </c>
      <c r="B676" s="3">
        <v>45564</v>
      </c>
      <c r="C676" s="2" t="s">
        <v>1035</v>
      </c>
      <c r="D676" s="4">
        <v>-701.07</v>
      </c>
      <c r="E676" s="2" t="s">
        <v>10</v>
      </c>
    </row>
    <row r="677" spans="1:5" x14ac:dyDescent="0.25">
      <c r="A677" s="2" t="s">
        <v>266</v>
      </c>
      <c r="B677" s="3">
        <v>45376</v>
      </c>
      <c r="C677" s="2" t="s">
        <v>1050</v>
      </c>
      <c r="D677" s="4">
        <v>-227.43</v>
      </c>
      <c r="E677" s="2" t="s">
        <v>10</v>
      </c>
    </row>
    <row r="678" spans="1:5" x14ac:dyDescent="0.25">
      <c r="A678" s="2" t="s">
        <v>386</v>
      </c>
      <c r="B678" s="3">
        <v>45292</v>
      </c>
      <c r="C678" s="2" t="s">
        <v>1025</v>
      </c>
      <c r="D678" s="4">
        <v>-8067.87</v>
      </c>
      <c r="E678" s="2" t="s">
        <v>10</v>
      </c>
    </row>
    <row r="679" spans="1:5" x14ac:dyDescent="0.25">
      <c r="A679" s="2" t="s">
        <v>903</v>
      </c>
      <c r="B679" s="3">
        <v>45466</v>
      </c>
      <c r="C679" s="2" t="s">
        <v>1024</v>
      </c>
      <c r="D679" s="4">
        <v>377.8</v>
      </c>
      <c r="E679" s="2" t="s">
        <v>10</v>
      </c>
    </row>
    <row r="680" spans="1:5" x14ac:dyDescent="0.25">
      <c r="A680" s="2" t="s">
        <v>674</v>
      </c>
      <c r="B680" s="3">
        <v>45352</v>
      </c>
      <c r="C680" s="2" t="s">
        <v>1052</v>
      </c>
      <c r="D680" s="4">
        <v>-6331.59</v>
      </c>
      <c r="E680" s="2" t="s">
        <v>10</v>
      </c>
    </row>
    <row r="681" spans="1:5" x14ac:dyDescent="0.25">
      <c r="A681" s="2" t="s">
        <v>895</v>
      </c>
      <c r="B681" s="3">
        <v>45359</v>
      </c>
      <c r="C681" s="2" t="s">
        <v>1052</v>
      </c>
      <c r="D681" s="4">
        <v>-3083.69</v>
      </c>
      <c r="E681" s="2" t="s">
        <v>10</v>
      </c>
    </row>
    <row r="682" spans="1:5" x14ac:dyDescent="0.25">
      <c r="A682" s="2" t="s">
        <v>353</v>
      </c>
      <c r="B682" s="3">
        <v>45476</v>
      </c>
      <c r="C682" s="2" t="s">
        <v>1025</v>
      </c>
      <c r="D682" s="4">
        <v>-5266.96</v>
      </c>
      <c r="E682" s="2" t="s">
        <v>10</v>
      </c>
    </row>
    <row r="683" spans="1:5" x14ac:dyDescent="0.25">
      <c r="A683" s="2" t="s">
        <v>538</v>
      </c>
      <c r="B683" s="3">
        <v>45530</v>
      </c>
      <c r="C683" s="2" t="s">
        <v>1032</v>
      </c>
      <c r="D683" s="4">
        <v>-292.26</v>
      </c>
      <c r="E683" s="2" t="s">
        <v>10</v>
      </c>
    </row>
    <row r="684" spans="1:5" x14ac:dyDescent="0.25">
      <c r="A684" s="2" t="s">
        <v>615</v>
      </c>
      <c r="B684" s="3">
        <v>45511</v>
      </c>
      <c r="C684" s="2" t="s">
        <v>1053</v>
      </c>
      <c r="D684" s="4">
        <v>-545.71</v>
      </c>
      <c r="E684" s="2" t="s">
        <v>10</v>
      </c>
    </row>
    <row r="685" spans="1:5" x14ac:dyDescent="0.25">
      <c r="A685" s="2" t="s">
        <v>573</v>
      </c>
      <c r="B685" s="3">
        <v>45491</v>
      </c>
      <c r="C685" s="2" t="s">
        <v>1049</v>
      </c>
      <c r="D685" s="4">
        <v>18347.810000000001</v>
      </c>
      <c r="E685" s="2" t="s">
        <v>123</v>
      </c>
    </row>
    <row r="686" spans="1:5" x14ac:dyDescent="0.25">
      <c r="A686" s="2" t="s">
        <v>942</v>
      </c>
      <c r="B686" s="3">
        <v>45647</v>
      </c>
      <c r="C686" s="2" t="s">
        <v>1054</v>
      </c>
      <c r="D686" s="4">
        <v>-5866.97</v>
      </c>
      <c r="E686" s="2" t="s">
        <v>10</v>
      </c>
    </row>
    <row r="687" spans="1:5" x14ac:dyDescent="0.25">
      <c r="A687" s="2" t="s">
        <v>917</v>
      </c>
      <c r="B687" s="3">
        <v>45348</v>
      </c>
      <c r="C687" s="2" t="s">
        <v>1043</v>
      </c>
      <c r="D687" s="4">
        <v>-3235.27</v>
      </c>
      <c r="E687" s="2" t="s">
        <v>10</v>
      </c>
    </row>
    <row r="688" spans="1:5" x14ac:dyDescent="0.25">
      <c r="A688" s="2" t="s">
        <v>650</v>
      </c>
      <c r="B688" s="3">
        <v>45578</v>
      </c>
      <c r="C688" s="2" t="s">
        <v>1046</v>
      </c>
      <c r="D688" s="4">
        <v>-5995.78</v>
      </c>
      <c r="E688" s="2" t="s">
        <v>10</v>
      </c>
    </row>
    <row r="689" spans="1:5" x14ac:dyDescent="0.25">
      <c r="A689" s="2" t="s">
        <v>919</v>
      </c>
      <c r="B689" s="3">
        <v>45548</v>
      </c>
      <c r="C689" s="2" t="s">
        <v>1054</v>
      </c>
      <c r="D689" s="4">
        <v>-4338.18</v>
      </c>
      <c r="E689" s="2" t="s">
        <v>10</v>
      </c>
    </row>
    <row r="690" spans="1:5" x14ac:dyDescent="0.25">
      <c r="A690" s="2" t="s">
        <v>687</v>
      </c>
      <c r="B690" s="3">
        <v>45518</v>
      </c>
      <c r="C690" s="2" t="s">
        <v>1039</v>
      </c>
      <c r="D690" s="4">
        <v>-14982.66</v>
      </c>
      <c r="E690" s="2" t="s">
        <v>10</v>
      </c>
    </row>
    <row r="691" spans="1:5" x14ac:dyDescent="0.25">
      <c r="A691" s="2" t="s">
        <v>390</v>
      </c>
      <c r="B691" s="3">
        <v>45443</v>
      </c>
      <c r="C691" s="2" t="s">
        <v>1047</v>
      </c>
      <c r="D691" s="4">
        <v>-71.19</v>
      </c>
      <c r="E691" s="2" t="s">
        <v>10</v>
      </c>
    </row>
    <row r="692" spans="1:5" x14ac:dyDescent="0.25">
      <c r="A692" s="2" t="s">
        <v>883</v>
      </c>
      <c r="B692" s="3">
        <v>45506</v>
      </c>
      <c r="C692" s="2" t="s">
        <v>1046</v>
      </c>
      <c r="D692" s="4">
        <v>-3288.58</v>
      </c>
      <c r="E692" s="2" t="s">
        <v>10</v>
      </c>
    </row>
    <row r="693" spans="1:5" x14ac:dyDescent="0.25">
      <c r="A693" s="2" t="s">
        <v>642</v>
      </c>
      <c r="B693" s="3">
        <v>45377</v>
      </c>
      <c r="C693" s="2" t="s">
        <v>1038</v>
      </c>
      <c r="D693" s="4">
        <v>-309.82</v>
      </c>
      <c r="E693" s="2" t="s">
        <v>10</v>
      </c>
    </row>
    <row r="694" spans="1:5" x14ac:dyDescent="0.25">
      <c r="A694" s="2" t="s">
        <v>857</v>
      </c>
      <c r="B694" s="3">
        <v>45604</v>
      </c>
      <c r="C694" s="2" t="s">
        <v>1049</v>
      </c>
      <c r="D694" s="4">
        <v>1660.63</v>
      </c>
      <c r="E694" s="2" t="s">
        <v>10</v>
      </c>
    </row>
    <row r="695" spans="1:5" x14ac:dyDescent="0.25">
      <c r="A695" s="2" t="s">
        <v>997</v>
      </c>
      <c r="B695" s="3">
        <v>45338</v>
      </c>
      <c r="C695" s="2" t="s">
        <v>1031</v>
      </c>
      <c r="D695" s="4">
        <v>388.23</v>
      </c>
      <c r="E695" s="2" t="s">
        <v>10</v>
      </c>
    </row>
    <row r="696" spans="1:5" x14ac:dyDescent="0.25">
      <c r="A696" s="2" t="s">
        <v>319</v>
      </c>
      <c r="B696" s="3">
        <v>45442</v>
      </c>
      <c r="C696" s="2" t="s">
        <v>1041</v>
      </c>
      <c r="D696" s="4">
        <v>-145.47</v>
      </c>
      <c r="E696" s="2" t="s">
        <v>10</v>
      </c>
    </row>
    <row r="697" spans="1:5" x14ac:dyDescent="0.25">
      <c r="A697" s="2" t="s">
        <v>279</v>
      </c>
      <c r="B697" s="3">
        <v>45565</v>
      </c>
      <c r="C697" s="2" t="s">
        <v>1036</v>
      </c>
      <c r="D697" s="4">
        <v>-5112.79</v>
      </c>
      <c r="E697" s="2" t="s">
        <v>10</v>
      </c>
    </row>
    <row r="698" spans="1:5" x14ac:dyDescent="0.25">
      <c r="A698" s="2" t="s">
        <v>916</v>
      </c>
      <c r="B698" s="3">
        <v>45613</v>
      </c>
      <c r="C698" s="2" t="s">
        <v>1042</v>
      </c>
      <c r="D698" s="4">
        <v>-1876.32</v>
      </c>
      <c r="E698" s="2" t="s">
        <v>10</v>
      </c>
    </row>
    <row r="699" spans="1:5" x14ac:dyDescent="0.25">
      <c r="A699" s="2" t="s">
        <v>504</v>
      </c>
      <c r="B699" s="3">
        <v>45581</v>
      </c>
      <c r="C699" s="2" t="s">
        <v>1054</v>
      </c>
      <c r="D699" s="4">
        <v>-3197.72</v>
      </c>
      <c r="E699" s="2" t="s">
        <v>10</v>
      </c>
    </row>
    <row r="700" spans="1:5" x14ac:dyDescent="0.25">
      <c r="A700" s="2" t="s">
        <v>742</v>
      </c>
      <c r="B700" s="3">
        <v>45401</v>
      </c>
      <c r="C700" s="2" t="s">
        <v>1039</v>
      </c>
      <c r="D700" s="4">
        <v>-14765.94</v>
      </c>
      <c r="E700" s="2" t="s">
        <v>10</v>
      </c>
    </row>
    <row r="701" spans="1:5" x14ac:dyDescent="0.25">
      <c r="A701" s="2" t="s">
        <v>479</v>
      </c>
      <c r="B701" s="3">
        <v>45591</v>
      </c>
      <c r="C701" s="2" t="s">
        <v>1053</v>
      </c>
      <c r="D701" s="4">
        <v>-311</v>
      </c>
      <c r="E701" s="2" t="s">
        <v>10</v>
      </c>
    </row>
    <row r="702" spans="1:5" x14ac:dyDescent="0.25">
      <c r="A702" s="2" t="s">
        <v>381</v>
      </c>
      <c r="B702" s="3">
        <v>45459</v>
      </c>
      <c r="C702" s="2" t="s">
        <v>1051</v>
      </c>
      <c r="D702" s="4">
        <v>-5519.22</v>
      </c>
      <c r="E702" s="2" t="s">
        <v>10</v>
      </c>
    </row>
    <row r="703" spans="1:5" x14ac:dyDescent="0.25">
      <c r="A703" s="2" t="s">
        <v>291</v>
      </c>
      <c r="B703" s="3">
        <v>45524</v>
      </c>
      <c r="C703" s="2" t="s">
        <v>1039</v>
      </c>
      <c r="D703" s="4">
        <v>-12762.12</v>
      </c>
      <c r="E703" s="2" t="s">
        <v>10</v>
      </c>
    </row>
    <row r="704" spans="1:5" x14ac:dyDescent="0.25">
      <c r="A704" s="2" t="s">
        <v>134</v>
      </c>
      <c r="B704" s="3">
        <v>45526</v>
      </c>
      <c r="C704" s="2" t="s">
        <v>1041</v>
      </c>
      <c r="D704" s="4">
        <v>-13.01</v>
      </c>
      <c r="E704" s="2" t="s">
        <v>10</v>
      </c>
    </row>
    <row r="705" spans="1:5" x14ac:dyDescent="0.25">
      <c r="A705" s="2" t="s">
        <v>124</v>
      </c>
      <c r="B705" s="3">
        <v>45321</v>
      </c>
      <c r="C705" s="2" t="s">
        <v>1036</v>
      </c>
      <c r="D705" s="4">
        <v>-3211.99</v>
      </c>
      <c r="E705" s="2" t="s">
        <v>10</v>
      </c>
    </row>
    <row r="706" spans="1:5" x14ac:dyDescent="0.25">
      <c r="A706" s="2" t="s">
        <v>19</v>
      </c>
      <c r="B706" s="3">
        <v>45609</v>
      </c>
      <c r="C706" s="2" t="s">
        <v>1037</v>
      </c>
      <c r="D706" s="4">
        <v>-5900.48</v>
      </c>
      <c r="E706" s="2" t="s">
        <v>10</v>
      </c>
    </row>
    <row r="707" spans="1:5" x14ac:dyDescent="0.25">
      <c r="A707" s="2" t="s">
        <v>209</v>
      </c>
      <c r="B707" s="3">
        <v>45456</v>
      </c>
      <c r="C707" s="2" t="s">
        <v>1052</v>
      </c>
      <c r="D707" s="4">
        <v>-1834.13</v>
      </c>
      <c r="E707" s="2" t="s">
        <v>10</v>
      </c>
    </row>
    <row r="708" spans="1:5" x14ac:dyDescent="0.25">
      <c r="A708" s="2" t="s">
        <v>244</v>
      </c>
      <c r="B708" s="3">
        <v>45504</v>
      </c>
      <c r="C708" s="2" t="s">
        <v>1030</v>
      </c>
      <c r="D708" s="4">
        <v>-3365.6</v>
      </c>
      <c r="E708" s="2" t="s">
        <v>10</v>
      </c>
    </row>
    <row r="709" spans="1:5" x14ac:dyDescent="0.25">
      <c r="A709" s="2" t="s">
        <v>649</v>
      </c>
      <c r="B709" s="3">
        <v>45656</v>
      </c>
      <c r="C709" s="2" t="s">
        <v>1029</v>
      </c>
      <c r="D709" s="4">
        <v>-7989.08</v>
      </c>
      <c r="E709" s="2" t="s">
        <v>10</v>
      </c>
    </row>
    <row r="710" spans="1:5" x14ac:dyDescent="0.25">
      <c r="A710" s="2" t="s">
        <v>96</v>
      </c>
      <c r="B710" s="3">
        <v>45607</v>
      </c>
      <c r="C710" s="2" t="s">
        <v>1046</v>
      </c>
      <c r="D710" s="4">
        <v>-3419.49</v>
      </c>
      <c r="E710" s="2" t="s">
        <v>10</v>
      </c>
    </row>
    <row r="711" spans="1:5" x14ac:dyDescent="0.25">
      <c r="A711" s="2" t="s">
        <v>125</v>
      </c>
      <c r="B711" s="3">
        <v>45457</v>
      </c>
      <c r="C711" s="2" t="s">
        <v>1051</v>
      </c>
      <c r="D711" s="4">
        <v>-6079.43</v>
      </c>
      <c r="E711" s="2" t="s">
        <v>10</v>
      </c>
    </row>
    <row r="712" spans="1:5" x14ac:dyDescent="0.25">
      <c r="A712" s="2" t="s">
        <v>907</v>
      </c>
      <c r="B712" s="3">
        <v>45569</v>
      </c>
      <c r="C712" s="2" t="s">
        <v>1050</v>
      </c>
      <c r="D712" s="4">
        <v>-941.14</v>
      </c>
      <c r="E712" s="2" t="s">
        <v>10</v>
      </c>
    </row>
    <row r="713" spans="1:5" x14ac:dyDescent="0.25">
      <c r="A713" s="2" t="s">
        <v>442</v>
      </c>
      <c r="B713" s="3">
        <v>45330</v>
      </c>
      <c r="C713" s="2" t="s">
        <v>1026</v>
      </c>
      <c r="D713" s="4">
        <v>363.9</v>
      </c>
      <c r="E713" s="2" t="s">
        <v>10</v>
      </c>
    </row>
    <row r="714" spans="1:5" x14ac:dyDescent="0.25">
      <c r="A714" s="2" t="s">
        <v>136</v>
      </c>
      <c r="B714" s="3">
        <v>45457</v>
      </c>
      <c r="C714" s="2" t="s">
        <v>1052</v>
      </c>
      <c r="D714" s="4">
        <v>-4909.45</v>
      </c>
      <c r="E714" s="2" t="s">
        <v>10</v>
      </c>
    </row>
    <row r="715" spans="1:5" x14ac:dyDescent="0.25">
      <c r="A715" s="2" t="s">
        <v>708</v>
      </c>
      <c r="B715" s="3">
        <v>45435</v>
      </c>
      <c r="C715" s="2" t="s">
        <v>1051</v>
      </c>
      <c r="D715" s="4">
        <v>-11460.78</v>
      </c>
      <c r="E715" s="2" t="s">
        <v>10</v>
      </c>
    </row>
    <row r="716" spans="1:5" x14ac:dyDescent="0.25">
      <c r="A716" s="2" t="s">
        <v>1064</v>
      </c>
      <c r="B716" s="3">
        <v>45506</v>
      </c>
      <c r="C716" s="2" t="s">
        <v>1024</v>
      </c>
      <c r="D716" s="4">
        <v>92.59</v>
      </c>
      <c r="E716" s="2" t="s">
        <v>10</v>
      </c>
    </row>
    <row r="717" spans="1:5" x14ac:dyDescent="0.25">
      <c r="A717" s="2" t="s">
        <v>685</v>
      </c>
      <c r="B717" s="3">
        <v>45348</v>
      </c>
      <c r="C717" s="2" t="s">
        <v>1038</v>
      </c>
      <c r="D717" s="4">
        <v>-565.49</v>
      </c>
      <c r="E717" s="2" t="s">
        <v>10</v>
      </c>
    </row>
    <row r="718" spans="1:5" x14ac:dyDescent="0.25">
      <c r="A718" s="2" t="s">
        <v>426</v>
      </c>
      <c r="B718" s="3">
        <v>45561</v>
      </c>
      <c r="C718" s="2" t="s">
        <v>1037</v>
      </c>
      <c r="D718" s="4">
        <v>-12838.97</v>
      </c>
      <c r="E718" s="2" t="s">
        <v>10</v>
      </c>
    </row>
    <row r="719" spans="1:5" x14ac:dyDescent="0.25">
      <c r="A719" s="2" t="s">
        <v>959</v>
      </c>
      <c r="B719" s="3">
        <v>45645</v>
      </c>
      <c r="C719" s="2" t="s">
        <v>1028</v>
      </c>
      <c r="D719" s="4">
        <v>-266.81</v>
      </c>
      <c r="E719" s="2" t="s">
        <v>10</v>
      </c>
    </row>
    <row r="720" spans="1:5" x14ac:dyDescent="0.25">
      <c r="A720" s="2" t="s">
        <v>506</v>
      </c>
      <c r="B720" s="3">
        <v>45520</v>
      </c>
      <c r="C720" s="2" t="s">
        <v>1042</v>
      </c>
      <c r="D720" s="4">
        <v>-2399.67</v>
      </c>
      <c r="E720" s="2" t="s">
        <v>10</v>
      </c>
    </row>
    <row r="721" spans="1:5" x14ac:dyDescent="0.25">
      <c r="A721" s="2" t="s">
        <v>1011</v>
      </c>
      <c r="B721" s="3">
        <v>45362</v>
      </c>
      <c r="C721" s="2" t="s">
        <v>1027</v>
      </c>
      <c r="D721" s="4">
        <v>2260.33</v>
      </c>
      <c r="E721" s="2" t="s">
        <v>10</v>
      </c>
    </row>
    <row r="722" spans="1:5" x14ac:dyDescent="0.25">
      <c r="A722" s="2" t="s">
        <v>231</v>
      </c>
      <c r="B722" s="3">
        <v>45628</v>
      </c>
      <c r="C722" s="2" t="s">
        <v>1028</v>
      </c>
      <c r="D722" s="4">
        <v>-458.5</v>
      </c>
      <c r="E722" s="2" t="s">
        <v>10</v>
      </c>
    </row>
    <row r="723" spans="1:5" x14ac:dyDescent="0.25">
      <c r="A723" s="2" t="s">
        <v>921</v>
      </c>
      <c r="B723" s="3">
        <v>45299</v>
      </c>
      <c r="C723" s="2" t="s">
        <v>1038</v>
      </c>
      <c r="D723" s="4">
        <v>-1099.57</v>
      </c>
      <c r="E723" s="2" t="s">
        <v>10</v>
      </c>
    </row>
    <row r="724" spans="1:5" x14ac:dyDescent="0.25">
      <c r="A724" s="2" t="s">
        <v>948</v>
      </c>
      <c r="B724" s="3">
        <v>45481</v>
      </c>
      <c r="C724" s="2" t="s">
        <v>1053</v>
      </c>
      <c r="D724" s="4">
        <v>-704.77</v>
      </c>
      <c r="E724" s="2" t="s">
        <v>10</v>
      </c>
    </row>
    <row r="725" spans="1:5" x14ac:dyDescent="0.25">
      <c r="A725" s="2" t="s">
        <v>714</v>
      </c>
      <c r="B725" s="3">
        <v>45529</v>
      </c>
      <c r="C725" s="2" t="s">
        <v>1051</v>
      </c>
      <c r="D725" s="4">
        <v>-6964.8</v>
      </c>
      <c r="E725" s="2" t="s">
        <v>10</v>
      </c>
    </row>
    <row r="726" spans="1:5" x14ac:dyDescent="0.25">
      <c r="A726" s="2" t="s">
        <v>302</v>
      </c>
      <c r="B726" s="3">
        <v>45353</v>
      </c>
      <c r="C726" s="2" t="s">
        <v>1044</v>
      </c>
      <c r="D726" s="4">
        <v>-936.48</v>
      </c>
      <c r="E726" s="2" t="s">
        <v>10</v>
      </c>
    </row>
    <row r="727" spans="1:5" x14ac:dyDescent="0.25">
      <c r="A727" s="2" t="s">
        <v>95</v>
      </c>
      <c r="B727" s="3">
        <v>45446</v>
      </c>
      <c r="C727" s="2" t="s">
        <v>1045</v>
      </c>
      <c r="D727" s="4">
        <v>-564.47</v>
      </c>
      <c r="E727" s="2" t="s">
        <v>10</v>
      </c>
    </row>
    <row r="728" spans="1:5" x14ac:dyDescent="0.25">
      <c r="A728" s="2" t="s">
        <v>1065</v>
      </c>
      <c r="B728" s="3">
        <v>45364</v>
      </c>
      <c r="C728" s="2" t="s">
        <v>1048</v>
      </c>
      <c r="D728" s="4">
        <v>-109.88</v>
      </c>
      <c r="E728" s="2" t="s">
        <v>10</v>
      </c>
    </row>
    <row r="729" spans="1:5" x14ac:dyDescent="0.25">
      <c r="A729" s="2" t="s">
        <v>1015</v>
      </c>
      <c r="B729" s="3">
        <v>45362</v>
      </c>
      <c r="C729" s="2" t="s">
        <v>1049</v>
      </c>
      <c r="D729" s="4">
        <v>11585.03</v>
      </c>
      <c r="E729" s="2" t="s">
        <v>10</v>
      </c>
    </row>
    <row r="730" spans="1:5" x14ac:dyDescent="0.25">
      <c r="A730" s="2" t="s">
        <v>494</v>
      </c>
      <c r="B730" s="3">
        <v>45466</v>
      </c>
      <c r="C730" s="2" t="s">
        <v>1048</v>
      </c>
      <c r="D730" s="4">
        <v>-32.56</v>
      </c>
      <c r="E730" s="2" t="s">
        <v>10</v>
      </c>
    </row>
    <row r="731" spans="1:5" x14ac:dyDescent="0.25">
      <c r="A731" s="2" t="s">
        <v>207</v>
      </c>
      <c r="B731" s="3">
        <v>45406</v>
      </c>
      <c r="C731" s="2" t="s">
        <v>1045</v>
      </c>
      <c r="D731" s="4">
        <v>-521.53</v>
      </c>
      <c r="E731" s="2" t="s">
        <v>10</v>
      </c>
    </row>
    <row r="732" spans="1:5" x14ac:dyDescent="0.25">
      <c r="A732" s="2" t="s">
        <v>579</v>
      </c>
      <c r="B732" s="3">
        <v>45348</v>
      </c>
      <c r="C732" s="2" t="s">
        <v>1051</v>
      </c>
      <c r="D732" s="4">
        <v>-9390.65</v>
      </c>
      <c r="E732" s="2" t="s">
        <v>10</v>
      </c>
    </row>
    <row r="733" spans="1:5" x14ac:dyDescent="0.25">
      <c r="A733" s="2" t="s">
        <v>57</v>
      </c>
      <c r="B733" s="3">
        <v>45630</v>
      </c>
      <c r="C733" s="2" t="s">
        <v>1038</v>
      </c>
      <c r="D733" s="4">
        <v>-398.68</v>
      </c>
      <c r="E733" s="2" t="s">
        <v>10</v>
      </c>
    </row>
    <row r="734" spans="1:5" x14ac:dyDescent="0.25">
      <c r="A734" s="2" t="s">
        <v>1021</v>
      </c>
      <c r="B734" s="3">
        <v>45483</v>
      </c>
      <c r="C734" s="2" t="s">
        <v>1038</v>
      </c>
      <c r="D734" s="4">
        <v>-257.81</v>
      </c>
      <c r="E734" s="2" t="s">
        <v>10</v>
      </c>
    </row>
    <row r="735" spans="1:5" x14ac:dyDescent="0.25">
      <c r="A735" s="2" t="s">
        <v>682</v>
      </c>
      <c r="B735" s="3">
        <v>45325</v>
      </c>
      <c r="C735" s="2" t="s">
        <v>1025</v>
      </c>
      <c r="D735" s="4">
        <v>-1401.08</v>
      </c>
      <c r="E735" s="2" t="s">
        <v>10</v>
      </c>
    </row>
    <row r="736" spans="1:5" x14ac:dyDescent="0.25">
      <c r="A736" s="2" t="s">
        <v>701</v>
      </c>
      <c r="B736" s="3">
        <v>45438</v>
      </c>
      <c r="C736" s="2" t="s">
        <v>1031</v>
      </c>
      <c r="D736" s="4">
        <v>343.46</v>
      </c>
      <c r="E736" s="2" t="s">
        <v>10</v>
      </c>
    </row>
    <row r="737" spans="1:5" x14ac:dyDescent="0.25">
      <c r="A737" s="2" t="s">
        <v>106</v>
      </c>
      <c r="B737" s="3">
        <v>45432</v>
      </c>
      <c r="C737" s="2" t="s">
        <v>1027</v>
      </c>
      <c r="D737" s="4">
        <v>9032.76</v>
      </c>
      <c r="E737" s="2" t="s">
        <v>10</v>
      </c>
    </row>
    <row r="738" spans="1:5" x14ac:dyDescent="0.25">
      <c r="A738" s="2" t="s">
        <v>771</v>
      </c>
      <c r="B738" s="3">
        <v>45487</v>
      </c>
      <c r="C738" s="2" t="s">
        <v>1049</v>
      </c>
      <c r="D738" s="4">
        <v>21227.19</v>
      </c>
      <c r="E738" s="2" t="s">
        <v>10</v>
      </c>
    </row>
    <row r="739" spans="1:5" x14ac:dyDescent="0.25">
      <c r="A739" s="2" t="s">
        <v>594</v>
      </c>
      <c r="B739" s="3">
        <v>45409</v>
      </c>
      <c r="C739" s="2" t="s">
        <v>1051</v>
      </c>
      <c r="D739" s="4">
        <v>-10430.469999999999</v>
      </c>
      <c r="E739" s="2" t="s">
        <v>10</v>
      </c>
    </row>
    <row r="740" spans="1:5" x14ac:dyDescent="0.25">
      <c r="A740" s="2" t="s">
        <v>1008</v>
      </c>
      <c r="B740" s="3">
        <v>45486</v>
      </c>
      <c r="C740" s="2" t="s">
        <v>1036</v>
      </c>
      <c r="D740" s="4">
        <v>-6290.36</v>
      </c>
      <c r="E740" s="2" t="s">
        <v>10</v>
      </c>
    </row>
    <row r="741" spans="1:5" x14ac:dyDescent="0.25">
      <c r="A741" s="2" t="s">
        <v>388</v>
      </c>
      <c r="B741" s="3">
        <v>45522</v>
      </c>
      <c r="C741" s="2" t="s">
        <v>1025</v>
      </c>
      <c r="D741" s="4">
        <v>-6248.31</v>
      </c>
      <c r="E741" s="2" t="s">
        <v>10</v>
      </c>
    </row>
    <row r="742" spans="1:5" x14ac:dyDescent="0.25">
      <c r="A742" s="2" t="s">
        <v>873</v>
      </c>
      <c r="B742" s="3">
        <v>45476</v>
      </c>
      <c r="C742" s="2" t="s">
        <v>1024</v>
      </c>
      <c r="D742" s="4">
        <v>262.64</v>
      </c>
      <c r="E742" s="2" t="s">
        <v>10</v>
      </c>
    </row>
    <row r="743" spans="1:5" x14ac:dyDescent="0.25">
      <c r="A743" s="2" t="s">
        <v>16</v>
      </c>
      <c r="B743" s="3">
        <v>45305</v>
      </c>
      <c r="C743" s="2" t="s">
        <v>1037</v>
      </c>
      <c r="D743" s="4">
        <v>-7889.33</v>
      </c>
      <c r="E743" s="2" t="s">
        <v>10</v>
      </c>
    </row>
    <row r="744" spans="1:5" x14ac:dyDescent="0.25">
      <c r="A744" s="2" t="s">
        <v>1003</v>
      </c>
      <c r="B744" s="3">
        <v>45379</v>
      </c>
      <c r="C744" s="2" t="s">
        <v>1041</v>
      </c>
      <c r="D744" s="4">
        <v>-147.30000000000001</v>
      </c>
      <c r="E744" s="2" t="s">
        <v>10</v>
      </c>
    </row>
    <row r="745" spans="1:5" x14ac:dyDescent="0.25">
      <c r="A745" s="2" t="s">
        <v>764</v>
      </c>
      <c r="B745" s="3">
        <v>45392</v>
      </c>
      <c r="C745" s="2" t="s">
        <v>1048</v>
      </c>
      <c r="D745" s="4">
        <v>-19.54</v>
      </c>
      <c r="E745" s="2" t="s">
        <v>10</v>
      </c>
    </row>
    <row r="746" spans="1:5" x14ac:dyDescent="0.25">
      <c r="A746" s="2" t="s">
        <v>20</v>
      </c>
      <c r="B746" s="3">
        <v>45495</v>
      </c>
      <c r="C746" s="2" t="s">
        <v>1030</v>
      </c>
      <c r="D746" s="4">
        <v>-572.16999999999996</v>
      </c>
      <c r="E746" s="2" t="s">
        <v>10</v>
      </c>
    </row>
    <row r="747" spans="1:5" x14ac:dyDescent="0.25">
      <c r="A747" s="2" t="s">
        <v>550</v>
      </c>
      <c r="B747" s="3">
        <v>45579</v>
      </c>
      <c r="C747" s="2" t="s">
        <v>1037</v>
      </c>
      <c r="D747" s="4">
        <v>-7330.1</v>
      </c>
      <c r="E747" s="2" t="s">
        <v>10</v>
      </c>
    </row>
    <row r="748" spans="1:5" x14ac:dyDescent="0.25">
      <c r="A748" s="2" t="s">
        <v>848</v>
      </c>
      <c r="B748" s="3">
        <v>45350</v>
      </c>
      <c r="C748" s="2" t="s">
        <v>1027</v>
      </c>
      <c r="D748" s="4">
        <v>5117.62</v>
      </c>
      <c r="E748" s="2" t="s">
        <v>10</v>
      </c>
    </row>
    <row r="749" spans="1:5" x14ac:dyDescent="0.25">
      <c r="A749" s="2" t="s">
        <v>750</v>
      </c>
      <c r="B749" s="3">
        <v>45413</v>
      </c>
      <c r="C749" s="2" t="s">
        <v>1042</v>
      </c>
      <c r="D749" s="4">
        <v>-2880.32</v>
      </c>
      <c r="E749" s="2" t="s">
        <v>10</v>
      </c>
    </row>
    <row r="750" spans="1:5" x14ac:dyDescent="0.25">
      <c r="A750" s="2" t="s">
        <v>91</v>
      </c>
      <c r="B750" s="3">
        <v>45418</v>
      </c>
      <c r="C750" s="2" t="s">
        <v>1051</v>
      </c>
      <c r="D750" s="4">
        <v>-5333</v>
      </c>
      <c r="E750" s="2" t="s">
        <v>10</v>
      </c>
    </row>
    <row r="751" spans="1:5" x14ac:dyDescent="0.25">
      <c r="A751" s="2" t="s">
        <v>644</v>
      </c>
      <c r="B751" s="3">
        <v>45436</v>
      </c>
      <c r="C751" s="2" t="s">
        <v>1044</v>
      </c>
      <c r="D751" s="4">
        <v>-683.14</v>
      </c>
      <c r="E751" s="2" t="s">
        <v>10</v>
      </c>
    </row>
    <row r="752" spans="1:5" x14ac:dyDescent="0.25">
      <c r="A752" s="2" t="s">
        <v>920</v>
      </c>
      <c r="B752" s="3">
        <v>45301</v>
      </c>
      <c r="C752" s="2" t="s">
        <v>1048</v>
      </c>
      <c r="D752" s="4">
        <v>-134.85</v>
      </c>
      <c r="E752" s="2" t="s">
        <v>10</v>
      </c>
    </row>
    <row r="753" spans="1:5" x14ac:dyDescent="0.25">
      <c r="A753" s="2" t="s">
        <v>887</v>
      </c>
      <c r="B753" s="3">
        <v>45513</v>
      </c>
      <c r="C753" s="2" t="s">
        <v>1051</v>
      </c>
      <c r="D753" s="4">
        <v>-5886.3</v>
      </c>
      <c r="E753" s="2" t="s">
        <v>10</v>
      </c>
    </row>
    <row r="754" spans="1:5" x14ac:dyDescent="0.25">
      <c r="A754" s="2" t="s">
        <v>175</v>
      </c>
      <c r="B754" s="3">
        <v>45486</v>
      </c>
      <c r="C754" s="2" t="s">
        <v>1051</v>
      </c>
      <c r="D754" s="4">
        <v>-7069.63</v>
      </c>
      <c r="E754" s="2" t="s">
        <v>10</v>
      </c>
    </row>
    <row r="755" spans="1:5" x14ac:dyDescent="0.25">
      <c r="A755" s="2" t="s">
        <v>711</v>
      </c>
      <c r="B755" s="3">
        <v>45459</v>
      </c>
      <c r="C755" s="2" t="s">
        <v>1027</v>
      </c>
      <c r="D755" s="4">
        <v>13470.09</v>
      </c>
      <c r="E755" s="2" t="s">
        <v>10</v>
      </c>
    </row>
    <row r="756" spans="1:5" x14ac:dyDescent="0.25">
      <c r="A756" s="2" t="s">
        <v>254</v>
      </c>
      <c r="B756" s="3">
        <v>45560</v>
      </c>
      <c r="C756" s="2" t="s">
        <v>1027</v>
      </c>
      <c r="D756" s="4">
        <v>9126.9500000000007</v>
      </c>
      <c r="E756" s="2" t="s">
        <v>10</v>
      </c>
    </row>
    <row r="757" spans="1:5" x14ac:dyDescent="0.25">
      <c r="A757" s="2" t="s">
        <v>488</v>
      </c>
      <c r="B757" s="3">
        <v>45519</v>
      </c>
      <c r="C757" s="2" t="s">
        <v>1045</v>
      </c>
      <c r="D757" s="4">
        <v>-438.96</v>
      </c>
      <c r="E757" s="2" t="s">
        <v>10</v>
      </c>
    </row>
    <row r="758" spans="1:5" x14ac:dyDescent="0.25">
      <c r="A758" s="2" t="s">
        <v>868</v>
      </c>
      <c r="B758" s="3">
        <v>45382</v>
      </c>
      <c r="C758" s="2" t="s">
        <v>1052</v>
      </c>
      <c r="D758" s="4">
        <v>-1609.9</v>
      </c>
      <c r="E758" s="2" t="s">
        <v>10</v>
      </c>
    </row>
    <row r="759" spans="1:5" x14ac:dyDescent="0.25">
      <c r="A759" s="2" t="s">
        <v>556</v>
      </c>
      <c r="B759" s="3">
        <v>45446</v>
      </c>
      <c r="C759" s="2" t="s">
        <v>1049</v>
      </c>
      <c r="D759" s="4">
        <v>22470.51</v>
      </c>
      <c r="E759" s="2" t="s">
        <v>10</v>
      </c>
    </row>
    <row r="760" spans="1:5" x14ac:dyDescent="0.25">
      <c r="A760" s="2" t="s">
        <v>648</v>
      </c>
      <c r="B760" s="3">
        <v>45517</v>
      </c>
      <c r="C760" s="2" t="s">
        <v>1048</v>
      </c>
      <c r="D760" s="4">
        <v>-61.97</v>
      </c>
      <c r="E760" s="2" t="s">
        <v>10</v>
      </c>
    </row>
    <row r="761" spans="1:5" x14ac:dyDescent="0.25">
      <c r="A761" s="2" t="s">
        <v>340</v>
      </c>
      <c r="B761" s="3">
        <v>45519</v>
      </c>
      <c r="C761" s="2" t="s">
        <v>1026</v>
      </c>
      <c r="D761" s="4">
        <v>154.43</v>
      </c>
      <c r="E761" s="2" t="s">
        <v>10</v>
      </c>
    </row>
    <row r="762" spans="1:5" x14ac:dyDescent="0.25">
      <c r="A762" s="2" t="s">
        <v>41</v>
      </c>
      <c r="B762" s="3">
        <v>45505</v>
      </c>
      <c r="C762" s="2" t="s">
        <v>1036</v>
      </c>
      <c r="D762" s="4">
        <v>-4096.03</v>
      </c>
      <c r="E762" s="2" t="s">
        <v>10</v>
      </c>
    </row>
    <row r="763" spans="1:5" x14ac:dyDescent="0.25">
      <c r="A763" s="2" t="s">
        <v>179</v>
      </c>
      <c r="B763" s="3">
        <v>45628</v>
      </c>
      <c r="C763" s="2" t="s">
        <v>1030</v>
      </c>
      <c r="D763" s="4">
        <v>-2405.7199999999998</v>
      </c>
      <c r="E763" s="2" t="s">
        <v>10</v>
      </c>
    </row>
    <row r="764" spans="1:5" x14ac:dyDescent="0.25">
      <c r="A764" s="2" t="s">
        <v>820</v>
      </c>
      <c r="B764" s="3">
        <v>45613</v>
      </c>
      <c r="C764" s="2" t="s">
        <v>1024</v>
      </c>
      <c r="D764" s="4">
        <v>129.16999999999999</v>
      </c>
      <c r="E764" s="2" t="s">
        <v>10</v>
      </c>
    </row>
    <row r="765" spans="1:5" x14ac:dyDescent="0.25">
      <c r="A765" s="2" t="s">
        <v>899</v>
      </c>
      <c r="B765" s="3">
        <v>45450</v>
      </c>
      <c r="C765" s="2" t="s">
        <v>1049</v>
      </c>
      <c r="D765" s="4">
        <v>12852.38</v>
      </c>
      <c r="E765" s="2" t="s">
        <v>10</v>
      </c>
    </row>
    <row r="766" spans="1:5" x14ac:dyDescent="0.25">
      <c r="A766" s="2" t="s">
        <v>531</v>
      </c>
      <c r="B766" s="3">
        <v>45442</v>
      </c>
      <c r="C766" s="2" t="s">
        <v>1049</v>
      </c>
      <c r="D766" s="4">
        <v>23830.12</v>
      </c>
      <c r="E766" s="2" t="s">
        <v>10</v>
      </c>
    </row>
    <row r="767" spans="1:5" x14ac:dyDescent="0.25">
      <c r="A767" s="2" t="s">
        <v>439</v>
      </c>
      <c r="B767" s="3">
        <v>45523</v>
      </c>
      <c r="C767" s="2" t="s">
        <v>1031</v>
      </c>
      <c r="D767" s="4">
        <v>20.9</v>
      </c>
      <c r="E767" s="2" t="s">
        <v>10</v>
      </c>
    </row>
    <row r="768" spans="1:5" x14ac:dyDescent="0.25">
      <c r="A768" s="2" t="s">
        <v>477</v>
      </c>
      <c r="B768" s="3">
        <v>45351</v>
      </c>
      <c r="C768" s="2" t="s">
        <v>1033</v>
      </c>
      <c r="D768" s="4">
        <v>-4206.99</v>
      </c>
      <c r="E768" s="2" t="s">
        <v>10</v>
      </c>
    </row>
    <row r="769" spans="1:5" x14ac:dyDescent="0.25">
      <c r="A769" s="2" t="s">
        <v>499</v>
      </c>
      <c r="B769" s="3">
        <v>45651</v>
      </c>
      <c r="C769" s="2" t="s">
        <v>1043</v>
      </c>
      <c r="D769" s="4">
        <v>-5320.68</v>
      </c>
      <c r="E769" s="2" t="s">
        <v>10</v>
      </c>
    </row>
    <row r="770" spans="1:5" x14ac:dyDescent="0.25">
      <c r="A770" s="2" t="s">
        <v>1066</v>
      </c>
      <c r="B770" s="3">
        <v>45576</v>
      </c>
      <c r="C770" s="2" t="s">
        <v>1048</v>
      </c>
      <c r="D770" s="4">
        <v>-121.39</v>
      </c>
      <c r="E770" s="2" t="s">
        <v>10</v>
      </c>
    </row>
    <row r="771" spans="1:5" x14ac:dyDescent="0.25">
      <c r="A771" s="2" t="s">
        <v>889</v>
      </c>
      <c r="B771" s="3">
        <v>45465</v>
      </c>
      <c r="C771" s="2" t="s">
        <v>1044</v>
      </c>
      <c r="D771" s="4">
        <v>-3097.04</v>
      </c>
      <c r="E771" s="2" t="s">
        <v>10</v>
      </c>
    </row>
    <row r="772" spans="1:5" x14ac:dyDescent="0.25">
      <c r="A772" s="2" t="s">
        <v>371</v>
      </c>
      <c r="B772" s="3">
        <v>45415</v>
      </c>
      <c r="C772" s="2" t="s">
        <v>1032</v>
      </c>
      <c r="D772" s="4">
        <v>-1132.22</v>
      </c>
      <c r="E772" s="2" t="s">
        <v>10</v>
      </c>
    </row>
    <row r="773" spans="1:5" x14ac:dyDescent="0.25">
      <c r="A773" s="2" t="s">
        <v>310</v>
      </c>
      <c r="B773" s="3">
        <v>45411</v>
      </c>
      <c r="C773" s="2" t="s">
        <v>1051</v>
      </c>
      <c r="D773" s="4">
        <v>-7458.21</v>
      </c>
      <c r="E773" s="2" t="s">
        <v>10</v>
      </c>
    </row>
    <row r="774" spans="1:5" x14ac:dyDescent="0.25">
      <c r="A774" s="2" t="s">
        <v>758</v>
      </c>
      <c r="B774" s="3">
        <v>45480</v>
      </c>
      <c r="C774" s="2" t="s">
        <v>1041</v>
      </c>
      <c r="D774" s="4">
        <v>-107.34</v>
      </c>
      <c r="E774" s="2" t="s">
        <v>10</v>
      </c>
    </row>
    <row r="775" spans="1:5" x14ac:dyDescent="0.25">
      <c r="A775" s="2" t="s">
        <v>182</v>
      </c>
      <c r="B775" s="3">
        <v>45298</v>
      </c>
      <c r="C775" s="2" t="s">
        <v>1043</v>
      </c>
      <c r="D775" s="4">
        <v>-5150.3900000000003</v>
      </c>
      <c r="E775" s="2" t="s">
        <v>10</v>
      </c>
    </row>
    <row r="776" spans="1:5" x14ac:dyDescent="0.25">
      <c r="A776" s="2" t="s">
        <v>980</v>
      </c>
      <c r="B776" s="3">
        <v>45593</v>
      </c>
      <c r="C776" s="2" t="s">
        <v>1046</v>
      </c>
      <c r="D776" s="4">
        <v>-8900.7999999999993</v>
      </c>
      <c r="E776" s="2" t="s">
        <v>10</v>
      </c>
    </row>
    <row r="777" spans="1:5" x14ac:dyDescent="0.25">
      <c r="A777" s="2" t="s">
        <v>519</v>
      </c>
      <c r="B777" s="3">
        <v>45420</v>
      </c>
      <c r="C777" s="2" t="s">
        <v>1042</v>
      </c>
      <c r="D777" s="4">
        <v>-2888.64</v>
      </c>
      <c r="E777" s="2" t="s">
        <v>10</v>
      </c>
    </row>
    <row r="778" spans="1:5" x14ac:dyDescent="0.25">
      <c r="A778" s="2" t="s">
        <v>745</v>
      </c>
      <c r="B778" s="3">
        <v>45510</v>
      </c>
      <c r="C778" s="2" t="s">
        <v>1042</v>
      </c>
      <c r="D778" s="4">
        <v>-3270.12</v>
      </c>
      <c r="E778" s="2" t="s">
        <v>10</v>
      </c>
    </row>
    <row r="779" spans="1:5" x14ac:dyDescent="0.25">
      <c r="A779" s="2" t="s">
        <v>552</v>
      </c>
      <c r="B779" s="3">
        <v>45569</v>
      </c>
      <c r="C779" s="2" t="s">
        <v>1042</v>
      </c>
      <c r="D779" s="4">
        <v>-5878.65</v>
      </c>
      <c r="E779" s="2" t="s">
        <v>10</v>
      </c>
    </row>
    <row r="780" spans="1:5" x14ac:dyDescent="0.25">
      <c r="A780" s="2" t="s">
        <v>47</v>
      </c>
      <c r="B780" s="3">
        <v>45319</v>
      </c>
      <c r="C780" s="2" t="s">
        <v>1043</v>
      </c>
      <c r="D780" s="4">
        <v>-2134.9499999999998</v>
      </c>
      <c r="E780" s="2" t="s">
        <v>10</v>
      </c>
    </row>
    <row r="781" spans="1:5" x14ac:dyDescent="0.25">
      <c r="A781" s="2" t="s">
        <v>338</v>
      </c>
      <c r="B781" s="3">
        <v>45370</v>
      </c>
      <c r="C781" s="2" t="s">
        <v>1045</v>
      </c>
      <c r="D781" s="4">
        <v>-694.85</v>
      </c>
      <c r="E781" s="2" t="s">
        <v>10</v>
      </c>
    </row>
    <row r="782" spans="1:5" x14ac:dyDescent="0.25">
      <c r="A782" s="2" t="s">
        <v>540</v>
      </c>
      <c r="B782" s="3">
        <v>45421</v>
      </c>
      <c r="C782" s="2" t="s">
        <v>1047</v>
      </c>
      <c r="D782" s="4">
        <v>-98.99</v>
      </c>
      <c r="E782" s="2" t="s">
        <v>10</v>
      </c>
    </row>
    <row r="783" spans="1:5" x14ac:dyDescent="0.25">
      <c r="A783" s="2" t="s">
        <v>954</v>
      </c>
      <c r="B783" s="3">
        <v>45626</v>
      </c>
      <c r="C783" s="2" t="s">
        <v>1024</v>
      </c>
      <c r="D783" s="4">
        <v>40.78</v>
      </c>
      <c r="E783" s="2" t="s">
        <v>10</v>
      </c>
    </row>
    <row r="784" spans="1:5" x14ac:dyDescent="0.25">
      <c r="A784" s="2" t="s">
        <v>286</v>
      </c>
      <c r="B784" s="3">
        <v>45600</v>
      </c>
      <c r="C784" s="2" t="s">
        <v>1028</v>
      </c>
      <c r="D784" s="4">
        <v>-226.55</v>
      </c>
      <c r="E784" s="2" t="s">
        <v>10</v>
      </c>
    </row>
    <row r="785" spans="1:5" x14ac:dyDescent="0.25">
      <c r="A785" s="2" t="s">
        <v>860</v>
      </c>
      <c r="B785" s="3">
        <v>45414</v>
      </c>
      <c r="C785" s="2" t="s">
        <v>1054</v>
      </c>
      <c r="D785" s="4">
        <v>-1398.97</v>
      </c>
      <c r="E785" s="2" t="s">
        <v>10</v>
      </c>
    </row>
    <row r="786" spans="1:5" x14ac:dyDescent="0.25">
      <c r="A786" s="2" t="s">
        <v>673</v>
      </c>
      <c r="B786" s="3">
        <v>45386</v>
      </c>
      <c r="C786" s="2" t="s">
        <v>1045</v>
      </c>
      <c r="D786" s="4">
        <v>-384.63</v>
      </c>
      <c r="E786" s="2" t="s">
        <v>10</v>
      </c>
    </row>
    <row r="787" spans="1:5" x14ac:dyDescent="0.25">
      <c r="A787" s="2" t="s">
        <v>101</v>
      </c>
      <c r="B787" s="3">
        <v>45480</v>
      </c>
      <c r="C787" s="2" t="s">
        <v>1028</v>
      </c>
      <c r="D787" s="4">
        <v>-689.45</v>
      </c>
      <c r="E787" s="2" t="s">
        <v>10</v>
      </c>
    </row>
    <row r="788" spans="1:5" x14ac:dyDescent="0.25">
      <c r="A788" s="2" t="s">
        <v>43</v>
      </c>
      <c r="B788" s="3">
        <v>45562</v>
      </c>
      <c r="C788" s="2" t="s">
        <v>1054</v>
      </c>
      <c r="D788" s="4">
        <v>-4499.33</v>
      </c>
      <c r="E788" s="2" t="s">
        <v>10</v>
      </c>
    </row>
    <row r="789" spans="1:5" x14ac:dyDescent="0.25">
      <c r="A789" s="2" t="s">
        <v>945</v>
      </c>
      <c r="B789" s="3">
        <v>45509</v>
      </c>
      <c r="C789" s="2" t="s">
        <v>1038</v>
      </c>
      <c r="D789" s="4">
        <v>-1154.68</v>
      </c>
      <c r="E789" s="2" t="s">
        <v>10</v>
      </c>
    </row>
    <row r="790" spans="1:5" x14ac:dyDescent="0.25">
      <c r="A790" s="2" t="s">
        <v>471</v>
      </c>
      <c r="B790" s="3">
        <v>45357</v>
      </c>
      <c r="C790" s="2" t="s">
        <v>1031</v>
      </c>
      <c r="D790" s="4">
        <v>221.57</v>
      </c>
      <c r="E790" s="2" t="s">
        <v>10</v>
      </c>
    </row>
    <row r="791" spans="1:5" x14ac:dyDescent="0.25">
      <c r="A791" s="2" t="s">
        <v>879</v>
      </c>
      <c r="B791" s="3">
        <v>45640</v>
      </c>
      <c r="C791" s="2" t="s">
        <v>1041</v>
      </c>
      <c r="D791" s="4">
        <v>-114.41</v>
      </c>
      <c r="E791" s="2" t="s">
        <v>10</v>
      </c>
    </row>
    <row r="792" spans="1:5" x14ac:dyDescent="0.25">
      <c r="A792" s="2" t="s">
        <v>549</v>
      </c>
      <c r="B792" s="3">
        <v>45654</v>
      </c>
      <c r="C792" s="2" t="s">
        <v>1037</v>
      </c>
      <c r="D792" s="4">
        <v>-8499.51</v>
      </c>
      <c r="E792" s="2" t="s">
        <v>10</v>
      </c>
    </row>
    <row r="793" spans="1:5" x14ac:dyDescent="0.25">
      <c r="A793" s="2" t="s">
        <v>196</v>
      </c>
      <c r="B793" s="3">
        <v>45647</v>
      </c>
      <c r="C793" s="2" t="s">
        <v>1033</v>
      </c>
      <c r="D793" s="4">
        <v>-2819.47</v>
      </c>
      <c r="E793" s="2" t="s">
        <v>10</v>
      </c>
    </row>
    <row r="794" spans="1:5" x14ac:dyDescent="0.25">
      <c r="A794" s="2" t="s">
        <v>604</v>
      </c>
      <c r="B794" s="3">
        <v>45511</v>
      </c>
      <c r="C794" s="2" t="s">
        <v>1043</v>
      </c>
      <c r="D794" s="4">
        <v>-1938.05</v>
      </c>
      <c r="E794" s="2" t="s">
        <v>10</v>
      </c>
    </row>
    <row r="795" spans="1:5" x14ac:dyDescent="0.25">
      <c r="A795" s="2" t="s">
        <v>763</v>
      </c>
      <c r="B795" s="3">
        <v>45343</v>
      </c>
      <c r="C795" s="2" t="s">
        <v>1039</v>
      </c>
      <c r="D795" s="4">
        <v>-6394.91</v>
      </c>
      <c r="E795" s="2" t="s">
        <v>10</v>
      </c>
    </row>
    <row r="796" spans="1:5" x14ac:dyDescent="0.25">
      <c r="A796" s="2" t="s">
        <v>918</v>
      </c>
      <c r="B796" s="3">
        <v>45486</v>
      </c>
      <c r="C796" s="2" t="s">
        <v>1039</v>
      </c>
      <c r="D796" s="4">
        <v>-7565.19</v>
      </c>
      <c r="E796" s="2" t="s">
        <v>10</v>
      </c>
    </row>
    <row r="797" spans="1:5" x14ac:dyDescent="0.25">
      <c r="A797" s="2" t="s">
        <v>133</v>
      </c>
      <c r="B797" s="3">
        <v>45482</v>
      </c>
      <c r="C797" s="2" t="s">
        <v>1046</v>
      </c>
      <c r="D797" s="4">
        <v>-4663.8599999999997</v>
      </c>
      <c r="E797" s="2" t="s">
        <v>10</v>
      </c>
    </row>
    <row r="798" spans="1:5" x14ac:dyDescent="0.25">
      <c r="A798" s="2" t="s">
        <v>232</v>
      </c>
      <c r="B798" s="3">
        <v>45432</v>
      </c>
      <c r="C798" s="2" t="s">
        <v>1044</v>
      </c>
      <c r="D798" s="4">
        <v>-3029.91</v>
      </c>
      <c r="E798" s="2" t="s">
        <v>10</v>
      </c>
    </row>
    <row r="799" spans="1:5" x14ac:dyDescent="0.25">
      <c r="A799" s="2" t="s">
        <v>169</v>
      </c>
      <c r="B799" s="3">
        <v>45511</v>
      </c>
      <c r="C799" s="2" t="s">
        <v>1025</v>
      </c>
      <c r="D799" s="4">
        <v>-13299.38</v>
      </c>
      <c r="E799" s="2" t="s">
        <v>10</v>
      </c>
    </row>
    <row r="800" spans="1:5" x14ac:dyDescent="0.25">
      <c r="A800" s="2" t="s">
        <v>736</v>
      </c>
      <c r="B800" s="3">
        <v>45464</v>
      </c>
      <c r="C800" s="2" t="s">
        <v>1032</v>
      </c>
      <c r="D800" s="4">
        <v>-3019.6</v>
      </c>
      <c r="E800" s="2" t="s">
        <v>10</v>
      </c>
    </row>
    <row r="801" spans="1:5" x14ac:dyDescent="0.25">
      <c r="A801" s="2" t="s">
        <v>818</v>
      </c>
      <c r="B801" s="3">
        <v>45446</v>
      </c>
      <c r="C801" s="2" t="s">
        <v>1028</v>
      </c>
      <c r="D801" s="4">
        <v>-902.86</v>
      </c>
      <c r="E801" s="2" t="s">
        <v>10</v>
      </c>
    </row>
    <row r="802" spans="1:5" x14ac:dyDescent="0.25">
      <c r="A802" s="2" t="s">
        <v>228</v>
      </c>
      <c r="B802" s="3">
        <v>45355</v>
      </c>
      <c r="C802" s="2" t="s">
        <v>1033</v>
      </c>
      <c r="D802" s="4">
        <v>-9698.7999999999993</v>
      </c>
      <c r="E802" s="2" t="s">
        <v>10</v>
      </c>
    </row>
    <row r="803" spans="1:5" x14ac:dyDescent="0.25">
      <c r="A803" s="2" t="s">
        <v>629</v>
      </c>
      <c r="B803" s="3">
        <v>45359</v>
      </c>
      <c r="C803" s="2" t="s">
        <v>1043</v>
      </c>
      <c r="D803" s="4">
        <v>-1069.0999999999999</v>
      </c>
      <c r="E803" s="2" t="s">
        <v>10</v>
      </c>
    </row>
    <row r="804" spans="1:5" x14ac:dyDescent="0.25">
      <c r="A804" s="2" t="s">
        <v>837</v>
      </c>
      <c r="B804" s="3">
        <v>45473</v>
      </c>
      <c r="C804" s="2" t="s">
        <v>1032</v>
      </c>
      <c r="D804" s="4">
        <v>-2279.0500000000002</v>
      </c>
      <c r="E804" s="2" t="s">
        <v>10</v>
      </c>
    </row>
    <row r="805" spans="1:5" x14ac:dyDescent="0.25">
      <c r="A805" s="2" t="s">
        <v>490</v>
      </c>
      <c r="B805" s="3">
        <v>45606</v>
      </c>
      <c r="C805" s="2" t="s">
        <v>1053</v>
      </c>
      <c r="D805" s="4">
        <v>-308.57</v>
      </c>
      <c r="E805" s="2" t="s">
        <v>10</v>
      </c>
    </row>
    <row r="806" spans="1:5" x14ac:dyDescent="0.25">
      <c r="A806" s="2" t="s">
        <v>141</v>
      </c>
      <c r="B806" s="3">
        <v>45603</v>
      </c>
      <c r="C806" s="2" t="s">
        <v>1024</v>
      </c>
      <c r="D806" s="4">
        <v>388.97</v>
      </c>
      <c r="E806" s="2" t="s">
        <v>10</v>
      </c>
    </row>
    <row r="807" spans="1:5" x14ac:dyDescent="0.25">
      <c r="A807" s="2" t="s">
        <v>1067</v>
      </c>
      <c r="B807" s="3">
        <v>45396</v>
      </c>
      <c r="C807" s="2" t="s">
        <v>1024</v>
      </c>
      <c r="D807" s="4">
        <v>24.9</v>
      </c>
      <c r="E807" s="2" t="s">
        <v>10</v>
      </c>
    </row>
    <row r="808" spans="1:5" x14ac:dyDescent="0.25">
      <c r="A808" s="2" t="s">
        <v>675</v>
      </c>
      <c r="B808" s="3">
        <v>45573</v>
      </c>
      <c r="C808" s="2" t="s">
        <v>1054</v>
      </c>
      <c r="D808" s="4">
        <v>-3837.64</v>
      </c>
      <c r="E808" s="2" t="s">
        <v>10</v>
      </c>
    </row>
    <row r="809" spans="1:5" x14ac:dyDescent="0.25">
      <c r="A809" s="2" t="s">
        <v>989</v>
      </c>
      <c r="B809" s="3">
        <v>45392</v>
      </c>
      <c r="C809" s="2" t="s">
        <v>1054</v>
      </c>
      <c r="D809" s="4">
        <v>-1062.79</v>
      </c>
      <c r="E809" s="2" t="s">
        <v>10</v>
      </c>
    </row>
    <row r="810" spans="1:5" x14ac:dyDescent="0.25">
      <c r="A810" s="2" t="s">
        <v>511</v>
      </c>
      <c r="B810" s="3">
        <v>45467</v>
      </c>
      <c r="C810" s="2" t="s">
        <v>1047</v>
      </c>
      <c r="D810" s="4">
        <v>-5.08</v>
      </c>
      <c r="E810" s="2" t="s">
        <v>10</v>
      </c>
    </row>
    <row r="811" spans="1:5" x14ac:dyDescent="0.25">
      <c r="A811" s="2" t="s">
        <v>517</v>
      </c>
      <c r="B811" s="3">
        <v>45479</v>
      </c>
      <c r="C811" s="2" t="s">
        <v>1047</v>
      </c>
      <c r="D811" s="4">
        <v>-78.27</v>
      </c>
      <c r="E811" s="2" t="s">
        <v>10</v>
      </c>
    </row>
    <row r="812" spans="1:5" x14ac:dyDescent="0.25">
      <c r="A812" s="2" t="s">
        <v>359</v>
      </c>
      <c r="B812" s="3">
        <v>45485</v>
      </c>
      <c r="C812" s="2" t="s">
        <v>1053</v>
      </c>
      <c r="D812" s="4">
        <v>-805.39</v>
      </c>
      <c r="E812" s="2" t="s">
        <v>10</v>
      </c>
    </row>
    <row r="813" spans="1:5" x14ac:dyDescent="0.25">
      <c r="A813" s="2" t="s">
        <v>323</v>
      </c>
      <c r="B813" s="3">
        <v>45622</v>
      </c>
      <c r="C813" s="2" t="s">
        <v>1037</v>
      </c>
      <c r="D813" s="4">
        <v>-9539.77</v>
      </c>
      <c r="E813" s="2" t="s">
        <v>10</v>
      </c>
    </row>
    <row r="814" spans="1:5" x14ac:dyDescent="0.25">
      <c r="A814" s="2" t="s">
        <v>817</v>
      </c>
      <c r="B814" s="3">
        <v>45606</v>
      </c>
      <c r="C814" s="2" t="s">
        <v>1047</v>
      </c>
      <c r="D814" s="4">
        <v>-27.58</v>
      </c>
      <c r="E814" s="2" t="s">
        <v>10</v>
      </c>
    </row>
    <row r="815" spans="1:5" x14ac:dyDescent="0.25">
      <c r="A815" s="2" t="s">
        <v>298</v>
      </c>
      <c r="B815" s="3">
        <v>45482</v>
      </c>
      <c r="C815" s="2" t="s">
        <v>1052</v>
      </c>
      <c r="D815" s="4">
        <v>-5330.97</v>
      </c>
      <c r="E815" s="2" t="s">
        <v>10</v>
      </c>
    </row>
    <row r="816" spans="1:5" x14ac:dyDescent="0.25">
      <c r="A816" s="2" t="s">
        <v>282</v>
      </c>
      <c r="B816" s="3">
        <v>45532</v>
      </c>
      <c r="C816" s="2" t="s">
        <v>1030</v>
      </c>
      <c r="D816" s="4">
        <v>-2886.13</v>
      </c>
      <c r="E816" s="2" t="s">
        <v>10</v>
      </c>
    </row>
    <row r="817" spans="1:5" x14ac:dyDescent="0.25">
      <c r="A817" s="2" t="s">
        <v>362</v>
      </c>
      <c r="B817" s="3">
        <v>45298</v>
      </c>
      <c r="C817" s="2" t="s">
        <v>1052</v>
      </c>
      <c r="D817" s="4">
        <v>-2734.71</v>
      </c>
      <c r="E817" s="2" t="s">
        <v>10</v>
      </c>
    </row>
    <row r="818" spans="1:5" x14ac:dyDescent="0.25">
      <c r="A818" s="2" t="s">
        <v>634</v>
      </c>
      <c r="B818" s="3">
        <v>45389</v>
      </c>
      <c r="C818" s="2" t="s">
        <v>1024</v>
      </c>
      <c r="D818" s="4">
        <v>390.73</v>
      </c>
      <c r="E818" s="2" t="s">
        <v>10</v>
      </c>
    </row>
    <row r="819" spans="1:5" x14ac:dyDescent="0.25">
      <c r="A819" s="2" t="s">
        <v>815</v>
      </c>
      <c r="B819" s="3">
        <v>45627</v>
      </c>
      <c r="C819" s="2" t="s">
        <v>1024</v>
      </c>
      <c r="D819" s="4">
        <v>237.79</v>
      </c>
      <c r="E819" s="2" t="s">
        <v>10</v>
      </c>
    </row>
    <row r="820" spans="1:5" x14ac:dyDescent="0.25">
      <c r="A820" s="2" t="s">
        <v>931</v>
      </c>
      <c r="B820" s="3">
        <v>45575</v>
      </c>
      <c r="C820" s="2" t="s">
        <v>1054</v>
      </c>
      <c r="D820" s="4">
        <v>-3389.59</v>
      </c>
      <c r="E820" s="2" t="s">
        <v>10</v>
      </c>
    </row>
    <row r="821" spans="1:5" x14ac:dyDescent="0.25">
      <c r="A821" s="2" t="s">
        <v>756</v>
      </c>
      <c r="B821" s="3">
        <v>45464</v>
      </c>
      <c r="C821" s="2" t="s">
        <v>1030</v>
      </c>
      <c r="D821" s="4">
        <v>-2036.07</v>
      </c>
      <c r="E821" s="2" t="s">
        <v>10</v>
      </c>
    </row>
    <row r="822" spans="1:5" x14ac:dyDescent="0.25">
      <c r="A822" s="2" t="s">
        <v>1068</v>
      </c>
      <c r="B822" s="3">
        <v>45582</v>
      </c>
      <c r="C822" s="2" t="s">
        <v>1026</v>
      </c>
      <c r="D822" s="4">
        <v>61.49</v>
      </c>
      <c r="E822" s="2" t="s">
        <v>10</v>
      </c>
    </row>
    <row r="823" spans="1:5" x14ac:dyDescent="0.25">
      <c r="A823" s="2" t="s">
        <v>283</v>
      </c>
      <c r="B823" s="3">
        <v>45556</v>
      </c>
      <c r="C823" s="2" t="s">
        <v>1032</v>
      </c>
      <c r="D823" s="4">
        <v>-1106.93</v>
      </c>
      <c r="E823" s="2" t="s">
        <v>10</v>
      </c>
    </row>
    <row r="824" spans="1:5" x14ac:dyDescent="0.25">
      <c r="A824" s="2" t="s">
        <v>180</v>
      </c>
      <c r="B824" s="3">
        <v>45476</v>
      </c>
      <c r="C824" s="2" t="s">
        <v>1024</v>
      </c>
      <c r="D824" s="4">
        <v>50.55</v>
      </c>
      <c r="E824" s="2" t="s">
        <v>10</v>
      </c>
    </row>
    <row r="825" spans="1:5" x14ac:dyDescent="0.25">
      <c r="A825" s="2" t="s">
        <v>994</v>
      </c>
      <c r="B825" s="3">
        <v>45566</v>
      </c>
      <c r="C825" s="2" t="s">
        <v>1035</v>
      </c>
      <c r="D825" s="4">
        <v>-820.62</v>
      </c>
      <c r="E825" s="2" t="s">
        <v>10</v>
      </c>
    </row>
    <row r="826" spans="1:5" x14ac:dyDescent="0.25">
      <c r="A826" s="2" t="s">
        <v>156</v>
      </c>
      <c r="B826" s="3">
        <v>45561</v>
      </c>
      <c r="C826" s="2" t="s">
        <v>1039</v>
      </c>
      <c r="D826" s="4">
        <v>-5136.54</v>
      </c>
      <c r="E826" s="2" t="s">
        <v>10</v>
      </c>
    </row>
    <row r="827" spans="1:5" x14ac:dyDescent="0.25">
      <c r="A827" s="2" t="s">
        <v>1069</v>
      </c>
      <c r="B827" s="3">
        <v>45489</v>
      </c>
      <c r="C827" s="2" t="s">
        <v>1026</v>
      </c>
      <c r="D827" s="4">
        <v>46.77</v>
      </c>
      <c r="E827" s="2" t="s">
        <v>10</v>
      </c>
    </row>
    <row r="828" spans="1:5" x14ac:dyDescent="0.25">
      <c r="A828" s="2" t="s">
        <v>800</v>
      </c>
      <c r="B828" s="3">
        <v>45409</v>
      </c>
      <c r="C828" s="2" t="s">
        <v>1026</v>
      </c>
      <c r="D828" s="4">
        <v>133.99</v>
      </c>
      <c r="E828" s="2" t="s">
        <v>10</v>
      </c>
    </row>
    <row r="829" spans="1:5" x14ac:dyDescent="0.25">
      <c r="A829" s="2" t="s">
        <v>602</v>
      </c>
      <c r="B829" s="3">
        <v>45520</v>
      </c>
      <c r="C829" s="2" t="s">
        <v>1036</v>
      </c>
      <c r="D829" s="4">
        <v>-2316</v>
      </c>
      <c r="E829" s="2" t="s">
        <v>10</v>
      </c>
    </row>
    <row r="830" spans="1:5" x14ac:dyDescent="0.25">
      <c r="A830" s="2" t="s">
        <v>472</v>
      </c>
      <c r="B830" s="3">
        <v>45460</v>
      </c>
      <c r="C830" s="2" t="s">
        <v>1048</v>
      </c>
      <c r="D830" s="4">
        <v>-46.6</v>
      </c>
      <c r="E830" s="2" t="s">
        <v>10</v>
      </c>
    </row>
    <row r="831" spans="1:5" x14ac:dyDescent="0.25">
      <c r="A831" s="2" t="s">
        <v>376</v>
      </c>
      <c r="B831" s="3">
        <v>45524</v>
      </c>
      <c r="C831" s="2" t="s">
        <v>1027</v>
      </c>
      <c r="D831" s="4">
        <v>18714.77</v>
      </c>
      <c r="E831" s="2" t="s">
        <v>10</v>
      </c>
    </row>
    <row r="832" spans="1:5" x14ac:dyDescent="0.25">
      <c r="A832" s="2" t="s">
        <v>619</v>
      </c>
      <c r="B832" s="3">
        <v>45651</v>
      </c>
      <c r="C832" s="2" t="s">
        <v>1025</v>
      </c>
      <c r="D832" s="4">
        <v>-12559.86</v>
      </c>
      <c r="E832" s="2" t="s">
        <v>10</v>
      </c>
    </row>
    <row r="833" spans="1:5" x14ac:dyDescent="0.25">
      <c r="A833" s="2" t="s">
        <v>610</v>
      </c>
      <c r="B833" s="3">
        <v>45459</v>
      </c>
      <c r="C833" s="2" t="s">
        <v>1026</v>
      </c>
      <c r="D833" s="4">
        <v>263.22000000000003</v>
      </c>
      <c r="E833" s="2" t="s">
        <v>10</v>
      </c>
    </row>
    <row r="834" spans="1:5" x14ac:dyDescent="0.25">
      <c r="A834" s="2" t="s">
        <v>249</v>
      </c>
      <c r="B834" s="3">
        <v>45515</v>
      </c>
      <c r="C834" s="2" t="s">
        <v>1049</v>
      </c>
      <c r="D834" s="4">
        <v>18701.2</v>
      </c>
      <c r="E834" s="2" t="s">
        <v>10</v>
      </c>
    </row>
    <row r="835" spans="1:5" x14ac:dyDescent="0.25">
      <c r="A835" s="2" t="s">
        <v>365</v>
      </c>
      <c r="B835" s="3">
        <v>45329</v>
      </c>
      <c r="C835" s="2" t="s">
        <v>1027</v>
      </c>
      <c r="D835" s="4">
        <v>6585.96</v>
      </c>
      <c r="E835" s="2" t="s">
        <v>10</v>
      </c>
    </row>
    <row r="836" spans="1:5" x14ac:dyDescent="0.25">
      <c r="A836" s="2" t="s">
        <v>678</v>
      </c>
      <c r="B836" s="3">
        <v>45479</v>
      </c>
      <c r="C836" s="2" t="s">
        <v>1034</v>
      </c>
      <c r="D836" s="4">
        <v>23086.49</v>
      </c>
      <c r="E836" s="2" t="s">
        <v>10</v>
      </c>
    </row>
    <row r="837" spans="1:5" x14ac:dyDescent="0.25">
      <c r="A837" s="2" t="s">
        <v>1019</v>
      </c>
      <c r="B837" s="3">
        <v>45433</v>
      </c>
      <c r="C837" s="2" t="s">
        <v>1045</v>
      </c>
      <c r="D837" s="4">
        <v>-135.06</v>
      </c>
      <c r="E837" s="2" t="s">
        <v>10</v>
      </c>
    </row>
    <row r="838" spans="1:5" x14ac:dyDescent="0.25">
      <c r="A838" s="2" t="s">
        <v>29</v>
      </c>
      <c r="B838" s="3">
        <v>45616</v>
      </c>
      <c r="C838" s="2" t="s">
        <v>1024</v>
      </c>
      <c r="D838" s="4">
        <v>360.54</v>
      </c>
      <c r="E838" s="2" t="s">
        <v>10</v>
      </c>
    </row>
    <row r="839" spans="1:5" x14ac:dyDescent="0.25">
      <c r="A839" s="2" t="s">
        <v>814</v>
      </c>
      <c r="B839" s="3">
        <v>45393</v>
      </c>
      <c r="C839" s="2" t="s">
        <v>1052</v>
      </c>
      <c r="D839" s="4">
        <v>-5006.49</v>
      </c>
      <c r="E839" s="2" t="s">
        <v>10</v>
      </c>
    </row>
    <row r="840" spans="1:5" x14ac:dyDescent="0.25">
      <c r="A840" s="2" t="s">
        <v>305</v>
      </c>
      <c r="B840" s="3">
        <v>45426</v>
      </c>
      <c r="C840" s="2" t="s">
        <v>1050</v>
      </c>
      <c r="D840" s="4">
        <v>-723.64</v>
      </c>
      <c r="E840" s="2" t="s">
        <v>10</v>
      </c>
    </row>
    <row r="841" spans="1:5" x14ac:dyDescent="0.25">
      <c r="A841" s="2" t="s">
        <v>659</v>
      </c>
      <c r="B841" s="3">
        <v>45420</v>
      </c>
      <c r="C841" s="2" t="s">
        <v>1045</v>
      </c>
      <c r="D841" s="4">
        <v>-898.97</v>
      </c>
      <c r="E841" s="2" t="s">
        <v>10</v>
      </c>
    </row>
    <row r="842" spans="1:5" x14ac:dyDescent="0.25">
      <c r="A842" s="2" t="s">
        <v>128</v>
      </c>
      <c r="B842" s="3">
        <v>45309</v>
      </c>
      <c r="C842" s="2" t="s">
        <v>1041</v>
      </c>
      <c r="D842" s="4">
        <v>-114.09</v>
      </c>
      <c r="E842" s="2" t="s">
        <v>10</v>
      </c>
    </row>
    <row r="843" spans="1:5" x14ac:dyDescent="0.25">
      <c r="A843" s="2" t="s">
        <v>922</v>
      </c>
      <c r="B843" s="3">
        <v>45359</v>
      </c>
      <c r="C843" s="2" t="s">
        <v>1025</v>
      </c>
      <c r="D843" s="4">
        <v>-2959.95</v>
      </c>
      <c r="E843" s="2" t="s">
        <v>10</v>
      </c>
    </row>
    <row r="844" spans="1:5" x14ac:dyDescent="0.25">
      <c r="A844" s="2" t="s">
        <v>1070</v>
      </c>
      <c r="B844" s="3">
        <v>45519</v>
      </c>
      <c r="C844" s="2" t="s">
        <v>1048</v>
      </c>
      <c r="D844" s="4">
        <v>-54.1</v>
      </c>
      <c r="E844" s="2" t="s">
        <v>10</v>
      </c>
    </row>
    <row r="845" spans="1:5" x14ac:dyDescent="0.25">
      <c r="A845" s="2" t="s">
        <v>964</v>
      </c>
      <c r="B845" s="3">
        <v>45569</v>
      </c>
      <c r="C845" s="2" t="s">
        <v>1029</v>
      </c>
      <c r="D845" s="4">
        <v>-1790.33</v>
      </c>
      <c r="E845" s="2" t="s">
        <v>10</v>
      </c>
    </row>
    <row r="846" spans="1:5" x14ac:dyDescent="0.25">
      <c r="A846" s="2" t="s">
        <v>956</v>
      </c>
      <c r="B846" s="3">
        <v>45326</v>
      </c>
      <c r="C846" s="2" t="s">
        <v>1045</v>
      </c>
      <c r="D846" s="4">
        <v>-567.98</v>
      </c>
      <c r="E846" s="2" t="s">
        <v>10</v>
      </c>
    </row>
    <row r="847" spans="1:5" x14ac:dyDescent="0.25">
      <c r="A847" s="2" t="s">
        <v>906</v>
      </c>
      <c r="B847" s="3">
        <v>45497</v>
      </c>
      <c r="C847" s="2" t="s">
        <v>1039</v>
      </c>
      <c r="D847" s="4">
        <v>-7129.82</v>
      </c>
      <c r="E847" s="2" t="s">
        <v>10</v>
      </c>
    </row>
    <row r="848" spans="1:5" x14ac:dyDescent="0.25">
      <c r="A848" s="2" t="s">
        <v>769</v>
      </c>
      <c r="B848" s="3">
        <v>45388</v>
      </c>
      <c r="C848" s="2" t="s">
        <v>1024</v>
      </c>
      <c r="D848" s="4">
        <v>222.38</v>
      </c>
      <c r="E848" s="2" t="s">
        <v>10</v>
      </c>
    </row>
    <row r="849" spans="1:5" x14ac:dyDescent="0.25">
      <c r="A849" s="2" t="s">
        <v>923</v>
      </c>
      <c r="B849" s="3">
        <v>45617</v>
      </c>
      <c r="C849" s="2" t="s">
        <v>1030</v>
      </c>
      <c r="D849" s="4">
        <v>-2851.98</v>
      </c>
      <c r="E849" s="2" t="s">
        <v>10</v>
      </c>
    </row>
    <row r="850" spans="1:5" x14ac:dyDescent="0.25">
      <c r="A850" s="2" t="s">
        <v>144</v>
      </c>
      <c r="B850" s="3">
        <v>45583</v>
      </c>
      <c r="C850" s="2" t="s">
        <v>1030</v>
      </c>
      <c r="D850" s="4">
        <v>-386.88</v>
      </c>
      <c r="E850" s="2" t="s">
        <v>10</v>
      </c>
    </row>
    <row r="851" spans="1:5" x14ac:dyDescent="0.25">
      <c r="A851" s="2" t="s">
        <v>153</v>
      </c>
      <c r="B851" s="3">
        <v>45481</v>
      </c>
      <c r="C851" s="2" t="s">
        <v>1043</v>
      </c>
      <c r="D851" s="4">
        <v>-1454.2</v>
      </c>
      <c r="E851" s="2" t="s">
        <v>10</v>
      </c>
    </row>
    <row r="852" spans="1:5" x14ac:dyDescent="0.25">
      <c r="A852" s="2" t="s">
        <v>877</v>
      </c>
      <c r="B852" s="3">
        <v>45483</v>
      </c>
      <c r="C852" s="2" t="s">
        <v>1031</v>
      </c>
      <c r="D852" s="4">
        <v>10.44</v>
      </c>
      <c r="E852" s="2" t="s">
        <v>10</v>
      </c>
    </row>
    <row r="853" spans="1:5" x14ac:dyDescent="0.25">
      <c r="A853" s="2" t="s">
        <v>732</v>
      </c>
      <c r="B853" s="3">
        <v>45534</v>
      </c>
      <c r="C853" s="2" t="s">
        <v>1046</v>
      </c>
      <c r="D853" s="4">
        <v>-3981.78</v>
      </c>
      <c r="E853" s="2" t="s">
        <v>10</v>
      </c>
    </row>
    <row r="854" spans="1:5" x14ac:dyDescent="0.25">
      <c r="A854" s="2" t="s">
        <v>810</v>
      </c>
      <c r="B854" s="3">
        <v>45618</v>
      </c>
      <c r="C854" s="2" t="s">
        <v>1035</v>
      </c>
      <c r="D854" s="4">
        <v>-510.16</v>
      </c>
      <c r="E854" s="2" t="s">
        <v>10</v>
      </c>
    </row>
    <row r="855" spans="1:5" x14ac:dyDescent="0.25">
      <c r="A855" s="2" t="s">
        <v>489</v>
      </c>
      <c r="B855" s="3">
        <v>45570</v>
      </c>
      <c r="C855" s="2" t="s">
        <v>1037</v>
      </c>
      <c r="D855" s="4">
        <v>-7823.97</v>
      </c>
      <c r="E855" s="2" t="s">
        <v>10</v>
      </c>
    </row>
    <row r="856" spans="1:5" x14ac:dyDescent="0.25">
      <c r="A856" s="2" t="s">
        <v>798</v>
      </c>
      <c r="B856" s="3">
        <v>45624</v>
      </c>
      <c r="C856" s="2" t="s">
        <v>1034</v>
      </c>
      <c r="D856" s="4">
        <v>21285.33</v>
      </c>
      <c r="E856" s="2" t="s">
        <v>10</v>
      </c>
    </row>
    <row r="857" spans="1:5" x14ac:dyDescent="0.25">
      <c r="A857" s="2" t="s">
        <v>958</v>
      </c>
      <c r="B857" s="3">
        <v>45452</v>
      </c>
      <c r="C857" s="2" t="s">
        <v>1028</v>
      </c>
      <c r="D857" s="4">
        <v>-253.82</v>
      </c>
      <c r="E857" s="2" t="s">
        <v>10</v>
      </c>
    </row>
    <row r="858" spans="1:5" x14ac:dyDescent="0.25">
      <c r="A858" s="2" t="s">
        <v>467</v>
      </c>
      <c r="B858" s="3">
        <v>45345</v>
      </c>
      <c r="C858" s="2" t="s">
        <v>1029</v>
      </c>
      <c r="D858" s="4">
        <v>-3399.35</v>
      </c>
      <c r="E858" s="2" t="s">
        <v>10</v>
      </c>
    </row>
    <row r="859" spans="1:5" x14ac:dyDescent="0.25">
      <c r="A859" s="2" t="s">
        <v>307</v>
      </c>
      <c r="B859" s="3">
        <v>45408</v>
      </c>
      <c r="C859" s="2" t="s">
        <v>1054</v>
      </c>
      <c r="D859" s="4">
        <v>-1608.07</v>
      </c>
      <c r="E859" s="2" t="s">
        <v>10</v>
      </c>
    </row>
    <row r="860" spans="1:5" x14ac:dyDescent="0.25">
      <c r="A860" s="2" t="s">
        <v>575</v>
      </c>
      <c r="B860" s="3">
        <v>45437</v>
      </c>
      <c r="C860" s="2" t="s">
        <v>1054</v>
      </c>
      <c r="D860" s="4">
        <v>-1683.89</v>
      </c>
      <c r="E860" s="2" t="s">
        <v>10</v>
      </c>
    </row>
    <row r="861" spans="1:5" x14ac:dyDescent="0.25">
      <c r="A861" s="2" t="s">
        <v>421</v>
      </c>
      <c r="B861" s="3">
        <v>45378</v>
      </c>
      <c r="C861" s="2" t="s">
        <v>1026</v>
      </c>
      <c r="D861" s="4">
        <v>383.61</v>
      </c>
      <c r="E861" s="2" t="s">
        <v>10</v>
      </c>
    </row>
    <row r="862" spans="1:5" x14ac:dyDescent="0.25">
      <c r="A862" s="2" t="s">
        <v>356</v>
      </c>
      <c r="B862" s="3">
        <v>45451</v>
      </c>
      <c r="C862" s="2" t="s">
        <v>1036</v>
      </c>
      <c r="D862" s="4">
        <v>-3916.42</v>
      </c>
      <c r="E862" s="2" t="s">
        <v>10</v>
      </c>
    </row>
    <row r="863" spans="1:5" x14ac:dyDescent="0.25">
      <c r="A863" s="2" t="s">
        <v>37</v>
      </c>
      <c r="B863" s="3">
        <v>45499</v>
      </c>
      <c r="C863" s="2" t="s">
        <v>1029</v>
      </c>
      <c r="D863" s="4">
        <v>-7517.31</v>
      </c>
      <c r="E863" s="2" t="s">
        <v>10</v>
      </c>
    </row>
    <row r="864" spans="1:5" x14ac:dyDescent="0.25">
      <c r="A864" s="2" t="s">
        <v>326</v>
      </c>
      <c r="B864" s="3">
        <v>45656</v>
      </c>
      <c r="C864" s="2" t="s">
        <v>1053</v>
      </c>
      <c r="D864" s="4">
        <v>-782.21</v>
      </c>
      <c r="E864" s="2" t="s">
        <v>10</v>
      </c>
    </row>
    <row r="865" spans="1:5" x14ac:dyDescent="0.25">
      <c r="A865" s="2" t="s">
        <v>68</v>
      </c>
      <c r="B865" s="3">
        <v>45616</v>
      </c>
      <c r="C865" s="2" t="s">
        <v>1052</v>
      </c>
      <c r="D865" s="4">
        <v>-4106.8999999999996</v>
      </c>
      <c r="E865" s="2" t="s">
        <v>10</v>
      </c>
    </row>
    <row r="866" spans="1:5" x14ac:dyDescent="0.25">
      <c r="A866" s="2" t="s">
        <v>955</v>
      </c>
      <c r="B866" s="3">
        <v>45415</v>
      </c>
      <c r="C866" s="2" t="s">
        <v>1049</v>
      </c>
      <c r="D866" s="4">
        <v>24206.03</v>
      </c>
      <c r="E866" s="2" t="s">
        <v>10</v>
      </c>
    </row>
    <row r="867" spans="1:5" x14ac:dyDescent="0.25">
      <c r="A867" s="2" t="s">
        <v>1071</v>
      </c>
      <c r="B867" s="3">
        <v>45515</v>
      </c>
      <c r="C867" s="2" t="s">
        <v>1041</v>
      </c>
      <c r="D867" s="4">
        <v>-60.58</v>
      </c>
      <c r="E867" s="2" t="s">
        <v>10</v>
      </c>
    </row>
    <row r="868" spans="1:5" x14ac:dyDescent="0.25">
      <c r="A868" s="2" t="s">
        <v>437</v>
      </c>
      <c r="B868" s="3">
        <v>45309</v>
      </c>
      <c r="C868" s="2" t="s">
        <v>1041</v>
      </c>
      <c r="D868" s="4">
        <v>-142.72999999999999</v>
      </c>
      <c r="E868" s="2" t="s">
        <v>10</v>
      </c>
    </row>
    <row r="869" spans="1:5" x14ac:dyDescent="0.25">
      <c r="A869" s="2" t="s">
        <v>731</v>
      </c>
      <c r="B869" s="3">
        <v>45483</v>
      </c>
      <c r="C869" s="2" t="s">
        <v>1027</v>
      </c>
      <c r="D869" s="4">
        <v>619</v>
      </c>
      <c r="E869" s="2" t="s">
        <v>10</v>
      </c>
    </row>
    <row r="870" spans="1:5" x14ac:dyDescent="0.25">
      <c r="A870" s="2" t="s">
        <v>845</v>
      </c>
      <c r="B870" s="3">
        <v>45605</v>
      </c>
      <c r="C870" s="2" t="s">
        <v>1048</v>
      </c>
      <c r="D870" s="4">
        <v>-97.66</v>
      </c>
      <c r="E870" s="2" t="s">
        <v>10</v>
      </c>
    </row>
    <row r="871" spans="1:5" x14ac:dyDescent="0.25">
      <c r="A871" s="2" t="s">
        <v>847</v>
      </c>
      <c r="B871" s="3">
        <v>45332</v>
      </c>
      <c r="C871" s="2" t="s">
        <v>1046</v>
      </c>
      <c r="D871" s="4">
        <v>-10705.12</v>
      </c>
      <c r="E871" s="2" t="s">
        <v>10</v>
      </c>
    </row>
    <row r="872" spans="1:5" x14ac:dyDescent="0.25">
      <c r="A872" s="2" t="s">
        <v>205</v>
      </c>
      <c r="B872" s="3">
        <v>45353</v>
      </c>
      <c r="C872" s="2" t="s">
        <v>1030</v>
      </c>
      <c r="D872" s="4">
        <v>-255.85</v>
      </c>
      <c r="E872" s="2" t="s">
        <v>10</v>
      </c>
    </row>
    <row r="873" spans="1:5" x14ac:dyDescent="0.25">
      <c r="A873" s="2" t="s">
        <v>149</v>
      </c>
      <c r="B873" s="3">
        <v>45423</v>
      </c>
      <c r="C873" s="2" t="s">
        <v>1027</v>
      </c>
      <c r="D873" s="4">
        <v>15504.76</v>
      </c>
      <c r="E873" s="2" t="s">
        <v>10</v>
      </c>
    </row>
    <row r="874" spans="1:5" x14ac:dyDescent="0.25">
      <c r="A874" s="2" t="s">
        <v>339</v>
      </c>
      <c r="B874" s="3">
        <v>45586</v>
      </c>
      <c r="C874" s="2" t="s">
        <v>1029</v>
      </c>
      <c r="D874" s="4">
        <v>-5295.81</v>
      </c>
      <c r="E874" s="2" t="s">
        <v>10</v>
      </c>
    </row>
    <row r="875" spans="1:5" x14ac:dyDescent="0.25">
      <c r="A875" s="2" t="s">
        <v>214</v>
      </c>
      <c r="B875" s="3">
        <v>45358</v>
      </c>
      <c r="C875" s="2" t="s">
        <v>1053</v>
      </c>
      <c r="D875" s="4">
        <v>-410.67</v>
      </c>
      <c r="E875" s="2" t="s">
        <v>10</v>
      </c>
    </row>
    <row r="876" spans="1:5" x14ac:dyDescent="0.25">
      <c r="A876" s="2" t="s">
        <v>138</v>
      </c>
      <c r="B876" s="3">
        <v>45501</v>
      </c>
      <c r="C876" s="2" t="s">
        <v>1036</v>
      </c>
      <c r="D876" s="4">
        <v>-7760.25</v>
      </c>
      <c r="E876" s="2" t="s">
        <v>10</v>
      </c>
    </row>
    <row r="877" spans="1:5" x14ac:dyDescent="0.25">
      <c r="A877" s="2" t="s">
        <v>744</v>
      </c>
      <c r="B877" s="3">
        <v>45573</v>
      </c>
      <c r="C877" s="2" t="s">
        <v>1031</v>
      </c>
      <c r="D877" s="4">
        <v>208.72</v>
      </c>
      <c r="E877" s="2" t="s">
        <v>10</v>
      </c>
    </row>
    <row r="878" spans="1:5" x14ac:dyDescent="0.25">
      <c r="A878" s="2" t="s">
        <v>160</v>
      </c>
      <c r="B878" s="3">
        <v>45658</v>
      </c>
      <c r="C878" s="2" t="s">
        <v>1025</v>
      </c>
      <c r="D878" s="4">
        <v>-2381.9</v>
      </c>
      <c r="E878" s="2" t="s">
        <v>10</v>
      </c>
    </row>
    <row r="879" spans="1:5" x14ac:dyDescent="0.25">
      <c r="A879" s="2" t="s">
        <v>1072</v>
      </c>
      <c r="B879" s="3">
        <v>45301</v>
      </c>
      <c r="C879" s="2" t="s">
        <v>1047</v>
      </c>
      <c r="D879" s="4">
        <v>-123.28</v>
      </c>
      <c r="E879" s="2" t="s">
        <v>10</v>
      </c>
    </row>
    <row r="880" spans="1:5" x14ac:dyDescent="0.25">
      <c r="A880" s="2" t="s">
        <v>198</v>
      </c>
      <c r="B880" s="3">
        <v>45605</v>
      </c>
      <c r="C880" s="2" t="s">
        <v>1044</v>
      </c>
      <c r="D880" s="4">
        <v>-2292.9899999999998</v>
      </c>
      <c r="E880" s="2" t="s">
        <v>10</v>
      </c>
    </row>
    <row r="881" spans="1:5" x14ac:dyDescent="0.25">
      <c r="A881" s="2" t="s">
        <v>248</v>
      </c>
      <c r="B881" s="3">
        <v>45307</v>
      </c>
      <c r="C881" s="2" t="s">
        <v>1035</v>
      </c>
      <c r="D881" s="4">
        <v>-184.77</v>
      </c>
      <c r="E881" s="2" t="s">
        <v>10</v>
      </c>
    </row>
    <row r="882" spans="1:5" x14ac:dyDescent="0.25">
      <c r="A882" s="2" t="s">
        <v>62</v>
      </c>
      <c r="B882" s="3">
        <v>45359</v>
      </c>
      <c r="C882" s="2" t="s">
        <v>1051</v>
      </c>
      <c r="D882" s="4">
        <v>-1749.44</v>
      </c>
      <c r="E882" s="2" t="s">
        <v>10</v>
      </c>
    </row>
    <row r="883" spans="1:5" x14ac:dyDescent="0.25">
      <c r="A883" s="2" t="s">
        <v>987</v>
      </c>
      <c r="B883" s="3">
        <v>45623</v>
      </c>
      <c r="C883" s="2" t="s">
        <v>1034</v>
      </c>
      <c r="D883" s="4">
        <v>6483.02</v>
      </c>
      <c r="E883" s="2" t="s">
        <v>123</v>
      </c>
    </row>
    <row r="884" spans="1:5" x14ac:dyDescent="0.25">
      <c r="A884" s="2" t="s">
        <v>383</v>
      </c>
      <c r="B884" s="3">
        <v>45467</v>
      </c>
      <c r="C884" s="2" t="s">
        <v>1027</v>
      </c>
      <c r="D884" s="4">
        <v>4329.1400000000003</v>
      </c>
      <c r="E884" s="2" t="s">
        <v>10</v>
      </c>
    </row>
    <row r="885" spans="1:5" x14ac:dyDescent="0.25">
      <c r="A885" s="2" t="s">
        <v>98</v>
      </c>
      <c r="B885" s="3">
        <v>45381</v>
      </c>
      <c r="C885" s="2" t="s">
        <v>1025</v>
      </c>
      <c r="D885" s="4">
        <v>-10807.93</v>
      </c>
      <c r="E885" s="2" t="s">
        <v>10</v>
      </c>
    </row>
    <row r="886" spans="1:5" x14ac:dyDescent="0.25">
      <c r="A886" s="2" t="s">
        <v>409</v>
      </c>
      <c r="B886" s="3">
        <v>45550</v>
      </c>
      <c r="C886" s="2" t="s">
        <v>1041</v>
      </c>
      <c r="D886" s="4">
        <v>-37.54</v>
      </c>
      <c r="E886" s="2" t="s">
        <v>10</v>
      </c>
    </row>
    <row r="887" spans="1:5" x14ac:dyDescent="0.25">
      <c r="A887" s="2" t="s">
        <v>977</v>
      </c>
      <c r="B887" s="3">
        <v>45315</v>
      </c>
      <c r="C887" s="2" t="s">
        <v>1029</v>
      </c>
      <c r="D887" s="4">
        <v>-3223.33</v>
      </c>
      <c r="E887" s="2" t="s">
        <v>10</v>
      </c>
    </row>
    <row r="888" spans="1:5" x14ac:dyDescent="0.25">
      <c r="A888" s="2" t="s">
        <v>86</v>
      </c>
      <c r="B888" s="3">
        <v>45507</v>
      </c>
      <c r="C888" s="2" t="s">
        <v>1041</v>
      </c>
      <c r="D888" s="4">
        <v>-23.71</v>
      </c>
      <c r="E888" s="2" t="s">
        <v>10</v>
      </c>
    </row>
    <row r="889" spans="1:5" x14ac:dyDescent="0.25">
      <c r="A889" s="2" t="s">
        <v>174</v>
      </c>
      <c r="B889" s="3">
        <v>45503</v>
      </c>
      <c r="C889" s="2" t="s">
        <v>1028</v>
      </c>
      <c r="D889" s="4">
        <v>-538.87</v>
      </c>
      <c r="E889" s="2" t="s">
        <v>10</v>
      </c>
    </row>
    <row r="890" spans="1:5" x14ac:dyDescent="0.25">
      <c r="A890" s="2" t="s">
        <v>718</v>
      </c>
      <c r="B890" s="3">
        <v>45529</v>
      </c>
      <c r="C890" s="2" t="s">
        <v>1050</v>
      </c>
      <c r="D890" s="4">
        <v>-551.76</v>
      </c>
      <c r="E890" s="2" t="s">
        <v>10</v>
      </c>
    </row>
    <row r="891" spans="1:5" x14ac:dyDescent="0.25">
      <c r="A891" s="2" t="s">
        <v>542</v>
      </c>
      <c r="B891" s="3">
        <v>45529</v>
      </c>
      <c r="C891" s="2" t="s">
        <v>1042</v>
      </c>
      <c r="D891" s="4">
        <v>-4684.9799999999996</v>
      </c>
      <c r="E891" s="2" t="s">
        <v>10</v>
      </c>
    </row>
    <row r="892" spans="1:5" x14ac:dyDescent="0.25">
      <c r="A892" s="2" t="s">
        <v>957</v>
      </c>
      <c r="B892" s="3">
        <v>45549</v>
      </c>
      <c r="C892" s="2" t="s">
        <v>1041</v>
      </c>
      <c r="D892" s="4">
        <v>-31.23</v>
      </c>
      <c r="E892" s="2" t="s">
        <v>10</v>
      </c>
    </row>
    <row r="893" spans="1:5" x14ac:dyDescent="0.25">
      <c r="A893" s="2" t="s">
        <v>601</v>
      </c>
      <c r="B893" s="3">
        <v>45561</v>
      </c>
      <c r="C893" s="2" t="s">
        <v>1026</v>
      </c>
      <c r="D893" s="4">
        <v>384.45</v>
      </c>
      <c r="E893" s="2" t="s">
        <v>10</v>
      </c>
    </row>
    <row r="894" spans="1:5" x14ac:dyDescent="0.25">
      <c r="A894" s="2" t="s">
        <v>273</v>
      </c>
      <c r="B894" s="3">
        <v>45335</v>
      </c>
      <c r="C894" s="2" t="s">
        <v>1044</v>
      </c>
      <c r="D894" s="4">
        <v>-3167.89</v>
      </c>
      <c r="E894" s="2" t="s">
        <v>10</v>
      </c>
    </row>
    <row r="895" spans="1:5" x14ac:dyDescent="0.25">
      <c r="A895" s="2" t="s">
        <v>104</v>
      </c>
      <c r="B895" s="3">
        <v>45634</v>
      </c>
      <c r="C895" s="2" t="s">
        <v>1049</v>
      </c>
      <c r="D895" s="4">
        <v>1337.4</v>
      </c>
      <c r="E895" s="2" t="s">
        <v>10</v>
      </c>
    </row>
    <row r="896" spans="1:5" x14ac:dyDescent="0.25">
      <c r="A896" s="2" t="s">
        <v>515</v>
      </c>
      <c r="B896" s="3">
        <v>45382</v>
      </c>
      <c r="C896" s="2" t="s">
        <v>1032</v>
      </c>
      <c r="D896" s="4">
        <v>-605.08000000000004</v>
      </c>
      <c r="E896" s="2" t="s">
        <v>10</v>
      </c>
    </row>
    <row r="897" spans="1:5" x14ac:dyDescent="0.25">
      <c r="A897" s="2" t="s">
        <v>882</v>
      </c>
      <c r="B897" s="3">
        <v>45381</v>
      </c>
      <c r="C897" s="2" t="s">
        <v>1033</v>
      </c>
      <c r="D897" s="4">
        <v>-5804.82</v>
      </c>
      <c r="E897" s="2" t="s">
        <v>10</v>
      </c>
    </row>
    <row r="898" spans="1:5" x14ac:dyDescent="0.25">
      <c r="A898" s="2" t="s">
        <v>665</v>
      </c>
      <c r="B898" s="3">
        <v>45407</v>
      </c>
      <c r="C898" s="2" t="s">
        <v>1048</v>
      </c>
      <c r="D898" s="4">
        <v>-51.72</v>
      </c>
      <c r="E898" s="2" t="s">
        <v>10</v>
      </c>
    </row>
    <row r="899" spans="1:5" x14ac:dyDescent="0.25">
      <c r="A899" s="2" t="s">
        <v>66</v>
      </c>
      <c r="B899" s="3">
        <v>45521</v>
      </c>
      <c r="C899" s="2" t="s">
        <v>1028</v>
      </c>
      <c r="D899" s="4">
        <v>-289.2</v>
      </c>
      <c r="E899" s="2" t="s">
        <v>10</v>
      </c>
    </row>
    <row r="900" spans="1:5" x14ac:dyDescent="0.25">
      <c r="A900" s="2" t="s">
        <v>503</v>
      </c>
      <c r="B900" s="3">
        <v>45385</v>
      </c>
      <c r="C900" s="2" t="s">
        <v>1042</v>
      </c>
      <c r="D900" s="4">
        <v>-4871.1099999999997</v>
      </c>
      <c r="E900" s="2" t="s">
        <v>10</v>
      </c>
    </row>
    <row r="901" spans="1:5" x14ac:dyDescent="0.25">
      <c r="A901" s="2" t="s">
        <v>454</v>
      </c>
      <c r="B901" s="3">
        <v>45527</v>
      </c>
      <c r="C901" s="2" t="s">
        <v>1028</v>
      </c>
      <c r="D901" s="4">
        <v>-618.79</v>
      </c>
      <c r="E901" s="2" t="s">
        <v>10</v>
      </c>
    </row>
    <row r="902" spans="1:5" x14ac:dyDescent="0.25">
      <c r="A902" s="2" t="s">
        <v>395</v>
      </c>
      <c r="B902" s="3">
        <v>45553</v>
      </c>
      <c r="C902" s="2" t="s">
        <v>1035</v>
      </c>
      <c r="D902" s="4">
        <v>-611.23</v>
      </c>
      <c r="E902" s="2" t="s">
        <v>10</v>
      </c>
    </row>
    <row r="903" spans="1:5" x14ac:dyDescent="0.25">
      <c r="A903" s="2" t="s">
        <v>284</v>
      </c>
      <c r="B903" s="3">
        <v>45613</v>
      </c>
      <c r="C903" s="2" t="s">
        <v>1037</v>
      </c>
      <c r="D903" s="4">
        <v>-10535.11</v>
      </c>
      <c r="E903" s="2" t="s">
        <v>10</v>
      </c>
    </row>
    <row r="904" spans="1:5" x14ac:dyDescent="0.25">
      <c r="A904" s="2" t="s">
        <v>203</v>
      </c>
      <c r="B904" s="3">
        <v>45537</v>
      </c>
      <c r="C904" s="2" t="s">
        <v>1030</v>
      </c>
      <c r="D904" s="4">
        <v>-1055.1199999999999</v>
      </c>
      <c r="E904" s="2" t="s">
        <v>10</v>
      </c>
    </row>
    <row r="905" spans="1:5" x14ac:dyDescent="0.25">
      <c r="A905" s="2" t="s">
        <v>681</v>
      </c>
      <c r="B905" s="3">
        <v>45304</v>
      </c>
      <c r="C905" s="2" t="s">
        <v>1026</v>
      </c>
      <c r="D905" s="4">
        <v>369.07</v>
      </c>
      <c r="E905" s="2" t="s">
        <v>10</v>
      </c>
    </row>
    <row r="906" spans="1:5" x14ac:dyDescent="0.25">
      <c r="A906" s="2" t="s">
        <v>576</v>
      </c>
      <c r="B906" s="3">
        <v>45344</v>
      </c>
      <c r="C906" s="2" t="s">
        <v>1036</v>
      </c>
      <c r="D906" s="4">
        <v>-6903.72</v>
      </c>
      <c r="E906" s="2" t="s">
        <v>10</v>
      </c>
    </row>
    <row r="907" spans="1:5" x14ac:dyDescent="0.25">
      <c r="A907" s="2" t="s">
        <v>422</v>
      </c>
      <c r="B907" s="3">
        <v>45429</v>
      </c>
      <c r="C907" s="2" t="s">
        <v>1026</v>
      </c>
      <c r="D907" s="4">
        <v>17.87</v>
      </c>
      <c r="E907" s="2" t="s">
        <v>10</v>
      </c>
    </row>
    <row r="908" spans="1:5" x14ac:dyDescent="0.25">
      <c r="A908" s="2" t="s">
        <v>819</v>
      </c>
      <c r="B908" s="3">
        <v>45419</v>
      </c>
      <c r="C908" s="2" t="s">
        <v>1025</v>
      </c>
      <c r="D908" s="4">
        <v>-12818.82</v>
      </c>
      <c r="E908" s="2" t="s">
        <v>10</v>
      </c>
    </row>
    <row r="909" spans="1:5" x14ac:dyDescent="0.25">
      <c r="A909" s="2" t="s">
        <v>852</v>
      </c>
      <c r="B909" s="3">
        <v>45435</v>
      </c>
      <c r="C909" s="2" t="s">
        <v>1029</v>
      </c>
      <c r="D909" s="4">
        <v>-2528.27</v>
      </c>
      <c r="E909" s="2" t="s">
        <v>10</v>
      </c>
    </row>
    <row r="910" spans="1:5" x14ac:dyDescent="0.25">
      <c r="A910" s="2" t="s">
        <v>638</v>
      </c>
      <c r="B910" s="3">
        <v>45371</v>
      </c>
      <c r="C910" s="2" t="s">
        <v>1036</v>
      </c>
      <c r="D910" s="4">
        <v>-3812.1</v>
      </c>
      <c r="E910" s="2" t="s">
        <v>10</v>
      </c>
    </row>
    <row r="911" spans="1:5" x14ac:dyDescent="0.25">
      <c r="A911" s="2" t="s">
        <v>547</v>
      </c>
      <c r="B911" s="3">
        <v>45337</v>
      </c>
      <c r="C911" s="2" t="s">
        <v>1050</v>
      </c>
      <c r="D911" s="4">
        <v>-565.48</v>
      </c>
      <c r="E911" s="2" t="s">
        <v>10</v>
      </c>
    </row>
    <row r="912" spans="1:5" x14ac:dyDescent="0.25">
      <c r="A912" s="2" t="s">
        <v>1002</v>
      </c>
      <c r="B912" s="3">
        <v>45597</v>
      </c>
      <c r="C912" s="2" t="s">
        <v>1032</v>
      </c>
      <c r="D912" s="4">
        <v>-1459.2</v>
      </c>
      <c r="E912" s="2" t="s">
        <v>10</v>
      </c>
    </row>
    <row r="913" spans="1:5" x14ac:dyDescent="0.25">
      <c r="A913" s="2" t="s">
        <v>265</v>
      </c>
      <c r="B913" s="3">
        <v>45544</v>
      </c>
      <c r="C913" s="2" t="s">
        <v>1038</v>
      </c>
      <c r="D913" s="4">
        <v>-347.66</v>
      </c>
      <c r="E913" s="2" t="s">
        <v>10</v>
      </c>
    </row>
    <row r="914" spans="1:5" x14ac:dyDescent="0.25">
      <c r="A914" s="2" t="s">
        <v>770</v>
      </c>
      <c r="B914" s="3">
        <v>45495</v>
      </c>
      <c r="C914" s="2" t="s">
        <v>1049</v>
      </c>
      <c r="D914" s="4">
        <v>11860.06</v>
      </c>
      <c r="E914" s="2" t="s">
        <v>10</v>
      </c>
    </row>
    <row r="915" spans="1:5" x14ac:dyDescent="0.25">
      <c r="A915" s="2" t="s">
        <v>570</v>
      </c>
      <c r="B915" s="3">
        <v>45651</v>
      </c>
      <c r="C915" s="2" t="s">
        <v>1044</v>
      </c>
      <c r="D915" s="4">
        <v>-2774.25</v>
      </c>
      <c r="E915" s="2" t="s">
        <v>10</v>
      </c>
    </row>
    <row r="916" spans="1:5" x14ac:dyDescent="0.25">
      <c r="A916" s="2" t="s">
        <v>1022</v>
      </c>
      <c r="B916" s="3">
        <v>45404</v>
      </c>
      <c r="C916" s="2" t="s">
        <v>1036</v>
      </c>
      <c r="D916" s="4">
        <v>-2170.77</v>
      </c>
      <c r="E916" s="2" t="s">
        <v>123</v>
      </c>
    </row>
    <row r="917" spans="1:5" x14ac:dyDescent="0.25">
      <c r="A917" s="2" t="s">
        <v>441</v>
      </c>
      <c r="B917" s="3">
        <v>45435</v>
      </c>
      <c r="C917" s="2" t="s">
        <v>1053</v>
      </c>
      <c r="D917" s="4">
        <v>-616.38</v>
      </c>
      <c r="E917" s="2" t="s">
        <v>10</v>
      </c>
    </row>
    <row r="918" spans="1:5" x14ac:dyDescent="0.25">
      <c r="A918" s="2" t="s">
        <v>928</v>
      </c>
      <c r="B918" s="3">
        <v>45603</v>
      </c>
      <c r="C918" s="2" t="s">
        <v>1031</v>
      </c>
      <c r="D918" s="4">
        <v>147.07</v>
      </c>
      <c r="E918" s="2" t="s">
        <v>10</v>
      </c>
    </row>
    <row r="919" spans="1:5" x14ac:dyDescent="0.25">
      <c r="A919" s="2" t="s">
        <v>255</v>
      </c>
      <c r="B919" s="3">
        <v>45517</v>
      </c>
      <c r="C919" s="2" t="s">
        <v>1037</v>
      </c>
      <c r="D919" s="4">
        <v>-4125.16</v>
      </c>
      <c r="E919" s="2" t="s">
        <v>10</v>
      </c>
    </row>
    <row r="920" spans="1:5" x14ac:dyDescent="0.25">
      <c r="A920" s="2" t="s">
        <v>963</v>
      </c>
      <c r="B920" s="3">
        <v>45375</v>
      </c>
      <c r="C920" s="2" t="s">
        <v>1034</v>
      </c>
      <c r="D920" s="4">
        <v>5807.25</v>
      </c>
      <c r="E920" s="2" t="s">
        <v>10</v>
      </c>
    </row>
    <row r="921" spans="1:5" x14ac:dyDescent="0.25">
      <c r="A921" s="2" t="s">
        <v>222</v>
      </c>
      <c r="B921" s="3">
        <v>45604</v>
      </c>
      <c r="C921" s="2" t="s">
        <v>1031</v>
      </c>
      <c r="D921" s="4">
        <v>163.5</v>
      </c>
      <c r="E921" s="2" t="s">
        <v>10</v>
      </c>
    </row>
    <row r="922" spans="1:5" x14ac:dyDescent="0.25">
      <c r="A922" s="2" t="s">
        <v>983</v>
      </c>
      <c r="B922" s="3">
        <v>45312</v>
      </c>
      <c r="C922" s="2" t="s">
        <v>1029</v>
      </c>
      <c r="D922" s="4">
        <v>-3651.67</v>
      </c>
      <c r="E922" s="2" t="s">
        <v>10</v>
      </c>
    </row>
    <row r="923" spans="1:5" x14ac:dyDescent="0.25">
      <c r="A923" s="2" t="s">
        <v>1073</v>
      </c>
      <c r="B923" s="3">
        <v>45421</v>
      </c>
      <c r="C923" s="2" t="s">
        <v>1047</v>
      </c>
      <c r="D923" s="4">
        <v>-124.98</v>
      </c>
      <c r="E923" s="2" t="s">
        <v>10</v>
      </c>
    </row>
    <row r="924" spans="1:5" x14ac:dyDescent="0.25">
      <c r="A924" s="2" t="s">
        <v>396</v>
      </c>
      <c r="B924" s="3">
        <v>45644</v>
      </c>
      <c r="C924" s="2" t="s">
        <v>1049</v>
      </c>
      <c r="D924" s="4">
        <v>22379.26</v>
      </c>
      <c r="E924" s="2" t="s">
        <v>10</v>
      </c>
    </row>
    <row r="925" spans="1:5" x14ac:dyDescent="0.25">
      <c r="A925" s="2" t="s">
        <v>223</v>
      </c>
      <c r="B925" s="3">
        <v>45587</v>
      </c>
      <c r="C925" s="2" t="s">
        <v>1029</v>
      </c>
      <c r="D925" s="4">
        <v>-7588.15</v>
      </c>
      <c r="E925" s="2" t="s">
        <v>10</v>
      </c>
    </row>
    <row r="926" spans="1:5" x14ac:dyDescent="0.25">
      <c r="A926" s="2" t="s">
        <v>243</v>
      </c>
      <c r="B926" s="3">
        <v>45500</v>
      </c>
      <c r="C926" s="2" t="s">
        <v>1050</v>
      </c>
      <c r="D926" s="4">
        <v>-110.46</v>
      </c>
      <c r="E926" s="2" t="s">
        <v>10</v>
      </c>
    </row>
    <row r="927" spans="1:5" x14ac:dyDescent="0.25">
      <c r="A927" s="2" t="s">
        <v>904</v>
      </c>
      <c r="B927" s="3">
        <v>45385</v>
      </c>
      <c r="C927" s="2" t="s">
        <v>1048</v>
      </c>
      <c r="D927" s="4">
        <v>-47.03</v>
      </c>
      <c r="E927" s="2" t="s">
        <v>10</v>
      </c>
    </row>
    <row r="928" spans="1:5" x14ac:dyDescent="0.25">
      <c r="A928" s="2" t="s">
        <v>443</v>
      </c>
      <c r="B928" s="3">
        <v>45325</v>
      </c>
      <c r="C928" s="2" t="s">
        <v>1033</v>
      </c>
      <c r="D928" s="4">
        <v>-9201.4</v>
      </c>
      <c r="E928" s="2" t="s">
        <v>10</v>
      </c>
    </row>
    <row r="929" spans="1:5" x14ac:dyDescent="0.25">
      <c r="A929" s="2" t="s">
        <v>823</v>
      </c>
      <c r="B929" s="3">
        <v>45603</v>
      </c>
      <c r="C929" s="2" t="s">
        <v>1026</v>
      </c>
      <c r="D929" s="4">
        <v>151.76</v>
      </c>
      <c r="E929" s="2" t="s">
        <v>10</v>
      </c>
    </row>
    <row r="930" spans="1:5" x14ac:dyDescent="0.25">
      <c r="A930" s="2" t="s">
        <v>464</v>
      </c>
      <c r="B930" s="3">
        <v>45549</v>
      </c>
      <c r="C930" s="2" t="s">
        <v>1033</v>
      </c>
      <c r="D930" s="4">
        <v>-1524.24</v>
      </c>
      <c r="E930" s="2" t="s">
        <v>10</v>
      </c>
    </row>
    <row r="931" spans="1:5" x14ac:dyDescent="0.25">
      <c r="A931" s="2" t="s">
        <v>303</v>
      </c>
      <c r="B931" s="3">
        <v>45370</v>
      </c>
      <c r="C931" s="2" t="s">
        <v>1042</v>
      </c>
      <c r="D931" s="4">
        <v>-1295.04</v>
      </c>
      <c r="E931" s="2" t="s">
        <v>10</v>
      </c>
    </row>
    <row r="932" spans="1:5" x14ac:dyDescent="0.25">
      <c r="A932" s="2" t="s">
        <v>774</v>
      </c>
      <c r="B932" s="3">
        <v>45477</v>
      </c>
      <c r="C932" s="2" t="s">
        <v>1052</v>
      </c>
      <c r="D932" s="4">
        <v>-7832.28</v>
      </c>
      <c r="E932" s="2" t="s">
        <v>10</v>
      </c>
    </row>
    <row r="933" spans="1:5" x14ac:dyDescent="0.25">
      <c r="A933" s="2" t="s">
        <v>654</v>
      </c>
      <c r="B933" s="3">
        <v>45440</v>
      </c>
      <c r="C933" s="2" t="s">
        <v>1027</v>
      </c>
      <c r="D933" s="4">
        <v>24872.959999999999</v>
      </c>
      <c r="E933" s="2" t="s">
        <v>10</v>
      </c>
    </row>
    <row r="934" spans="1:5" x14ac:dyDescent="0.25">
      <c r="A934" s="2" t="s">
        <v>965</v>
      </c>
      <c r="B934" s="3">
        <v>45359</v>
      </c>
      <c r="C934" s="2" t="s">
        <v>1032</v>
      </c>
      <c r="D934" s="4">
        <v>-2276.5</v>
      </c>
      <c r="E934" s="2" t="s">
        <v>10</v>
      </c>
    </row>
    <row r="935" spans="1:5" x14ac:dyDescent="0.25">
      <c r="A935" s="2" t="s">
        <v>915</v>
      </c>
      <c r="B935" s="3">
        <v>45322</v>
      </c>
      <c r="C935" s="2" t="s">
        <v>1049</v>
      </c>
      <c r="D935" s="4">
        <v>5139.41</v>
      </c>
      <c r="E935" s="2" t="s">
        <v>10</v>
      </c>
    </row>
    <row r="936" spans="1:5" x14ac:dyDescent="0.25">
      <c r="A936" s="2" t="s">
        <v>379</v>
      </c>
      <c r="B936" s="3">
        <v>45599</v>
      </c>
      <c r="C936" s="2" t="s">
        <v>1035</v>
      </c>
      <c r="D936" s="4">
        <v>-408.15</v>
      </c>
      <c r="E936" s="2" t="s">
        <v>10</v>
      </c>
    </row>
    <row r="937" spans="1:5" x14ac:dyDescent="0.25">
      <c r="A937" s="2" t="s">
        <v>430</v>
      </c>
      <c r="B937" s="3">
        <v>45453</v>
      </c>
      <c r="C937" s="2" t="s">
        <v>1052</v>
      </c>
      <c r="D937" s="4">
        <v>-6770.08</v>
      </c>
      <c r="E937" s="2" t="s">
        <v>10</v>
      </c>
    </row>
    <row r="938" spans="1:5" x14ac:dyDescent="0.25">
      <c r="A938" s="2" t="s">
        <v>821</v>
      </c>
      <c r="B938" s="3">
        <v>45552</v>
      </c>
      <c r="C938" s="2" t="s">
        <v>1051</v>
      </c>
      <c r="D938" s="4">
        <v>-11329.86</v>
      </c>
      <c r="E938" s="2" t="s">
        <v>10</v>
      </c>
    </row>
    <row r="939" spans="1:5" x14ac:dyDescent="0.25">
      <c r="A939" s="2" t="s">
        <v>530</v>
      </c>
      <c r="B939" s="3">
        <v>45538</v>
      </c>
      <c r="C939" s="2" t="s">
        <v>1024</v>
      </c>
      <c r="D939" s="4">
        <v>390.42</v>
      </c>
      <c r="E939" s="2" t="s">
        <v>10</v>
      </c>
    </row>
    <row r="940" spans="1:5" x14ac:dyDescent="0.25">
      <c r="A940" s="2" t="s">
        <v>159</v>
      </c>
      <c r="B940" s="3">
        <v>45621</v>
      </c>
      <c r="C940" s="2" t="s">
        <v>1025</v>
      </c>
      <c r="D940" s="4">
        <v>-14488.16</v>
      </c>
      <c r="E940" s="2" t="s">
        <v>10</v>
      </c>
    </row>
    <row r="941" spans="1:5" x14ac:dyDescent="0.25">
      <c r="A941" s="2" t="s">
        <v>924</v>
      </c>
      <c r="B941" s="3">
        <v>45593</v>
      </c>
      <c r="C941" s="2" t="s">
        <v>1044</v>
      </c>
      <c r="D941" s="4">
        <v>-1079.71</v>
      </c>
      <c r="E941" s="2" t="s">
        <v>10</v>
      </c>
    </row>
    <row r="942" spans="1:5" x14ac:dyDescent="0.25">
      <c r="A942" s="2" t="s">
        <v>335</v>
      </c>
      <c r="B942" s="3">
        <v>45610</v>
      </c>
      <c r="C942" s="2" t="s">
        <v>1026</v>
      </c>
      <c r="D942" s="4">
        <v>34.26</v>
      </c>
      <c r="E942" s="2" t="s">
        <v>10</v>
      </c>
    </row>
    <row r="943" spans="1:5" x14ac:dyDescent="0.25">
      <c r="A943" s="2" t="s">
        <v>797</v>
      </c>
      <c r="B943" s="3">
        <v>45450</v>
      </c>
      <c r="C943" s="2" t="s">
        <v>1034</v>
      </c>
      <c r="D943" s="4">
        <v>3747.28</v>
      </c>
      <c r="E943" s="2" t="s">
        <v>10</v>
      </c>
    </row>
    <row r="944" spans="1:5" x14ac:dyDescent="0.25">
      <c r="A944" s="2" t="s">
        <v>49</v>
      </c>
      <c r="B944" s="3">
        <v>45485</v>
      </c>
      <c r="C944" s="2" t="s">
        <v>1041</v>
      </c>
      <c r="D944" s="4">
        <v>-108.35</v>
      </c>
      <c r="E944" s="2" t="s">
        <v>10</v>
      </c>
    </row>
    <row r="945" spans="1:5" x14ac:dyDescent="0.25">
      <c r="A945" s="2" t="s">
        <v>516</v>
      </c>
      <c r="B945" s="3">
        <v>45605</v>
      </c>
      <c r="C945" s="2" t="s">
        <v>1036</v>
      </c>
      <c r="D945" s="4">
        <v>-3883.16</v>
      </c>
      <c r="E945" s="2" t="s">
        <v>10</v>
      </c>
    </row>
    <row r="946" spans="1:5" x14ac:dyDescent="0.25">
      <c r="A946" s="2" t="s">
        <v>719</v>
      </c>
      <c r="B946" s="3">
        <v>45561</v>
      </c>
      <c r="C946" s="2" t="s">
        <v>1037</v>
      </c>
      <c r="D946" s="4">
        <v>-5621.77</v>
      </c>
      <c r="E946" s="2" t="s">
        <v>10</v>
      </c>
    </row>
    <row r="947" spans="1:5" x14ac:dyDescent="0.25">
      <c r="A947" s="2" t="s">
        <v>329</v>
      </c>
      <c r="B947" s="3">
        <v>45621</v>
      </c>
      <c r="C947" s="2" t="s">
        <v>1032</v>
      </c>
      <c r="D947" s="4">
        <v>-284.39</v>
      </c>
      <c r="E947" s="2" t="s">
        <v>10</v>
      </c>
    </row>
    <row r="948" spans="1:5" x14ac:dyDescent="0.25">
      <c r="A948" s="2" t="s">
        <v>73</v>
      </c>
      <c r="B948" s="3">
        <v>45314</v>
      </c>
      <c r="C948" s="2" t="s">
        <v>1045</v>
      </c>
      <c r="D948" s="4">
        <v>-890.4</v>
      </c>
      <c r="E948" s="2" t="s">
        <v>10</v>
      </c>
    </row>
    <row r="949" spans="1:5" x14ac:dyDescent="0.25">
      <c r="A949" s="2" t="s">
        <v>548</v>
      </c>
      <c r="B949" s="3">
        <v>45530</v>
      </c>
      <c r="C949" s="2" t="s">
        <v>1027</v>
      </c>
      <c r="D949" s="4">
        <v>4489.99</v>
      </c>
      <c r="E949" s="2" t="s">
        <v>10</v>
      </c>
    </row>
    <row r="950" spans="1:5" x14ac:dyDescent="0.25">
      <c r="A950" s="2" t="s">
        <v>483</v>
      </c>
      <c r="B950" s="3">
        <v>45475</v>
      </c>
      <c r="C950" s="2" t="s">
        <v>1047</v>
      </c>
      <c r="D950" s="4">
        <v>-25.06</v>
      </c>
      <c r="E950" s="2" t="s">
        <v>10</v>
      </c>
    </row>
    <row r="951" spans="1:5" x14ac:dyDescent="0.25">
      <c r="A951" s="2" t="s">
        <v>213</v>
      </c>
      <c r="B951" s="3">
        <v>45470</v>
      </c>
      <c r="C951" s="2" t="s">
        <v>1049</v>
      </c>
      <c r="D951" s="4">
        <v>1854.13</v>
      </c>
      <c r="E951" s="2" t="s">
        <v>10</v>
      </c>
    </row>
    <row r="952" spans="1:5" x14ac:dyDescent="0.25">
      <c r="A952" s="2" t="s">
        <v>163</v>
      </c>
      <c r="B952" s="3">
        <v>45338</v>
      </c>
      <c r="C952" s="2" t="s">
        <v>1031</v>
      </c>
      <c r="D952" s="4">
        <v>206.38</v>
      </c>
      <c r="E952" s="2" t="s">
        <v>10</v>
      </c>
    </row>
    <row r="953" spans="1:5" x14ac:dyDescent="0.25">
      <c r="A953" s="2" t="s">
        <v>65</v>
      </c>
      <c r="B953" s="3">
        <v>45408</v>
      </c>
      <c r="C953" s="2" t="s">
        <v>1029</v>
      </c>
      <c r="D953" s="4">
        <v>-3401.29</v>
      </c>
      <c r="E953" s="2" t="s">
        <v>10</v>
      </c>
    </row>
    <row r="954" spans="1:5" x14ac:dyDescent="0.25">
      <c r="A954" s="2" t="s">
        <v>829</v>
      </c>
      <c r="B954" s="3">
        <v>45334</v>
      </c>
      <c r="C954" s="2" t="s">
        <v>1032</v>
      </c>
      <c r="D954" s="4">
        <v>-152.35</v>
      </c>
      <c r="E954" s="2" t="s">
        <v>10</v>
      </c>
    </row>
    <row r="955" spans="1:5" x14ac:dyDescent="0.25">
      <c r="A955" s="2" t="s">
        <v>563</v>
      </c>
      <c r="B955" s="3">
        <v>45463</v>
      </c>
      <c r="C955" s="2" t="s">
        <v>1047</v>
      </c>
      <c r="D955" s="4">
        <v>-66.59</v>
      </c>
      <c r="E955" s="2" t="s">
        <v>10</v>
      </c>
    </row>
    <row r="956" spans="1:5" x14ac:dyDescent="0.25">
      <c r="A956" s="2" t="s">
        <v>190</v>
      </c>
      <c r="B956" s="3">
        <v>45374</v>
      </c>
      <c r="C956" s="2" t="s">
        <v>1045</v>
      </c>
      <c r="D956" s="4">
        <v>-458.18</v>
      </c>
      <c r="E956" s="2" t="s">
        <v>10</v>
      </c>
    </row>
    <row r="957" spans="1:5" x14ac:dyDescent="0.25">
      <c r="A957" s="2" t="s">
        <v>272</v>
      </c>
      <c r="B957" s="3">
        <v>45639</v>
      </c>
      <c r="C957" s="2" t="s">
        <v>1052</v>
      </c>
      <c r="D957" s="4">
        <v>-3642.76</v>
      </c>
      <c r="E957" s="2" t="s">
        <v>10</v>
      </c>
    </row>
    <row r="958" spans="1:5" x14ac:dyDescent="0.25">
      <c r="A958" s="2" t="s">
        <v>788</v>
      </c>
      <c r="B958" s="3">
        <v>45339</v>
      </c>
      <c r="C958" s="2" t="s">
        <v>1030</v>
      </c>
      <c r="D958" s="4">
        <v>-202.77</v>
      </c>
      <c r="E958" s="2" t="s">
        <v>10</v>
      </c>
    </row>
    <row r="959" spans="1:5" x14ac:dyDescent="0.25">
      <c r="A959" s="2" t="s">
        <v>747</v>
      </c>
      <c r="B959" s="3">
        <v>45416</v>
      </c>
      <c r="C959" s="2" t="s">
        <v>1046</v>
      </c>
      <c r="D959" s="4">
        <v>-6878.55</v>
      </c>
      <c r="E959" s="2" t="s">
        <v>10</v>
      </c>
    </row>
    <row r="960" spans="1:5" x14ac:dyDescent="0.25">
      <c r="A960" s="2" t="s">
        <v>245</v>
      </c>
      <c r="B960" s="3">
        <v>45425</v>
      </c>
      <c r="C960" s="2" t="s">
        <v>1041</v>
      </c>
      <c r="D960" s="4">
        <v>-113.69</v>
      </c>
      <c r="E960" s="2" t="s">
        <v>10</v>
      </c>
    </row>
    <row r="961" spans="1:5" x14ac:dyDescent="0.25">
      <c r="A961" s="2" t="s">
        <v>456</v>
      </c>
      <c r="B961" s="3">
        <v>45652</v>
      </c>
      <c r="C961" s="2" t="s">
        <v>1039</v>
      </c>
      <c r="D961" s="4">
        <v>-9100.32</v>
      </c>
      <c r="E961" s="2" t="s">
        <v>10</v>
      </c>
    </row>
    <row r="962" spans="1:5" x14ac:dyDescent="0.25">
      <c r="A962" s="2" t="s">
        <v>192</v>
      </c>
      <c r="B962" s="3">
        <v>45335</v>
      </c>
      <c r="C962" s="2" t="s">
        <v>1027</v>
      </c>
      <c r="D962" s="4">
        <v>24073.9</v>
      </c>
      <c r="E962" s="2" t="s">
        <v>10</v>
      </c>
    </row>
    <row r="963" spans="1:5" x14ac:dyDescent="0.25">
      <c r="A963" s="2" t="s">
        <v>336</v>
      </c>
      <c r="B963" s="3">
        <v>45576</v>
      </c>
      <c r="C963" s="2" t="s">
        <v>1044</v>
      </c>
      <c r="D963" s="4">
        <v>-3477.85</v>
      </c>
      <c r="E963" s="2" t="s">
        <v>10</v>
      </c>
    </row>
    <row r="964" spans="1:5" x14ac:dyDescent="0.25">
      <c r="A964" s="2" t="s">
        <v>337</v>
      </c>
      <c r="B964" s="3">
        <v>45621</v>
      </c>
      <c r="C964" s="2" t="s">
        <v>1039</v>
      </c>
      <c r="D964" s="4">
        <v>-13716.62</v>
      </c>
      <c r="E964" s="2" t="s">
        <v>10</v>
      </c>
    </row>
    <row r="965" spans="1:5" x14ac:dyDescent="0.25">
      <c r="A965" s="2" t="s">
        <v>487</v>
      </c>
      <c r="B965" s="3">
        <v>45496</v>
      </c>
      <c r="C965" s="2" t="s">
        <v>1043</v>
      </c>
      <c r="D965" s="4">
        <v>-3773.58</v>
      </c>
      <c r="E965" s="2" t="s">
        <v>10</v>
      </c>
    </row>
    <row r="966" spans="1:5" x14ac:dyDescent="0.25">
      <c r="A966" s="2" t="s">
        <v>897</v>
      </c>
      <c r="B966" s="3">
        <v>45611</v>
      </c>
      <c r="C966" s="2" t="s">
        <v>1026</v>
      </c>
      <c r="D966" s="4">
        <v>244.85</v>
      </c>
      <c r="E966" s="2" t="s">
        <v>10</v>
      </c>
    </row>
    <row r="967" spans="1:5" x14ac:dyDescent="0.25">
      <c r="A967" s="2" t="s">
        <v>626</v>
      </c>
      <c r="B967" s="3">
        <v>45483</v>
      </c>
      <c r="C967" s="2" t="s">
        <v>1048</v>
      </c>
      <c r="D967" s="4">
        <v>-124.22</v>
      </c>
      <c r="E967" s="2" t="s">
        <v>10</v>
      </c>
    </row>
    <row r="968" spans="1:5" x14ac:dyDescent="0.25">
      <c r="A968" s="2" t="s">
        <v>894</v>
      </c>
      <c r="B968" s="3">
        <v>45313</v>
      </c>
      <c r="C968" s="2" t="s">
        <v>1035</v>
      </c>
      <c r="D968" s="4">
        <v>-570.41999999999996</v>
      </c>
      <c r="E968" s="2" t="s">
        <v>10</v>
      </c>
    </row>
    <row r="969" spans="1:5" x14ac:dyDescent="0.25">
      <c r="A969" s="2" t="s">
        <v>950</v>
      </c>
      <c r="B969" s="3">
        <v>45525</v>
      </c>
      <c r="C969" s="2" t="s">
        <v>1025</v>
      </c>
      <c r="D969" s="4">
        <v>-4137.26</v>
      </c>
      <c r="E969" s="2" t="s">
        <v>10</v>
      </c>
    </row>
    <row r="970" spans="1:5" x14ac:dyDescent="0.25">
      <c r="A970" s="2" t="s">
        <v>451</v>
      </c>
      <c r="B970" s="3">
        <v>45650</v>
      </c>
      <c r="C970" s="2" t="s">
        <v>1034</v>
      </c>
      <c r="D970" s="4">
        <v>10232.219999999999</v>
      </c>
      <c r="E970" s="2" t="s">
        <v>10</v>
      </c>
    </row>
    <row r="971" spans="1:5" x14ac:dyDescent="0.25">
      <c r="A971" s="2" t="s">
        <v>981</v>
      </c>
      <c r="B971" s="3">
        <v>45446</v>
      </c>
      <c r="C971" s="2" t="s">
        <v>1044</v>
      </c>
      <c r="D971" s="4">
        <v>-3117.16</v>
      </c>
      <c r="E971" s="2" t="s">
        <v>10</v>
      </c>
    </row>
    <row r="972" spans="1:5" x14ac:dyDescent="0.25">
      <c r="A972" s="2" t="s">
        <v>592</v>
      </c>
      <c r="B972" s="3">
        <v>45590</v>
      </c>
      <c r="C972" s="2" t="s">
        <v>1035</v>
      </c>
      <c r="D972" s="4">
        <v>-443.8</v>
      </c>
      <c r="E972" s="2" t="s">
        <v>10</v>
      </c>
    </row>
    <row r="973" spans="1:5" x14ac:dyDescent="0.25">
      <c r="A973" s="2" t="s">
        <v>251</v>
      </c>
      <c r="B973" s="3">
        <v>45452</v>
      </c>
      <c r="C973" s="2" t="s">
        <v>1043</v>
      </c>
      <c r="D973" s="4">
        <v>-4891.84</v>
      </c>
      <c r="E973" s="2" t="s">
        <v>10</v>
      </c>
    </row>
    <row r="974" spans="1:5" x14ac:dyDescent="0.25">
      <c r="A974" s="2" t="s">
        <v>173</v>
      </c>
      <c r="B974" s="3">
        <v>45435</v>
      </c>
      <c r="C974" s="2" t="s">
        <v>1039</v>
      </c>
      <c r="D974" s="4">
        <v>-3615.05</v>
      </c>
      <c r="E974" s="2" t="s">
        <v>10</v>
      </c>
    </row>
    <row r="975" spans="1:5" x14ac:dyDescent="0.25">
      <c r="A975" s="2" t="s">
        <v>632</v>
      </c>
      <c r="B975" s="3">
        <v>45557</v>
      </c>
      <c r="C975" s="2" t="s">
        <v>1038</v>
      </c>
      <c r="D975" s="4">
        <v>-867.11</v>
      </c>
      <c r="E975" s="2" t="s">
        <v>10</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6"/>
  </sheetPr>
  <dimension ref="A1:O996"/>
  <sheetViews>
    <sheetView topLeftCell="D1" zoomScaleNormal="100" workbookViewId="0">
      <pane ySplit="1" topLeftCell="A968" activePane="bottomLeft" state="frozen"/>
      <selection pane="bottomLeft" activeCell="D1" sqref="D1:O996"/>
    </sheetView>
  </sheetViews>
  <sheetFormatPr defaultColWidth="8.7109375" defaultRowHeight="15" x14ac:dyDescent="0.25"/>
  <cols>
    <col min="1" max="1" width="15" customWidth="1"/>
    <col min="2" max="2" width="12" customWidth="1"/>
    <col min="3" max="3" width="11" customWidth="1"/>
    <col min="4" max="4" width="24" customWidth="1"/>
    <col min="5" max="5" width="11" customWidth="1"/>
    <col min="6" max="7" width="26" customWidth="1"/>
    <col min="8" max="8" width="13" customWidth="1"/>
    <col min="9" max="9" width="15" customWidth="1"/>
    <col min="10" max="10" width="11" customWidth="1"/>
    <col min="11" max="11" width="14" customWidth="1"/>
    <col min="12" max="12" width="15" customWidth="1"/>
    <col min="13" max="13" width="17" customWidth="1"/>
    <col min="14" max="14" width="13" customWidth="1"/>
    <col min="15" max="15" width="17" customWidth="1"/>
  </cols>
  <sheetData>
    <row r="1" spans="1:15" ht="27.75" customHeight="1" x14ac:dyDescent="0.25">
      <c r="A1" s="1" t="s">
        <v>0</v>
      </c>
      <c r="B1" s="1" t="s">
        <v>1</v>
      </c>
      <c r="C1" s="1" t="s">
        <v>1074</v>
      </c>
      <c r="D1" s="1" t="s">
        <v>3</v>
      </c>
      <c r="E1" s="1" t="s">
        <v>5</v>
      </c>
      <c r="F1" s="1" t="s">
        <v>1075</v>
      </c>
      <c r="G1" s="1" t="s">
        <v>1076</v>
      </c>
      <c r="H1" s="1" t="s">
        <v>1077</v>
      </c>
      <c r="I1" s="1" t="s">
        <v>1078</v>
      </c>
      <c r="J1" s="1" t="s">
        <v>4</v>
      </c>
      <c r="K1" s="1" t="s">
        <v>1079</v>
      </c>
      <c r="L1" s="1" t="s">
        <v>1080</v>
      </c>
      <c r="M1" s="1" t="s">
        <v>1081</v>
      </c>
      <c r="N1" s="1" t="s">
        <v>1082</v>
      </c>
      <c r="O1" s="1" t="s">
        <v>1083</v>
      </c>
    </row>
    <row r="2" spans="1:15" hidden="1" x14ac:dyDescent="0.25">
      <c r="A2" s="2" t="s">
        <v>365</v>
      </c>
      <c r="B2" s="3">
        <v>45326</v>
      </c>
      <c r="C2" s="5">
        <v>45323</v>
      </c>
      <c r="D2" s="2" t="s">
        <v>35</v>
      </c>
      <c r="E2" s="2">
        <v>4000</v>
      </c>
      <c r="F2" s="2" t="s">
        <v>34</v>
      </c>
      <c r="G2" s="2" t="s">
        <v>1027</v>
      </c>
      <c r="H2" s="4">
        <v>6585.96</v>
      </c>
      <c r="I2" s="4">
        <v>6585.96</v>
      </c>
      <c r="J2" s="4">
        <v>6585.96</v>
      </c>
      <c r="K2" s="4">
        <v>6585.96</v>
      </c>
      <c r="L2" s="4"/>
      <c r="M2" s="2" t="s">
        <v>1084</v>
      </c>
      <c r="N2" s="2" t="s">
        <v>10</v>
      </c>
      <c r="O2" s="2" t="s">
        <v>10</v>
      </c>
    </row>
    <row r="3" spans="1:15" hidden="1" x14ac:dyDescent="0.25">
      <c r="A3" s="2" t="s">
        <v>676</v>
      </c>
      <c r="B3" s="3">
        <v>45403</v>
      </c>
      <c r="C3" s="5">
        <v>45383</v>
      </c>
      <c r="D3" s="2" t="s">
        <v>39</v>
      </c>
      <c r="E3" s="2">
        <v>6500</v>
      </c>
      <c r="F3" s="2" t="s">
        <v>42</v>
      </c>
      <c r="G3" s="2" t="s">
        <v>1036</v>
      </c>
      <c r="H3" s="4">
        <v>-2071.65</v>
      </c>
      <c r="I3" s="4">
        <v>-2071.65</v>
      </c>
      <c r="J3" s="4">
        <v>-2071.65</v>
      </c>
      <c r="K3" s="4">
        <v>2071.65</v>
      </c>
      <c r="L3" s="4"/>
      <c r="M3" s="2" t="s">
        <v>1084</v>
      </c>
      <c r="N3" s="2" t="s">
        <v>10</v>
      </c>
      <c r="O3" s="2" t="s">
        <v>10</v>
      </c>
    </row>
    <row r="4" spans="1:15" hidden="1" x14ac:dyDescent="0.25">
      <c r="A4" s="2" t="s">
        <v>176</v>
      </c>
      <c r="B4" s="3">
        <v>45516</v>
      </c>
      <c r="C4" s="5">
        <v>45505</v>
      </c>
      <c r="D4" s="2" t="s">
        <v>9</v>
      </c>
      <c r="E4" s="2">
        <v>6100</v>
      </c>
      <c r="F4" s="2" t="s">
        <v>44</v>
      </c>
      <c r="G4" s="2" t="s">
        <v>1054</v>
      </c>
      <c r="H4" s="4">
        <v>-5688.1</v>
      </c>
      <c r="I4" s="4">
        <v>-5688.1</v>
      </c>
      <c r="J4" s="4">
        <v>-5688.1</v>
      </c>
      <c r="K4" s="4">
        <v>5688.1</v>
      </c>
      <c r="L4" s="4"/>
      <c r="M4" s="2" t="s">
        <v>1084</v>
      </c>
      <c r="N4" s="2" t="s">
        <v>10</v>
      </c>
      <c r="O4" s="2" t="s">
        <v>10</v>
      </c>
    </row>
    <row r="5" spans="1:15" hidden="1" x14ac:dyDescent="0.25">
      <c r="A5" s="2" t="s">
        <v>162</v>
      </c>
      <c r="B5" s="3">
        <v>45448</v>
      </c>
      <c r="C5" s="5">
        <v>45444</v>
      </c>
      <c r="D5" s="2" t="s">
        <v>24</v>
      </c>
      <c r="E5" s="2">
        <v>6300</v>
      </c>
      <c r="F5" s="2" t="s">
        <v>23</v>
      </c>
      <c r="G5" s="2" t="s">
        <v>1045</v>
      </c>
      <c r="H5" s="4">
        <v>-801.43</v>
      </c>
      <c r="I5" s="4">
        <v>-801.43</v>
      </c>
      <c r="J5" s="4">
        <v>-801.43</v>
      </c>
      <c r="K5" s="4">
        <v>801.43</v>
      </c>
      <c r="L5" s="4"/>
      <c r="M5" s="2" t="s">
        <v>1084</v>
      </c>
      <c r="N5" s="2" t="s">
        <v>10</v>
      </c>
      <c r="O5" s="2" t="s">
        <v>10</v>
      </c>
    </row>
    <row r="6" spans="1:15" hidden="1" x14ac:dyDescent="0.25">
      <c r="A6" s="2" t="s">
        <v>564</v>
      </c>
      <c r="B6" s="3">
        <v>45578</v>
      </c>
      <c r="C6" s="5">
        <v>45566</v>
      </c>
      <c r="D6" s="2" t="s">
        <v>24</v>
      </c>
      <c r="E6" s="2">
        <v>6300</v>
      </c>
      <c r="F6" s="2" t="s">
        <v>23</v>
      </c>
      <c r="G6" s="2" t="s">
        <v>1045</v>
      </c>
      <c r="H6" s="4">
        <v>-475.54</v>
      </c>
      <c r="I6" s="4">
        <v>-475.54</v>
      </c>
      <c r="J6" s="4">
        <v>-475.54</v>
      </c>
      <c r="K6" s="4">
        <v>475.54</v>
      </c>
      <c r="L6" s="4"/>
      <c r="M6" s="2" t="s">
        <v>1084</v>
      </c>
      <c r="N6" s="2" t="s">
        <v>10</v>
      </c>
      <c r="O6" s="2" t="s">
        <v>10</v>
      </c>
    </row>
    <row r="7" spans="1:15" hidden="1" x14ac:dyDescent="0.25">
      <c r="A7" s="2" t="s">
        <v>544</v>
      </c>
      <c r="B7" s="3">
        <v>45515</v>
      </c>
      <c r="C7" s="5">
        <v>45505</v>
      </c>
      <c r="D7" s="2" t="s">
        <v>28</v>
      </c>
      <c r="E7" s="2">
        <v>6900</v>
      </c>
      <c r="F7" s="2" t="s">
        <v>195</v>
      </c>
      <c r="G7" s="2" t="s">
        <v>1048</v>
      </c>
      <c r="H7" s="4">
        <v>-76.14</v>
      </c>
      <c r="I7" s="4">
        <v>-76.14</v>
      </c>
      <c r="J7" s="4">
        <v>-76.14</v>
      </c>
      <c r="K7" s="4">
        <v>76.14</v>
      </c>
      <c r="L7" s="4"/>
      <c r="M7" s="2" t="s">
        <v>1084</v>
      </c>
      <c r="N7" s="2" t="s">
        <v>10</v>
      </c>
      <c r="O7" s="2" t="s">
        <v>10</v>
      </c>
    </row>
    <row r="8" spans="1:15" hidden="1" x14ac:dyDescent="0.25">
      <c r="A8" s="2" t="s">
        <v>33</v>
      </c>
      <c r="B8" s="3">
        <v>45438</v>
      </c>
      <c r="C8" s="5">
        <v>45413</v>
      </c>
      <c r="D8" s="2" t="s">
        <v>35</v>
      </c>
      <c r="E8" s="2">
        <v>4000</v>
      </c>
      <c r="F8" s="2" t="s">
        <v>34</v>
      </c>
      <c r="G8" s="2" t="s">
        <v>1027</v>
      </c>
      <c r="H8" s="4">
        <v>13645.92</v>
      </c>
      <c r="I8" s="4">
        <v>13645.92</v>
      </c>
      <c r="J8" s="4">
        <v>13645.92</v>
      </c>
      <c r="K8" s="4">
        <v>13645.92</v>
      </c>
      <c r="L8" s="4"/>
      <c r="M8" s="2" t="s">
        <v>1084</v>
      </c>
      <c r="N8" s="2" t="s">
        <v>10</v>
      </c>
      <c r="O8" s="2" t="s">
        <v>10</v>
      </c>
    </row>
    <row r="9" spans="1:15" hidden="1" x14ac:dyDescent="0.25">
      <c r="A9" s="2" t="s">
        <v>984</v>
      </c>
      <c r="B9" s="3">
        <v>45523</v>
      </c>
      <c r="C9" s="5">
        <v>45505</v>
      </c>
      <c r="D9" s="2" t="s">
        <v>9</v>
      </c>
      <c r="E9" s="2">
        <v>6100</v>
      </c>
      <c r="F9" s="2" t="s">
        <v>48</v>
      </c>
      <c r="G9" s="2" t="s">
        <v>1043</v>
      </c>
      <c r="H9" s="4">
        <v>-3059.73</v>
      </c>
      <c r="I9" s="4">
        <v>-3059.73</v>
      </c>
      <c r="J9" s="4">
        <v>-3059.73</v>
      </c>
      <c r="K9" s="4">
        <v>3059.73</v>
      </c>
      <c r="L9" s="4"/>
      <c r="M9" s="2" t="s">
        <v>1084</v>
      </c>
      <c r="N9" s="2" t="s">
        <v>10</v>
      </c>
      <c r="O9" s="2" t="s">
        <v>10</v>
      </c>
    </row>
    <row r="10" spans="1:15" hidden="1" x14ac:dyDescent="0.25">
      <c r="A10" s="2" t="s">
        <v>196</v>
      </c>
      <c r="B10" s="3">
        <v>45646</v>
      </c>
      <c r="C10" s="5">
        <v>45627</v>
      </c>
      <c r="D10" s="2" t="s">
        <v>52</v>
      </c>
      <c r="E10" s="2">
        <v>6000</v>
      </c>
      <c r="F10" s="2" t="s">
        <v>51</v>
      </c>
      <c r="G10" s="2" t="s">
        <v>1033</v>
      </c>
      <c r="H10" s="4">
        <v>-2819.47</v>
      </c>
      <c r="I10" s="4">
        <v>-2819.47</v>
      </c>
      <c r="J10" s="4">
        <v>-2819.47</v>
      </c>
      <c r="K10" s="4">
        <v>2819.47</v>
      </c>
      <c r="L10" s="4"/>
      <c r="M10" s="2" t="s">
        <v>1084</v>
      </c>
      <c r="N10" s="2" t="s">
        <v>10</v>
      </c>
      <c r="O10" s="2" t="s">
        <v>10</v>
      </c>
    </row>
    <row r="11" spans="1:15" hidden="1" x14ac:dyDescent="0.25">
      <c r="A11" s="2" t="s">
        <v>531</v>
      </c>
      <c r="B11" s="3">
        <v>45442</v>
      </c>
      <c r="C11" s="5">
        <v>45413</v>
      </c>
      <c r="D11" s="2" t="s">
        <v>35</v>
      </c>
      <c r="E11" s="2">
        <v>4000</v>
      </c>
      <c r="F11" s="2" t="s">
        <v>103</v>
      </c>
      <c r="G11" s="2" t="s">
        <v>1049</v>
      </c>
      <c r="H11" s="4">
        <v>23830.12</v>
      </c>
      <c r="I11" s="4">
        <v>23830.12</v>
      </c>
      <c r="J11" s="4">
        <v>23830.12</v>
      </c>
      <c r="K11" s="4">
        <v>23830.12</v>
      </c>
      <c r="L11" s="4"/>
      <c r="M11" s="2" t="s">
        <v>1084</v>
      </c>
      <c r="N11" s="2" t="s">
        <v>10</v>
      </c>
      <c r="O11" s="2" t="s">
        <v>10</v>
      </c>
    </row>
    <row r="12" spans="1:15" hidden="1" x14ac:dyDescent="0.25">
      <c r="A12" s="2" t="s">
        <v>880</v>
      </c>
      <c r="B12" s="3">
        <v>45348</v>
      </c>
      <c r="C12" s="5">
        <v>45323</v>
      </c>
      <c r="D12" s="2" t="s">
        <v>13</v>
      </c>
      <c r="E12" s="2">
        <v>6400</v>
      </c>
      <c r="F12" s="2" t="s">
        <v>15</v>
      </c>
      <c r="G12" s="2" t="s">
        <v>1044</v>
      </c>
      <c r="H12" s="4">
        <v>-3339.96</v>
      </c>
      <c r="I12" s="4">
        <v>-3339.96</v>
      </c>
      <c r="J12" s="4">
        <v>-3339.96</v>
      </c>
      <c r="K12" s="4">
        <v>3339.96</v>
      </c>
      <c r="L12" s="4"/>
      <c r="M12" s="2" t="s">
        <v>1084</v>
      </c>
      <c r="N12" s="2" t="s">
        <v>10</v>
      </c>
      <c r="O12" s="2" t="s">
        <v>10</v>
      </c>
    </row>
    <row r="13" spans="1:15" hidden="1" x14ac:dyDescent="0.25">
      <c r="A13" s="2" t="s">
        <v>445</v>
      </c>
      <c r="B13" s="3">
        <v>45441</v>
      </c>
      <c r="C13" s="5">
        <v>45413</v>
      </c>
      <c r="D13" s="2" t="s">
        <v>31</v>
      </c>
      <c r="E13" s="2">
        <v>4900</v>
      </c>
      <c r="F13" s="2" t="s">
        <v>79</v>
      </c>
      <c r="G13" s="2" t="s">
        <v>1026</v>
      </c>
      <c r="H13" s="4">
        <v>69.61</v>
      </c>
      <c r="I13" s="4">
        <v>69.61</v>
      </c>
      <c r="J13" s="4">
        <v>69.61</v>
      </c>
      <c r="K13" s="4">
        <v>69.61</v>
      </c>
      <c r="L13" s="4"/>
      <c r="M13" s="2" t="s">
        <v>1084</v>
      </c>
      <c r="N13" s="2" t="s">
        <v>10</v>
      </c>
      <c r="O13" s="2" t="s">
        <v>10</v>
      </c>
    </row>
    <row r="14" spans="1:15" hidden="1" x14ac:dyDescent="0.25">
      <c r="A14" s="2" t="s">
        <v>277</v>
      </c>
      <c r="B14" s="3">
        <v>45598</v>
      </c>
      <c r="C14" s="5">
        <v>45597</v>
      </c>
      <c r="D14" s="2" t="s">
        <v>39</v>
      </c>
      <c r="E14" s="2">
        <v>6500</v>
      </c>
      <c r="F14" s="2" t="s">
        <v>42</v>
      </c>
      <c r="G14" s="2" t="s">
        <v>1036</v>
      </c>
      <c r="H14" s="4">
        <v>-1780.58</v>
      </c>
      <c r="I14" s="4">
        <v>-1780.58</v>
      </c>
      <c r="J14" s="4">
        <v>-1780.58</v>
      </c>
      <c r="K14" s="4">
        <v>1780.58</v>
      </c>
      <c r="L14" s="4"/>
      <c r="M14" s="2" t="s">
        <v>1084</v>
      </c>
      <c r="N14" s="2" t="s">
        <v>10</v>
      </c>
      <c r="O14" s="2" t="s">
        <v>10</v>
      </c>
    </row>
    <row r="15" spans="1:15" hidden="1" x14ac:dyDescent="0.25">
      <c r="A15" s="2" t="s">
        <v>140</v>
      </c>
      <c r="B15" s="3">
        <v>45371</v>
      </c>
      <c r="C15" s="5">
        <v>45352</v>
      </c>
      <c r="D15" s="2" t="s">
        <v>39</v>
      </c>
      <c r="E15" s="2">
        <v>6500</v>
      </c>
      <c r="F15" s="2" t="s">
        <v>42</v>
      </c>
      <c r="G15" s="2" t="s">
        <v>1036</v>
      </c>
      <c r="H15" s="4">
        <v>-2137.5</v>
      </c>
      <c r="I15" s="4">
        <v>-2137.5</v>
      </c>
      <c r="J15" s="4">
        <v>-2137.5</v>
      </c>
      <c r="K15" s="4">
        <v>2137.5</v>
      </c>
      <c r="L15" s="4"/>
      <c r="M15" s="2" t="s">
        <v>1084</v>
      </c>
      <c r="N15" s="2" t="s">
        <v>10</v>
      </c>
      <c r="O15" s="2" t="s">
        <v>10</v>
      </c>
    </row>
    <row r="16" spans="1:15" hidden="1" x14ac:dyDescent="0.25">
      <c r="A16" s="2" t="s">
        <v>424</v>
      </c>
      <c r="B16" s="3">
        <v>45638</v>
      </c>
      <c r="C16" s="5">
        <v>45627</v>
      </c>
      <c r="D16" s="2" t="s">
        <v>39</v>
      </c>
      <c r="E16" s="2">
        <v>6500</v>
      </c>
      <c r="F16" s="2" t="s">
        <v>69</v>
      </c>
      <c r="G16" s="2" t="s">
        <v>1052</v>
      </c>
      <c r="H16" s="4">
        <v>-1083.78</v>
      </c>
      <c r="I16" s="4">
        <v>-1083.78</v>
      </c>
      <c r="J16" s="4">
        <v>-1083.78</v>
      </c>
      <c r="K16" s="4">
        <v>1083.78</v>
      </c>
      <c r="L16" s="4"/>
      <c r="M16" s="2" t="s">
        <v>1084</v>
      </c>
      <c r="N16" s="2" t="s">
        <v>10</v>
      </c>
      <c r="O16" s="2" t="s">
        <v>10</v>
      </c>
    </row>
    <row r="17" spans="1:15" hidden="1" x14ac:dyDescent="0.25">
      <c r="A17" s="2" t="s">
        <v>949</v>
      </c>
      <c r="B17" s="3">
        <v>45506</v>
      </c>
      <c r="C17" s="5">
        <v>45505</v>
      </c>
      <c r="D17" s="2" t="s">
        <v>39</v>
      </c>
      <c r="E17" s="2">
        <v>6500</v>
      </c>
      <c r="F17" s="2" t="s">
        <v>38</v>
      </c>
      <c r="G17" s="2" t="s">
        <v>1029</v>
      </c>
      <c r="H17" s="4">
        <v>-7347.26</v>
      </c>
      <c r="I17" s="4">
        <v>-7347.26</v>
      </c>
      <c r="J17" s="4">
        <v>-7347.26</v>
      </c>
      <c r="K17" s="4">
        <v>7347.26</v>
      </c>
      <c r="L17" s="4"/>
      <c r="M17" s="2" t="s">
        <v>1084</v>
      </c>
      <c r="N17" s="2" t="s">
        <v>10</v>
      </c>
      <c r="O17" s="2" t="s">
        <v>10</v>
      </c>
    </row>
    <row r="18" spans="1:15" hidden="1" x14ac:dyDescent="0.25">
      <c r="A18" s="2" t="s">
        <v>306</v>
      </c>
      <c r="B18" s="3">
        <v>45511</v>
      </c>
      <c r="C18" s="5">
        <v>45505</v>
      </c>
      <c r="D18" s="2" t="s">
        <v>13</v>
      </c>
      <c r="E18" s="2">
        <v>6400</v>
      </c>
      <c r="F18" s="2" t="s">
        <v>15</v>
      </c>
      <c r="G18" s="2" t="s">
        <v>1044</v>
      </c>
      <c r="H18" s="4">
        <v>-2159.8000000000002</v>
      </c>
      <c r="I18" s="4">
        <v>-2159.8000000000002</v>
      </c>
      <c r="J18" s="4">
        <v>-2159.8000000000002</v>
      </c>
      <c r="K18" s="4">
        <v>2159.8000000000002</v>
      </c>
      <c r="L18" s="4"/>
      <c r="M18" s="2" t="s">
        <v>1084</v>
      </c>
      <c r="N18" s="2" t="s">
        <v>10</v>
      </c>
      <c r="O18" s="2" t="s">
        <v>10</v>
      </c>
    </row>
    <row r="19" spans="1:15" hidden="1" x14ac:dyDescent="0.25">
      <c r="A19" s="2" t="s">
        <v>108</v>
      </c>
      <c r="B19" s="3">
        <v>45407</v>
      </c>
      <c r="C19" s="5">
        <v>45383</v>
      </c>
      <c r="D19" s="2" t="s">
        <v>18</v>
      </c>
      <c r="E19" s="2">
        <v>5100</v>
      </c>
      <c r="F19" s="2" t="s">
        <v>17</v>
      </c>
      <c r="G19" s="2" t="s">
        <v>1037</v>
      </c>
      <c r="H19" s="4">
        <v>-7082.21</v>
      </c>
      <c r="I19" s="4">
        <v>-7082.21</v>
      </c>
      <c r="J19" s="4">
        <v>-7082.21</v>
      </c>
      <c r="K19" s="4">
        <v>7082.21</v>
      </c>
      <c r="L19" s="4"/>
      <c r="M19" s="2" t="s">
        <v>1084</v>
      </c>
      <c r="N19" s="2" t="s">
        <v>10</v>
      </c>
      <c r="O19" s="2" t="s">
        <v>10</v>
      </c>
    </row>
    <row r="20" spans="1:15" hidden="1" x14ac:dyDescent="0.25">
      <c r="A20" s="2" t="s">
        <v>631</v>
      </c>
      <c r="B20" s="3">
        <v>45627</v>
      </c>
      <c r="C20" s="5">
        <v>45627</v>
      </c>
      <c r="D20" s="2" t="s">
        <v>28</v>
      </c>
      <c r="E20" s="2">
        <v>6900</v>
      </c>
      <c r="F20" s="2" t="s">
        <v>195</v>
      </c>
      <c r="G20" s="2" t="s">
        <v>1048</v>
      </c>
      <c r="H20" s="4">
        <v>-82.12</v>
      </c>
      <c r="I20" s="4">
        <v>-82.12</v>
      </c>
      <c r="J20" s="4">
        <v>-82.12</v>
      </c>
      <c r="K20" s="4">
        <v>82.12</v>
      </c>
      <c r="L20" s="4"/>
      <c r="M20" s="2" t="s">
        <v>1084</v>
      </c>
      <c r="N20" s="2" t="s">
        <v>10</v>
      </c>
      <c r="O20" s="2" t="s">
        <v>10</v>
      </c>
    </row>
    <row r="21" spans="1:15" hidden="1" x14ac:dyDescent="0.25">
      <c r="A21" s="2" t="s">
        <v>248</v>
      </c>
      <c r="B21" s="3">
        <v>45305</v>
      </c>
      <c r="C21" s="5">
        <v>45292</v>
      </c>
      <c r="D21" s="2" t="s">
        <v>24</v>
      </c>
      <c r="E21" s="2">
        <v>6300</v>
      </c>
      <c r="F21" s="2" t="s">
        <v>127</v>
      </c>
      <c r="G21" s="2" t="s">
        <v>1035</v>
      </c>
      <c r="H21" s="4">
        <v>-184.77</v>
      </c>
      <c r="I21" s="4">
        <v>-184.77</v>
      </c>
      <c r="J21" s="4">
        <v>-184.77</v>
      </c>
      <c r="K21" s="4">
        <v>184.77</v>
      </c>
      <c r="L21" s="4"/>
      <c r="M21" s="2" t="s">
        <v>1084</v>
      </c>
      <c r="N21" s="2" t="s">
        <v>10</v>
      </c>
      <c r="O21" s="2" t="s">
        <v>10</v>
      </c>
    </row>
    <row r="22" spans="1:15" hidden="1" x14ac:dyDescent="0.25">
      <c r="A22" s="2" t="s">
        <v>850</v>
      </c>
      <c r="B22" s="3">
        <v>45401</v>
      </c>
      <c r="C22" s="5">
        <v>45383</v>
      </c>
      <c r="D22" s="2" t="s">
        <v>13</v>
      </c>
      <c r="E22" s="2">
        <v>6400</v>
      </c>
      <c r="F22" s="2" t="s">
        <v>12</v>
      </c>
      <c r="G22" s="2" t="s">
        <v>1032</v>
      </c>
      <c r="H22" s="4">
        <v>-2878.61</v>
      </c>
      <c r="I22" s="4">
        <v>-2878.61</v>
      </c>
      <c r="J22" s="4">
        <v>-2878.61</v>
      </c>
      <c r="K22" s="4">
        <v>2878.61</v>
      </c>
      <c r="L22" s="4"/>
      <c r="M22" s="2" t="s">
        <v>1084</v>
      </c>
      <c r="N22" s="2" t="s">
        <v>10</v>
      </c>
      <c r="O22" s="2" t="s">
        <v>10</v>
      </c>
    </row>
    <row r="23" spans="1:15" hidden="1" x14ac:dyDescent="0.25">
      <c r="A23" s="2" t="s">
        <v>818</v>
      </c>
      <c r="B23" s="3">
        <v>45444</v>
      </c>
      <c r="C23" s="5">
        <v>45444</v>
      </c>
      <c r="D23" s="2" t="s">
        <v>59</v>
      </c>
      <c r="E23" s="2">
        <v>6200</v>
      </c>
      <c r="F23" s="2" t="s">
        <v>67</v>
      </c>
      <c r="G23" s="2" t="s">
        <v>1028</v>
      </c>
      <c r="H23" s="4">
        <v>-902.86</v>
      </c>
      <c r="I23" s="4">
        <v>-902.86</v>
      </c>
      <c r="J23" s="4">
        <v>-902.86</v>
      </c>
      <c r="K23" s="4">
        <v>902.86</v>
      </c>
      <c r="L23" s="4"/>
      <c r="M23" s="2" t="s">
        <v>1084</v>
      </c>
      <c r="N23" s="2" t="s">
        <v>10</v>
      </c>
      <c r="O23" s="2" t="s">
        <v>10</v>
      </c>
    </row>
    <row r="24" spans="1:15" hidden="1" x14ac:dyDescent="0.25">
      <c r="A24" s="2" t="s">
        <v>939</v>
      </c>
      <c r="B24" s="3">
        <v>45466</v>
      </c>
      <c r="C24" s="5">
        <v>45444</v>
      </c>
      <c r="D24" s="2" t="s">
        <v>18</v>
      </c>
      <c r="E24" s="2">
        <v>5100</v>
      </c>
      <c r="F24" s="2" t="s">
        <v>56</v>
      </c>
      <c r="G24" s="2" t="s">
        <v>1025</v>
      </c>
      <c r="H24" s="4">
        <v>-2462.58</v>
      </c>
      <c r="I24" s="4">
        <v>-2462.58</v>
      </c>
      <c r="J24" s="4">
        <v>-2462.58</v>
      </c>
      <c r="K24" s="4">
        <v>2462.58</v>
      </c>
      <c r="L24" s="4"/>
      <c r="M24" s="2" t="s">
        <v>1084</v>
      </c>
      <c r="N24" s="2" t="s">
        <v>10</v>
      </c>
      <c r="O24" s="2" t="s">
        <v>10</v>
      </c>
    </row>
    <row r="25" spans="1:15" hidden="1" x14ac:dyDescent="0.25">
      <c r="A25" s="2" t="s">
        <v>314</v>
      </c>
      <c r="B25" s="3">
        <v>45465</v>
      </c>
      <c r="C25" s="5">
        <v>45444</v>
      </c>
      <c r="D25" s="2" t="s">
        <v>31</v>
      </c>
      <c r="E25" s="2">
        <v>4900</v>
      </c>
      <c r="F25" s="2" t="s">
        <v>79</v>
      </c>
      <c r="G25" s="2" t="s">
        <v>1026</v>
      </c>
      <c r="H25" s="4">
        <v>368.66</v>
      </c>
      <c r="I25" s="4">
        <v>368.66</v>
      </c>
      <c r="J25" s="4">
        <v>368.66</v>
      </c>
      <c r="K25" s="4">
        <v>368.66</v>
      </c>
      <c r="L25" s="4"/>
      <c r="M25" s="2" t="s">
        <v>1084</v>
      </c>
      <c r="N25" s="2" t="s">
        <v>10</v>
      </c>
      <c r="O25" s="2" t="s">
        <v>10</v>
      </c>
    </row>
    <row r="26" spans="1:15" hidden="1" x14ac:dyDescent="0.25">
      <c r="A26" s="2" t="s">
        <v>773</v>
      </c>
      <c r="B26" s="3">
        <v>45345</v>
      </c>
      <c r="C26" s="5">
        <v>45323</v>
      </c>
      <c r="D26" s="2" t="s">
        <v>39</v>
      </c>
      <c r="E26" s="2">
        <v>6500</v>
      </c>
      <c r="F26" s="2" t="s">
        <v>69</v>
      </c>
      <c r="G26" s="2" t="s">
        <v>1052</v>
      </c>
      <c r="H26" s="4">
        <v>-543.34</v>
      </c>
      <c r="I26" s="4">
        <v>-543.34</v>
      </c>
      <c r="J26" s="4">
        <v>-543.34</v>
      </c>
      <c r="K26" s="4">
        <v>543.34</v>
      </c>
      <c r="L26" s="4"/>
      <c r="M26" s="2" t="s">
        <v>1084</v>
      </c>
      <c r="N26" s="2" t="s">
        <v>10</v>
      </c>
      <c r="O26" s="2" t="s">
        <v>10</v>
      </c>
    </row>
    <row r="27" spans="1:15" hidden="1" x14ac:dyDescent="0.25">
      <c r="A27" s="2" t="s">
        <v>946</v>
      </c>
      <c r="B27" s="3">
        <v>45374</v>
      </c>
      <c r="C27" s="5">
        <v>45352</v>
      </c>
      <c r="D27" s="2" t="s">
        <v>9</v>
      </c>
      <c r="E27" s="2">
        <v>6100</v>
      </c>
      <c r="F27" s="2" t="s">
        <v>48</v>
      </c>
      <c r="G27" s="2" t="s">
        <v>1043</v>
      </c>
      <c r="H27" s="4">
        <v>-2580.5</v>
      </c>
      <c r="I27" s="4">
        <v>-2580.5</v>
      </c>
      <c r="J27" s="4">
        <v>-2580.5</v>
      </c>
      <c r="K27" s="4">
        <v>2580.5</v>
      </c>
      <c r="L27" s="4"/>
      <c r="M27" s="2" t="s">
        <v>1084</v>
      </c>
      <c r="N27" s="2" t="s">
        <v>10</v>
      </c>
      <c r="O27" s="2" t="s">
        <v>10</v>
      </c>
    </row>
    <row r="28" spans="1:15" hidden="1" x14ac:dyDescent="0.25">
      <c r="A28" s="2" t="s">
        <v>956</v>
      </c>
      <c r="B28" s="3">
        <v>45326</v>
      </c>
      <c r="C28" s="5">
        <v>45323</v>
      </c>
      <c r="D28" s="2" t="s">
        <v>24</v>
      </c>
      <c r="E28" s="2">
        <v>6300</v>
      </c>
      <c r="F28" s="2" t="s">
        <v>23</v>
      </c>
      <c r="G28" s="2" t="s">
        <v>1045</v>
      </c>
      <c r="H28" s="4">
        <v>-567.98</v>
      </c>
      <c r="I28" s="4">
        <v>-567.98</v>
      </c>
      <c r="J28" s="4">
        <v>-567.98</v>
      </c>
      <c r="K28" s="4">
        <v>567.98</v>
      </c>
      <c r="L28" s="4"/>
      <c r="M28" s="2" t="s">
        <v>1084</v>
      </c>
      <c r="N28" s="2" t="s">
        <v>10</v>
      </c>
      <c r="O28" s="2" t="s">
        <v>10</v>
      </c>
    </row>
    <row r="29" spans="1:15" hidden="1" x14ac:dyDescent="0.25">
      <c r="A29" s="2" t="s">
        <v>537</v>
      </c>
      <c r="B29" s="3">
        <v>45500</v>
      </c>
      <c r="C29" s="5">
        <v>45474</v>
      </c>
      <c r="D29" s="2" t="s">
        <v>28</v>
      </c>
      <c r="E29" s="2">
        <v>6900</v>
      </c>
      <c r="F29" s="2" t="s">
        <v>195</v>
      </c>
      <c r="G29" s="2" t="s">
        <v>1048</v>
      </c>
      <c r="H29" s="4">
        <v>-113.87</v>
      </c>
      <c r="I29" s="4">
        <v>-113.87</v>
      </c>
      <c r="J29" s="4">
        <v>-113.87</v>
      </c>
      <c r="K29" s="4">
        <v>113.87</v>
      </c>
      <c r="L29" s="4"/>
      <c r="M29" s="2" t="s">
        <v>1084</v>
      </c>
      <c r="N29" s="2" t="s">
        <v>10</v>
      </c>
      <c r="O29" s="2" t="s">
        <v>10</v>
      </c>
    </row>
    <row r="30" spans="1:15" hidden="1" x14ac:dyDescent="0.25">
      <c r="A30" s="2" t="s">
        <v>787</v>
      </c>
      <c r="B30" s="3">
        <v>45420</v>
      </c>
      <c r="C30" s="5">
        <v>45413</v>
      </c>
      <c r="D30" s="2" t="s">
        <v>13</v>
      </c>
      <c r="E30" s="2">
        <v>6400</v>
      </c>
      <c r="F30" s="2" t="s">
        <v>21</v>
      </c>
      <c r="G30" s="2" t="s">
        <v>1030</v>
      </c>
      <c r="H30" s="4">
        <v>-804.88</v>
      </c>
      <c r="I30" s="4">
        <v>-804.88</v>
      </c>
      <c r="J30" s="4">
        <v>-804.88</v>
      </c>
      <c r="K30" s="4">
        <v>804.88</v>
      </c>
      <c r="L30" s="4"/>
      <c r="M30" s="2" t="s">
        <v>1084</v>
      </c>
      <c r="N30" s="2" t="s">
        <v>10</v>
      </c>
      <c r="O30" s="2" t="s">
        <v>10</v>
      </c>
    </row>
    <row r="31" spans="1:15" hidden="1" x14ac:dyDescent="0.25">
      <c r="A31" s="2" t="s">
        <v>501</v>
      </c>
      <c r="B31" s="3">
        <v>45498</v>
      </c>
      <c r="C31" s="5">
        <v>45474</v>
      </c>
      <c r="D31" s="2" t="s">
        <v>24</v>
      </c>
      <c r="E31" s="2">
        <v>6300</v>
      </c>
      <c r="F31" s="2" t="s">
        <v>94</v>
      </c>
      <c r="G31" s="2" t="s">
        <v>1053</v>
      </c>
      <c r="H31" s="4">
        <v>-832.93</v>
      </c>
      <c r="I31" s="4">
        <v>-832.93</v>
      </c>
      <c r="J31" s="4">
        <v>-832.93</v>
      </c>
      <c r="K31" s="4">
        <v>832.93</v>
      </c>
      <c r="L31" s="4"/>
      <c r="M31" s="2" t="s">
        <v>1084</v>
      </c>
      <c r="N31" s="2" t="s">
        <v>10</v>
      </c>
      <c r="O31" s="2" t="s">
        <v>10</v>
      </c>
    </row>
    <row r="32" spans="1:15" hidden="1" x14ac:dyDescent="0.25">
      <c r="A32" s="2" t="s">
        <v>534</v>
      </c>
      <c r="B32" s="3">
        <v>45507</v>
      </c>
      <c r="C32" s="5">
        <v>45505</v>
      </c>
      <c r="D32" s="2" t="s">
        <v>24</v>
      </c>
      <c r="E32" s="2">
        <v>6300</v>
      </c>
      <c r="F32" s="2" t="s">
        <v>127</v>
      </c>
      <c r="G32" s="2" t="s">
        <v>1035</v>
      </c>
      <c r="H32" s="4">
        <v>-582.33000000000004</v>
      </c>
      <c r="I32" s="4">
        <v>-582.33000000000004</v>
      </c>
      <c r="J32" s="4">
        <v>-582.33000000000004</v>
      </c>
      <c r="K32" s="4">
        <v>582.33000000000004</v>
      </c>
      <c r="L32" s="4"/>
      <c r="M32" s="2" t="s">
        <v>1084</v>
      </c>
      <c r="N32" s="2" t="s">
        <v>10</v>
      </c>
      <c r="O32" s="2" t="s">
        <v>10</v>
      </c>
    </row>
    <row r="33" spans="1:15" hidden="1" x14ac:dyDescent="0.25">
      <c r="A33" s="2" t="s">
        <v>464</v>
      </c>
      <c r="B33" s="3">
        <v>45548</v>
      </c>
      <c r="C33" s="5">
        <v>45536</v>
      </c>
      <c r="D33" s="2" t="s">
        <v>52</v>
      </c>
      <c r="E33" s="2">
        <v>6000</v>
      </c>
      <c r="F33" s="2" t="s">
        <v>51</v>
      </c>
      <c r="G33" s="2" t="s">
        <v>1033</v>
      </c>
      <c r="H33" s="4">
        <v>-1524.24</v>
      </c>
      <c r="I33" s="4">
        <v>-1524.24</v>
      </c>
      <c r="J33" s="4">
        <v>-1524.24</v>
      </c>
      <c r="K33" s="4">
        <v>1524.24</v>
      </c>
      <c r="L33" s="4"/>
      <c r="M33" s="2" t="s">
        <v>1084</v>
      </c>
      <c r="N33" s="2" t="s">
        <v>10</v>
      </c>
      <c r="O33" s="2" t="s">
        <v>10</v>
      </c>
    </row>
    <row r="34" spans="1:15" hidden="1" x14ac:dyDescent="0.25">
      <c r="A34" s="2" t="s">
        <v>781</v>
      </c>
      <c r="B34" s="3">
        <v>45491</v>
      </c>
      <c r="C34" s="5">
        <v>45474</v>
      </c>
      <c r="D34" s="2" t="s">
        <v>35</v>
      </c>
      <c r="E34" s="2">
        <v>4000</v>
      </c>
      <c r="F34" s="2" t="s">
        <v>34</v>
      </c>
      <c r="G34" s="2" t="s">
        <v>1027</v>
      </c>
      <c r="H34" s="4">
        <v>7381.96</v>
      </c>
      <c r="I34" s="4">
        <v>7381.96</v>
      </c>
      <c r="J34" s="4">
        <v>7381.96</v>
      </c>
      <c r="K34" s="4">
        <v>7381.96</v>
      </c>
      <c r="L34" s="4"/>
      <c r="M34" s="2" t="s">
        <v>1084</v>
      </c>
      <c r="N34" s="2" t="s">
        <v>10</v>
      </c>
      <c r="O34" s="2" t="s">
        <v>10</v>
      </c>
    </row>
    <row r="35" spans="1:15" hidden="1" x14ac:dyDescent="0.25">
      <c r="A35" s="2" t="s">
        <v>538</v>
      </c>
      <c r="B35" s="3">
        <v>45528</v>
      </c>
      <c r="C35" s="5">
        <v>45505</v>
      </c>
      <c r="D35" s="2" t="s">
        <v>13</v>
      </c>
      <c r="E35" s="2">
        <v>6400</v>
      </c>
      <c r="F35" s="2" t="s">
        <v>12</v>
      </c>
      <c r="G35" s="2" t="s">
        <v>1032</v>
      </c>
      <c r="H35" s="4">
        <v>-292.26</v>
      </c>
      <c r="I35" s="4">
        <v>-292.26</v>
      </c>
      <c r="J35" s="4">
        <v>-292.26</v>
      </c>
      <c r="K35" s="4">
        <v>292.26</v>
      </c>
      <c r="L35" s="4"/>
      <c r="M35" s="2" t="s">
        <v>1084</v>
      </c>
      <c r="N35" s="2" t="s">
        <v>10</v>
      </c>
      <c r="O35" s="2" t="s">
        <v>10</v>
      </c>
    </row>
    <row r="36" spans="1:15" hidden="1" x14ac:dyDescent="0.25">
      <c r="A36" s="2" t="s">
        <v>86</v>
      </c>
      <c r="B36" s="3">
        <v>45506</v>
      </c>
      <c r="C36" s="5">
        <v>45505</v>
      </c>
      <c r="D36" s="2" t="s">
        <v>28</v>
      </c>
      <c r="E36" s="2">
        <v>6900</v>
      </c>
      <c r="F36" s="2" t="s">
        <v>27</v>
      </c>
      <c r="G36" s="2" t="s">
        <v>1041</v>
      </c>
      <c r="H36" s="4">
        <v>-23.71</v>
      </c>
      <c r="I36" s="4">
        <v>-23.71</v>
      </c>
      <c r="J36" s="4">
        <v>-23.71</v>
      </c>
      <c r="K36" s="4">
        <v>23.71</v>
      </c>
      <c r="L36" s="4"/>
      <c r="M36" s="2" t="s">
        <v>1084</v>
      </c>
      <c r="N36" s="2" t="s">
        <v>10</v>
      </c>
      <c r="O36" s="2" t="s">
        <v>10</v>
      </c>
    </row>
    <row r="37" spans="1:15" hidden="1" x14ac:dyDescent="0.25">
      <c r="A37" s="2" t="s">
        <v>88</v>
      </c>
      <c r="B37" s="3">
        <v>45530</v>
      </c>
      <c r="C37" s="5">
        <v>45505</v>
      </c>
      <c r="D37" s="2" t="s">
        <v>35</v>
      </c>
      <c r="E37" s="2">
        <v>4000</v>
      </c>
      <c r="F37" s="2" t="s">
        <v>34</v>
      </c>
      <c r="G37" s="2" t="s">
        <v>1027</v>
      </c>
      <c r="H37" s="4">
        <v>4232</v>
      </c>
      <c r="I37" s="4">
        <v>4232</v>
      </c>
      <c r="J37" s="4">
        <v>4232</v>
      </c>
      <c r="K37" s="4">
        <v>4232</v>
      </c>
      <c r="L37" s="4"/>
      <c r="M37" s="2" t="s">
        <v>1084</v>
      </c>
      <c r="N37" s="2" t="s">
        <v>10</v>
      </c>
      <c r="O37" s="2" t="s">
        <v>10</v>
      </c>
    </row>
    <row r="38" spans="1:15" hidden="1" x14ac:dyDescent="0.25">
      <c r="A38" s="2" t="s">
        <v>648</v>
      </c>
      <c r="B38" s="3">
        <v>45517</v>
      </c>
      <c r="C38" s="5">
        <v>45505</v>
      </c>
      <c r="D38" s="2" t="s">
        <v>28</v>
      </c>
      <c r="E38" s="2">
        <v>6900</v>
      </c>
      <c r="F38" s="2" t="s">
        <v>195</v>
      </c>
      <c r="G38" s="2" t="s">
        <v>1048</v>
      </c>
      <c r="H38" s="4">
        <v>-61.97</v>
      </c>
      <c r="I38" s="4">
        <v>-61.97</v>
      </c>
      <c r="J38" s="4">
        <v>-61.97</v>
      </c>
      <c r="K38" s="4">
        <v>61.97</v>
      </c>
      <c r="L38" s="4"/>
      <c r="M38" s="2" t="s">
        <v>1084</v>
      </c>
      <c r="N38" s="2" t="s">
        <v>10</v>
      </c>
      <c r="O38" s="2" t="s">
        <v>10</v>
      </c>
    </row>
    <row r="39" spans="1:15" hidden="1" x14ac:dyDescent="0.25">
      <c r="A39" s="2" t="s">
        <v>1023</v>
      </c>
      <c r="B39" s="3">
        <v>45407</v>
      </c>
      <c r="C39" s="5">
        <v>45383</v>
      </c>
      <c r="D39" s="2" t="s">
        <v>28</v>
      </c>
      <c r="E39" s="2">
        <v>6900</v>
      </c>
      <c r="F39" s="2" t="s">
        <v>27</v>
      </c>
      <c r="G39" s="2" t="s">
        <v>1041</v>
      </c>
      <c r="H39" s="4">
        <v>-138.66999999999999</v>
      </c>
      <c r="I39" s="4">
        <v>-138.66999999999999</v>
      </c>
      <c r="J39" s="4">
        <v>-138.66999999999999</v>
      </c>
      <c r="K39" s="4">
        <v>138.66999999999999</v>
      </c>
      <c r="L39" s="4"/>
      <c r="M39" s="2" t="s">
        <v>1084</v>
      </c>
      <c r="N39" s="2" t="s">
        <v>10</v>
      </c>
      <c r="O39" s="2" t="s">
        <v>10</v>
      </c>
    </row>
    <row r="40" spans="1:15" hidden="1" x14ac:dyDescent="0.25">
      <c r="A40" s="2" t="s">
        <v>555</v>
      </c>
      <c r="B40" s="3">
        <v>45381</v>
      </c>
      <c r="C40" s="5">
        <v>45352</v>
      </c>
      <c r="D40" s="2" t="s">
        <v>52</v>
      </c>
      <c r="E40" s="2">
        <v>6000</v>
      </c>
      <c r="F40" s="2" t="s">
        <v>51</v>
      </c>
      <c r="G40" s="2" t="s">
        <v>1033</v>
      </c>
      <c r="H40" s="4">
        <v>-9124.89</v>
      </c>
      <c r="I40" s="4">
        <v>-9124.89</v>
      </c>
      <c r="J40" s="4">
        <v>-9124.89</v>
      </c>
      <c r="K40" s="4">
        <v>9124.89</v>
      </c>
      <c r="L40" s="4"/>
      <c r="M40" s="2" t="s">
        <v>1084</v>
      </c>
      <c r="N40" s="2" t="s">
        <v>10</v>
      </c>
      <c r="O40" s="2" t="s">
        <v>10</v>
      </c>
    </row>
    <row r="41" spans="1:15" hidden="1" x14ac:dyDescent="0.25">
      <c r="A41" s="2" t="s">
        <v>504</v>
      </c>
      <c r="B41" s="3">
        <v>45579</v>
      </c>
      <c r="C41" s="5">
        <v>45566</v>
      </c>
      <c r="D41" s="2" t="s">
        <v>9</v>
      </c>
      <c r="E41" s="2">
        <v>6100</v>
      </c>
      <c r="F41" s="2" t="s">
        <v>44</v>
      </c>
      <c r="G41" s="2" t="s">
        <v>1054</v>
      </c>
      <c r="H41" s="4">
        <v>-3197.72</v>
      </c>
      <c r="I41" s="4">
        <v>-3197.72</v>
      </c>
      <c r="J41" s="4">
        <v>-3197.72</v>
      </c>
      <c r="K41" s="4">
        <v>3197.72</v>
      </c>
      <c r="L41" s="4"/>
      <c r="M41" s="2" t="s">
        <v>1084</v>
      </c>
      <c r="N41" s="2" t="s">
        <v>10</v>
      </c>
      <c r="O41" s="2" t="s">
        <v>10</v>
      </c>
    </row>
    <row r="42" spans="1:15" hidden="1" x14ac:dyDescent="0.25">
      <c r="A42" s="2" t="s">
        <v>404</v>
      </c>
      <c r="B42" s="3">
        <v>45417</v>
      </c>
      <c r="C42" s="5">
        <v>45413</v>
      </c>
      <c r="D42" s="2" t="s">
        <v>18</v>
      </c>
      <c r="E42" s="2">
        <v>5100</v>
      </c>
      <c r="F42" s="2" t="s">
        <v>17</v>
      </c>
      <c r="G42" s="2" t="s">
        <v>1037</v>
      </c>
      <c r="H42" s="4">
        <v>-9075.49</v>
      </c>
      <c r="I42" s="4">
        <v>-9075.49</v>
      </c>
      <c r="J42" s="4">
        <v>-9075.49</v>
      </c>
      <c r="K42" s="4">
        <v>9075.49</v>
      </c>
      <c r="L42" s="4"/>
      <c r="M42" s="2" t="s">
        <v>1084</v>
      </c>
      <c r="N42" s="2" t="s">
        <v>10</v>
      </c>
      <c r="O42" s="2" t="s">
        <v>10</v>
      </c>
    </row>
    <row r="43" spans="1:15" hidden="1" x14ac:dyDescent="0.25">
      <c r="A43" s="2" t="s">
        <v>82</v>
      </c>
      <c r="B43" s="3">
        <v>45492</v>
      </c>
      <c r="C43" s="5">
        <v>45474</v>
      </c>
      <c r="D43" s="2" t="s">
        <v>39</v>
      </c>
      <c r="E43" s="2">
        <v>6500</v>
      </c>
      <c r="F43" s="2" t="s">
        <v>42</v>
      </c>
      <c r="G43" s="2" t="s">
        <v>1036</v>
      </c>
      <c r="H43" s="4">
        <v>-3861.35</v>
      </c>
      <c r="I43" s="4">
        <v>-3861.35</v>
      </c>
      <c r="J43" s="4">
        <v>-3861.35</v>
      </c>
      <c r="K43" s="4">
        <v>3861.35</v>
      </c>
      <c r="L43" s="4"/>
      <c r="M43" s="2" t="s">
        <v>1084</v>
      </c>
      <c r="N43" s="2" t="s">
        <v>10</v>
      </c>
      <c r="O43" s="2" t="s">
        <v>10</v>
      </c>
    </row>
    <row r="44" spans="1:15" hidden="1" x14ac:dyDescent="0.25">
      <c r="A44" s="2" t="s">
        <v>584</v>
      </c>
      <c r="B44" s="3">
        <v>45363</v>
      </c>
      <c r="C44" s="5">
        <v>45352</v>
      </c>
      <c r="D44" s="2" t="s">
        <v>39</v>
      </c>
      <c r="E44" s="2">
        <v>6500</v>
      </c>
      <c r="F44" s="2" t="s">
        <v>42</v>
      </c>
      <c r="G44" s="2" t="s">
        <v>1036</v>
      </c>
      <c r="H44" s="4">
        <v>-2840.3</v>
      </c>
      <c r="I44" s="4">
        <v>-2840.3</v>
      </c>
      <c r="J44" s="4">
        <v>-2840.3</v>
      </c>
      <c r="K44" s="4">
        <v>2840.3</v>
      </c>
      <c r="L44" s="4"/>
      <c r="M44" s="2" t="s">
        <v>1084</v>
      </c>
      <c r="N44" s="2" t="s">
        <v>10</v>
      </c>
      <c r="O44" s="2" t="s">
        <v>10</v>
      </c>
    </row>
    <row r="45" spans="1:15" hidden="1" x14ac:dyDescent="0.25">
      <c r="A45" s="2" t="s">
        <v>958</v>
      </c>
      <c r="B45" s="3">
        <v>45449</v>
      </c>
      <c r="C45" s="5">
        <v>45444</v>
      </c>
      <c r="D45" s="2" t="s">
        <v>59</v>
      </c>
      <c r="E45" s="2">
        <v>6200</v>
      </c>
      <c r="F45" s="2" t="s">
        <v>67</v>
      </c>
      <c r="G45" s="2" t="s">
        <v>1028</v>
      </c>
      <c r="H45" s="4">
        <v>-253.82</v>
      </c>
      <c r="I45" s="4">
        <v>-253.82</v>
      </c>
      <c r="J45" s="4">
        <v>-253.82</v>
      </c>
      <c r="K45" s="4">
        <v>253.82</v>
      </c>
      <c r="L45" s="4"/>
      <c r="M45" s="2" t="s">
        <v>1084</v>
      </c>
      <c r="N45" s="2" t="s">
        <v>10</v>
      </c>
      <c r="O45" s="2" t="s">
        <v>10</v>
      </c>
    </row>
    <row r="46" spans="1:15" hidden="1" x14ac:dyDescent="0.25">
      <c r="A46" s="2" t="s">
        <v>771</v>
      </c>
      <c r="B46" s="3">
        <v>45485</v>
      </c>
      <c r="C46" s="5">
        <v>45474</v>
      </c>
      <c r="D46" s="2" t="s">
        <v>35</v>
      </c>
      <c r="E46" s="2">
        <v>4000</v>
      </c>
      <c r="F46" s="2" t="s">
        <v>103</v>
      </c>
      <c r="G46" s="2" t="s">
        <v>1049</v>
      </c>
      <c r="H46" s="4">
        <v>21227.19</v>
      </c>
      <c r="I46" s="4">
        <v>21227.19</v>
      </c>
      <c r="J46" s="4">
        <v>21227.19</v>
      </c>
      <c r="K46" s="4">
        <v>21227.19</v>
      </c>
      <c r="L46" s="4"/>
      <c r="M46" s="2" t="s">
        <v>1084</v>
      </c>
      <c r="N46" s="2" t="s">
        <v>10</v>
      </c>
      <c r="O46" s="2" t="s">
        <v>10</v>
      </c>
    </row>
    <row r="47" spans="1:15" hidden="1" x14ac:dyDescent="0.25">
      <c r="A47" s="2" t="s">
        <v>439</v>
      </c>
      <c r="B47" s="3">
        <v>45520</v>
      </c>
      <c r="C47" s="5">
        <v>45505</v>
      </c>
      <c r="D47" s="2" t="s">
        <v>31</v>
      </c>
      <c r="E47" s="2">
        <v>4900</v>
      </c>
      <c r="F47" s="2" t="s">
        <v>146</v>
      </c>
      <c r="G47" s="2" t="s">
        <v>1031</v>
      </c>
      <c r="H47" s="4">
        <v>20.9</v>
      </c>
      <c r="I47" s="4">
        <v>20.9</v>
      </c>
      <c r="J47" s="4">
        <v>20.9</v>
      </c>
      <c r="K47" s="4">
        <v>20.9</v>
      </c>
      <c r="L47" s="4"/>
      <c r="M47" s="2" t="s">
        <v>1084</v>
      </c>
      <c r="N47" s="2" t="s">
        <v>10</v>
      </c>
      <c r="O47" s="2" t="s">
        <v>10</v>
      </c>
    </row>
    <row r="48" spans="1:15" hidden="1" x14ac:dyDescent="0.25">
      <c r="A48" s="2" t="s">
        <v>359</v>
      </c>
      <c r="B48" s="3">
        <v>45484</v>
      </c>
      <c r="C48" s="5">
        <v>45474</v>
      </c>
      <c r="D48" s="2" t="s">
        <v>24</v>
      </c>
      <c r="E48" s="2">
        <v>6300</v>
      </c>
      <c r="F48" s="2" t="s">
        <v>94</v>
      </c>
      <c r="G48" s="2" t="s">
        <v>1053</v>
      </c>
      <c r="H48" s="4">
        <v>-805.39</v>
      </c>
      <c r="I48" s="4">
        <v>-805.39</v>
      </c>
      <c r="J48" s="4">
        <v>-805.39</v>
      </c>
      <c r="K48" s="4">
        <v>805.39</v>
      </c>
      <c r="L48" s="4"/>
      <c r="M48" s="2" t="s">
        <v>1084</v>
      </c>
      <c r="N48" s="2" t="s">
        <v>10</v>
      </c>
      <c r="O48" s="2" t="s">
        <v>10</v>
      </c>
    </row>
    <row r="49" spans="1:15" hidden="1" x14ac:dyDescent="0.25">
      <c r="A49" s="2" t="s">
        <v>245</v>
      </c>
      <c r="B49" s="3">
        <v>45423</v>
      </c>
      <c r="C49" s="5">
        <v>45413</v>
      </c>
      <c r="D49" s="2" t="s">
        <v>28</v>
      </c>
      <c r="E49" s="2">
        <v>6900</v>
      </c>
      <c r="F49" s="2" t="s">
        <v>27</v>
      </c>
      <c r="G49" s="2" t="s">
        <v>1041</v>
      </c>
      <c r="H49" s="4">
        <v>-113.69</v>
      </c>
      <c r="I49" s="4">
        <v>-113.69</v>
      </c>
      <c r="J49" s="4">
        <v>-113.69</v>
      </c>
      <c r="K49" s="4">
        <v>113.69</v>
      </c>
      <c r="L49" s="4"/>
      <c r="M49" s="2" t="s">
        <v>1084</v>
      </c>
      <c r="N49" s="2" t="s">
        <v>10</v>
      </c>
      <c r="O49" s="2" t="s">
        <v>10</v>
      </c>
    </row>
    <row r="50" spans="1:15" hidden="1" x14ac:dyDescent="0.25">
      <c r="A50" s="2" t="s">
        <v>793</v>
      </c>
      <c r="B50" s="3">
        <v>45643</v>
      </c>
      <c r="C50" s="5">
        <v>45627</v>
      </c>
      <c r="D50" s="2" t="s">
        <v>9</v>
      </c>
      <c r="E50" s="2">
        <v>6100</v>
      </c>
      <c r="F50" s="2" t="s">
        <v>44</v>
      </c>
      <c r="G50" s="2" t="s">
        <v>1054</v>
      </c>
      <c r="H50" s="4">
        <v>-3563.35</v>
      </c>
      <c r="I50" s="4">
        <v>-3563.35</v>
      </c>
      <c r="J50" s="4">
        <v>-3563.35</v>
      </c>
      <c r="K50" s="4">
        <v>3563.35</v>
      </c>
      <c r="L50" s="4"/>
      <c r="M50" s="2" t="s">
        <v>1084</v>
      </c>
      <c r="N50" s="2" t="s">
        <v>10</v>
      </c>
      <c r="O50" s="2" t="s">
        <v>10</v>
      </c>
    </row>
    <row r="51" spans="1:15" hidden="1" x14ac:dyDescent="0.25">
      <c r="A51" s="2" t="s">
        <v>298</v>
      </c>
      <c r="B51" s="3">
        <v>45479</v>
      </c>
      <c r="C51" s="5">
        <v>45474</v>
      </c>
      <c r="D51" s="2" t="s">
        <v>39</v>
      </c>
      <c r="E51" s="2">
        <v>6500</v>
      </c>
      <c r="F51" s="2" t="s">
        <v>69</v>
      </c>
      <c r="G51" s="2" t="s">
        <v>1052</v>
      </c>
      <c r="H51" s="4">
        <v>-5330.97</v>
      </c>
      <c r="I51" s="4">
        <v>-5330.97</v>
      </c>
      <c r="J51" s="4">
        <v>-5330.97</v>
      </c>
      <c r="K51" s="4">
        <v>5330.97</v>
      </c>
      <c r="L51" s="4"/>
      <c r="M51" s="2" t="s">
        <v>1084</v>
      </c>
      <c r="N51" s="2" t="s">
        <v>10</v>
      </c>
      <c r="O51" s="2" t="s">
        <v>10</v>
      </c>
    </row>
    <row r="52" spans="1:15" hidden="1" x14ac:dyDescent="0.25">
      <c r="A52" s="2" t="s">
        <v>223</v>
      </c>
      <c r="B52" s="3">
        <v>45587</v>
      </c>
      <c r="C52" s="5">
        <v>45566</v>
      </c>
      <c r="D52" s="2" t="s">
        <v>39</v>
      </c>
      <c r="E52" s="2">
        <v>6500</v>
      </c>
      <c r="F52" s="2" t="s">
        <v>38</v>
      </c>
      <c r="G52" s="2" t="s">
        <v>1029</v>
      </c>
      <c r="H52" s="4">
        <v>-7588.15</v>
      </c>
      <c r="I52" s="4">
        <v>-7588.15</v>
      </c>
      <c r="J52" s="4">
        <v>-7588.15</v>
      </c>
      <c r="K52" s="4">
        <v>7588.15</v>
      </c>
      <c r="L52" s="4"/>
      <c r="M52" s="2" t="s">
        <v>1084</v>
      </c>
      <c r="N52" s="2" t="s">
        <v>10</v>
      </c>
      <c r="O52" s="2" t="s">
        <v>10</v>
      </c>
    </row>
    <row r="53" spans="1:15" hidden="1" x14ac:dyDescent="0.25">
      <c r="A53" s="2" t="s">
        <v>719</v>
      </c>
      <c r="B53" s="3">
        <v>45560</v>
      </c>
      <c r="C53" s="5">
        <v>45536</v>
      </c>
      <c r="D53" s="2" t="s">
        <v>18</v>
      </c>
      <c r="E53" s="2">
        <v>5100</v>
      </c>
      <c r="F53" s="2" t="s">
        <v>17</v>
      </c>
      <c r="G53" s="2" t="s">
        <v>1037</v>
      </c>
      <c r="H53" s="4">
        <v>-5621.77</v>
      </c>
      <c r="I53" s="4">
        <v>-5621.77</v>
      </c>
      <c r="J53" s="4">
        <v>-5621.77</v>
      </c>
      <c r="K53" s="4">
        <v>5621.77</v>
      </c>
      <c r="L53" s="4"/>
      <c r="M53" s="2" t="s">
        <v>1084</v>
      </c>
      <c r="N53" s="2" t="s">
        <v>10</v>
      </c>
      <c r="O53" s="2" t="s">
        <v>10</v>
      </c>
    </row>
    <row r="54" spans="1:15" hidden="1" x14ac:dyDescent="0.25">
      <c r="A54" s="2" t="s">
        <v>514</v>
      </c>
      <c r="B54" s="3">
        <v>45495</v>
      </c>
      <c r="C54" s="5">
        <v>45474</v>
      </c>
      <c r="D54" s="2" t="s">
        <v>59</v>
      </c>
      <c r="E54" s="2">
        <v>6200</v>
      </c>
      <c r="F54" s="2" t="s">
        <v>67</v>
      </c>
      <c r="G54" s="2" t="s">
        <v>1028</v>
      </c>
      <c r="H54" s="4">
        <v>-513.61</v>
      </c>
      <c r="I54" s="4">
        <v>-513.61</v>
      </c>
      <c r="J54" s="4">
        <v>-513.61</v>
      </c>
      <c r="K54" s="4">
        <v>513.61</v>
      </c>
      <c r="L54" s="4"/>
      <c r="M54" s="2" t="s">
        <v>1084</v>
      </c>
      <c r="N54" s="2" t="s">
        <v>10</v>
      </c>
      <c r="O54" s="2" t="s">
        <v>10</v>
      </c>
    </row>
    <row r="55" spans="1:15" hidden="1" x14ac:dyDescent="0.25">
      <c r="A55" s="2" t="s">
        <v>761</v>
      </c>
      <c r="B55" s="3">
        <v>45615</v>
      </c>
      <c r="C55" s="5">
        <v>45597</v>
      </c>
      <c r="D55" s="2" t="s">
        <v>24</v>
      </c>
      <c r="E55" s="2">
        <v>6300</v>
      </c>
      <c r="F55" s="2" t="s">
        <v>94</v>
      </c>
      <c r="G55" s="2" t="s">
        <v>1053</v>
      </c>
      <c r="H55" s="4">
        <v>-514.4</v>
      </c>
      <c r="I55" s="4">
        <v>-514.4</v>
      </c>
      <c r="J55" s="4">
        <v>-514.4</v>
      </c>
      <c r="K55" s="4">
        <v>514.4</v>
      </c>
      <c r="L55" s="4"/>
      <c r="M55" s="2" t="s">
        <v>1084</v>
      </c>
      <c r="N55" s="2" t="s">
        <v>10</v>
      </c>
      <c r="O55" s="2" t="s">
        <v>10</v>
      </c>
    </row>
    <row r="56" spans="1:15" hidden="1" x14ac:dyDescent="0.25">
      <c r="A56" s="2" t="s">
        <v>502</v>
      </c>
      <c r="B56" s="3">
        <v>45338</v>
      </c>
      <c r="C56" s="5">
        <v>45323</v>
      </c>
      <c r="D56" s="2" t="s">
        <v>24</v>
      </c>
      <c r="E56" s="2">
        <v>6300</v>
      </c>
      <c r="F56" s="2" t="s">
        <v>23</v>
      </c>
      <c r="G56" s="2" t="s">
        <v>1045</v>
      </c>
      <c r="H56" s="4">
        <v>-467.86</v>
      </c>
      <c r="I56" s="4">
        <v>-467.86</v>
      </c>
      <c r="J56" s="4">
        <v>-467.86</v>
      </c>
      <c r="K56" s="4">
        <v>467.86</v>
      </c>
      <c r="L56" s="4"/>
      <c r="M56" s="2" t="s">
        <v>1084</v>
      </c>
      <c r="N56" s="2" t="s">
        <v>10</v>
      </c>
      <c r="O56" s="2" t="s">
        <v>10</v>
      </c>
    </row>
    <row r="57" spans="1:15" hidden="1" x14ac:dyDescent="0.25">
      <c r="A57" s="2" t="s">
        <v>789</v>
      </c>
      <c r="B57" s="3">
        <v>45628</v>
      </c>
      <c r="C57" s="5">
        <v>45627</v>
      </c>
      <c r="D57" s="2" t="s">
        <v>35</v>
      </c>
      <c r="E57" s="2">
        <v>4000</v>
      </c>
      <c r="F57" s="2" t="s">
        <v>116</v>
      </c>
      <c r="G57" s="2" t="s">
        <v>1034</v>
      </c>
      <c r="H57" s="4">
        <v>22723.62</v>
      </c>
      <c r="I57" s="4">
        <v>22723.62</v>
      </c>
      <c r="J57" s="4">
        <v>22723.62</v>
      </c>
      <c r="K57" s="4">
        <v>22723.62</v>
      </c>
      <c r="L57" s="4"/>
      <c r="M57" s="2" t="s">
        <v>1084</v>
      </c>
      <c r="N57" s="2" t="s">
        <v>10</v>
      </c>
      <c r="O57" s="2" t="s">
        <v>10</v>
      </c>
    </row>
    <row r="58" spans="1:15" hidden="1" x14ac:dyDescent="0.25">
      <c r="A58" s="2" t="s">
        <v>198</v>
      </c>
      <c r="B58" s="3">
        <v>45602</v>
      </c>
      <c r="C58" s="5">
        <v>45597</v>
      </c>
      <c r="D58" s="2" t="s">
        <v>13</v>
      </c>
      <c r="E58" s="2">
        <v>6400</v>
      </c>
      <c r="F58" s="2" t="s">
        <v>15</v>
      </c>
      <c r="G58" s="2" t="s">
        <v>1044</v>
      </c>
      <c r="H58" s="4">
        <v>-2292.9899999999998</v>
      </c>
      <c r="I58" s="4">
        <v>-2292.9899999999998</v>
      </c>
      <c r="J58" s="4">
        <v>-2292.9899999999998</v>
      </c>
      <c r="K58" s="4">
        <v>2292.9899999999998</v>
      </c>
      <c r="L58" s="4"/>
      <c r="M58" s="2" t="s">
        <v>1084</v>
      </c>
      <c r="N58" s="2" t="s">
        <v>10</v>
      </c>
      <c r="O58" s="2" t="s">
        <v>10</v>
      </c>
    </row>
    <row r="59" spans="1:15" hidden="1" x14ac:dyDescent="0.25">
      <c r="A59" s="2" t="s">
        <v>353</v>
      </c>
      <c r="B59" s="3">
        <v>45475</v>
      </c>
      <c r="C59" s="5">
        <v>45474</v>
      </c>
      <c r="D59" s="2" t="s">
        <v>18</v>
      </c>
      <c r="E59" s="2">
        <v>5100</v>
      </c>
      <c r="F59" s="2" t="s">
        <v>56</v>
      </c>
      <c r="G59" s="2" t="s">
        <v>1025</v>
      </c>
      <c r="H59" s="4">
        <v>-5266.96</v>
      </c>
      <c r="I59" s="4">
        <v>-5266.96</v>
      </c>
      <c r="J59" s="4">
        <v>-5266.96</v>
      </c>
      <c r="K59" s="4">
        <v>5266.96</v>
      </c>
      <c r="L59" s="4"/>
      <c r="M59" s="2" t="s">
        <v>1084</v>
      </c>
      <c r="N59" s="2" t="s">
        <v>10</v>
      </c>
      <c r="O59" s="2" t="s">
        <v>10</v>
      </c>
    </row>
    <row r="60" spans="1:15" hidden="1" x14ac:dyDescent="0.25">
      <c r="A60" s="2" t="s">
        <v>399</v>
      </c>
      <c r="B60" s="3">
        <v>45559</v>
      </c>
      <c r="C60" s="5">
        <v>45536</v>
      </c>
      <c r="D60" s="2" t="s">
        <v>39</v>
      </c>
      <c r="E60" s="2">
        <v>6500</v>
      </c>
      <c r="F60" s="2" t="s">
        <v>69</v>
      </c>
      <c r="G60" s="2" t="s">
        <v>1052</v>
      </c>
      <c r="H60" s="4">
        <v>-3604.39</v>
      </c>
      <c r="I60" s="4">
        <v>-3604.39</v>
      </c>
      <c r="J60" s="4">
        <v>-3604.39</v>
      </c>
      <c r="K60" s="4">
        <v>3604.39</v>
      </c>
      <c r="L60" s="4"/>
      <c r="M60" s="2" t="s">
        <v>1084</v>
      </c>
      <c r="N60" s="2" t="s">
        <v>10</v>
      </c>
      <c r="O60" s="2" t="s">
        <v>10</v>
      </c>
    </row>
    <row r="61" spans="1:15" hidden="1" x14ac:dyDescent="0.25">
      <c r="A61" s="2" t="s">
        <v>153</v>
      </c>
      <c r="B61" s="3">
        <v>45481</v>
      </c>
      <c r="C61" s="5">
        <v>45474</v>
      </c>
      <c r="D61" s="2" t="s">
        <v>9</v>
      </c>
      <c r="E61" s="2">
        <v>6100</v>
      </c>
      <c r="F61" s="2" t="s">
        <v>48</v>
      </c>
      <c r="G61" s="2" t="s">
        <v>1043</v>
      </c>
      <c r="H61" s="4">
        <v>-1454.2</v>
      </c>
      <c r="I61" s="4">
        <v>-1454.2</v>
      </c>
      <c r="J61" s="4">
        <v>-1454.2</v>
      </c>
      <c r="K61" s="4">
        <v>1454.2</v>
      </c>
      <c r="L61" s="4"/>
      <c r="M61" s="2" t="s">
        <v>1084</v>
      </c>
      <c r="N61" s="2" t="s">
        <v>10</v>
      </c>
      <c r="O61" s="2" t="s">
        <v>10</v>
      </c>
    </row>
    <row r="62" spans="1:15" hidden="1" x14ac:dyDescent="0.25">
      <c r="A62" s="2" t="s">
        <v>260</v>
      </c>
      <c r="B62" s="3">
        <v>45390</v>
      </c>
      <c r="C62" s="5">
        <v>45383</v>
      </c>
      <c r="D62" s="2" t="s">
        <v>31</v>
      </c>
      <c r="E62" s="2">
        <v>4900</v>
      </c>
      <c r="F62" s="2" t="s">
        <v>146</v>
      </c>
      <c r="G62" s="2" t="s">
        <v>1031</v>
      </c>
      <c r="H62" s="4">
        <v>268.66000000000003</v>
      </c>
      <c r="I62" s="4">
        <v>268.66000000000003</v>
      </c>
      <c r="J62" s="4">
        <v>268.66000000000003</v>
      </c>
      <c r="K62" s="4">
        <v>268.66000000000003</v>
      </c>
      <c r="L62" s="4"/>
      <c r="M62" s="2" t="s">
        <v>1084</v>
      </c>
      <c r="N62" s="2" t="s">
        <v>10</v>
      </c>
      <c r="O62" s="2" t="s">
        <v>10</v>
      </c>
    </row>
    <row r="63" spans="1:15" hidden="1" x14ac:dyDescent="0.25">
      <c r="A63" s="2" t="s">
        <v>339</v>
      </c>
      <c r="B63" s="3">
        <v>45583</v>
      </c>
      <c r="C63" s="5">
        <v>45566</v>
      </c>
      <c r="D63" s="2" t="s">
        <v>39</v>
      </c>
      <c r="E63" s="2">
        <v>6500</v>
      </c>
      <c r="F63" s="2" t="s">
        <v>38</v>
      </c>
      <c r="G63" s="2" t="s">
        <v>1029</v>
      </c>
      <c r="H63" s="4">
        <v>-5295.81</v>
      </c>
      <c r="I63" s="4">
        <v>-5295.81</v>
      </c>
      <c r="J63" s="4">
        <v>-5295.81</v>
      </c>
      <c r="K63" s="4">
        <v>5295.81</v>
      </c>
      <c r="L63" s="4"/>
      <c r="M63" s="2" t="s">
        <v>1084</v>
      </c>
      <c r="N63" s="2" t="s">
        <v>10</v>
      </c>
      <c r="O63" s="2" t="s">
        <v>10</v>
      </c>
    </row>
    <row r="64" spans="1:15" hidden="1" x14ac:dyDescent="0.25">
      <c r="A64" s="2" t="s">
        <v>484</v>
      </c>
      <c r="B64" s="3">
        <v>45381</v>
      </c>
      <c r="C64" s="5">
        <v>45352</v>
      </c>
      <c r="D64" s="2" t="s">
        <v>59</v>
      </c>
      <c r="E64" s="2">
        <v>6200</v>
      </c>
      <c r="F64" s="2" t="s">
        <v>67</v>
      </c>
      <c r="G64" s="2" t="s">
        <v>1028</v>
      </c>
      <c r="H64" s="4">
        <v>-72.73</v>
      </c>
      <c r="I64" s="4">
        <v>-72.73</v>
      </c>
      <c r="J64" s="4">
        <v>-72.73</v>
      </c>
      <c r="K64" s="4">
        <v>72.73</v>
      </c>
      <c r="L64" s="4"/>
      <c r="M64" s="2" t="s">
        <v>1084</v>
      </c>
      <c r="N64" s="2" t="s">
        <v>10</v>
      </c>
      <c r="O64" s="2" t="s">
        <v>10</v>
      </c>
    </row>
    <row r="65" spans="1:15" hidden="1" x14ac:dyDescent="0.25">
      <c r="A65" s="2" t="s">
        <v>800</v>
      </c>
      <c r="B65" s="3">
        <v>45406</v>
      </c>
      <c r="C65" s="5">
        <v>45383</v>
      </c>
      <c r="D65" s="2" t="s">
        <v>31</v>
      </c>
      <c r="E65" s="2">
        <v>4900</v>
      </c>
      <c r="F65" s="2" t="s">
        <v>79</v>
      </c>
      <c r="G65" s="2" t="s">
        <v>1026</v>
      </c>
      <c r="H65" s="4">
        <v>133.99</v>
      </c>
      <c r="I65" s="4">
        <v>133.99</v>
      </c>
      <c r="J65" s="4">
        <v>133.99</v>
      </c>
      <c r="K65" s="4">
        <v>133.99</v>
      </c>
      <c r="L65" s="4"/>
      <c r="M65" s="2" t="s">
        <v>1084</v>
      </c>
      <c r="N65" s="2" t="s">
        <v>10</v>
      </c>
      <c r="O65" s="2" t="s">
        <v>10</v>
      </c>
    </row>
    <row r="66" spans="1:15" hidden="1" x14ac:dyDescent="0.25">
      <c r="A66" s="2" t="s">
        <v>948</v>
      </c>
      <c r="B66" s="3">
        <v>45481</v>
      </c>
      <c r="C66" s="5">
        <v>45474</v>
      </c>
      <c r="D66" s="2" t="s">
        <v>24</v>
      </c>
      <c r="E66" s="2">
        <v>6300</v>
      </c>
      <c r="F66" s="2" t="s">
        <v>94</v>
      </c>
      <c r="G66" s="2" t="s">
        <v>1053</v>
      </c>
      <c r="H66" s="4">
        <v>-704.77</v>
      </c>
      <c r="I66" s="4">
        <v>-704.77</v>
      </c>
      <c r="J66" s="4">
        <v>-704.77</v>
      </c>
      <c r="K66" s="4">
        <v>704.77</v>
      </c>
      <c r="L66" s="4"/>
      <c r="M66" s="2" t="s">
        <v>1084</v>
      </c>
      <c r="N66" s="2" t="s">
        <v>10</v>
      </c>
      <c r="O66" s="2" t="s">
        <v>10</v>
      </c>
    </row>
    <row r="67" spans="1:15" hidden="1" x14ac:dyDescent="0.25">
      <c r="A67" s="2" t="s">
        <v>113</v>
      </c>
      <c r="B67" s="3">
        <v>45597</v>
      </c>
      <c r="C67" s="5">
        <v>45597</v>
      </c>
      <c r="D67" s="2" t="s">
        <v>59</v>
      </c>
      <c r="E67" s="2">
        <v>6200</v>
      </c>
      <c r="F67" s="2" t="s">
        <v>71</v>
      </c>
      <c r="G67" s="2" t="s">
        <v>1050</v>
      </c>
      <c r="H67" s="4">
        <v>-1039.72</v>
      </c>
      <c r="I67" s="4">
        <v>-1039.72</v>
      </c>
      <c r="J67" s="4">
        <v>-1039.72</v>
      </c>
      <c r="K67" s="4">
        <v>1039.72</v>
      </c>
      <c r="L67" s="4"/>
      <c r="M67" s="2" t="s">
        <v>1084</v>
      </c>
      <c r="N67" s="2" t="s">
        <v>10</v>
      </c>
      <c r="O67" s="2" t="s">
        <v>10</v>
      </c>
    </row>
    <row r="68" spans="1:15" hidden="1" x14ac:dyDescent="0.25">
      <c r="A68" s="2" t="s">
        <v>367</v>
      </c>
      <c r="B68" s="3">
        <v>45432</v>
      </c>
      <c r="C68" s="5">
        <v>45413</v>
      </c>
      <c r="D68" s="2" t="s">
        <v>31</v>
      </c>
      <c r="E68" s="2">
        <v>4900</v>
      </c>
      <c r="F68" s="2" t="s">
        <v>146</v>
      </c>
      <c r="G68" s="2" t="s">
        <v>1031</v>
      </c>
      <c r="H68" s="4">
        <v>268.8</v>
      </c>
      <c r="I68" s="4">
        <v>268.8</v>
      </c>
      <c r="J68" s="4">
        <v>268.8</v>
      </c>
      <c r="K68" s="4">
        <v>268.8</v>
      </c>
      <c r="L68" s="4"/>
      <c r="M68" s="2" t="s">
        <v>1084</v>
      </c>
      <c r="N68" s="2" t="s">
        <v>10</v>
      </c>
      <c r="O68" s="2" t="s">
        <v>10</v>
      </c>
    </row>
    <row r="69" spans="1:15" hidden="1" x14ac:dyDescent="0.25">
      <c r="A69" s="2" t="s">
        <v>562</v>
      </c>
      <c r="B69" s="3">
        <v>45472</v>
      </c>
      <c r="C69" s="5">
        <v>45444</v>
      </c>
      <c r="D69" s="2" t="s">
        <v>59</v>
      </c>
      <c r="E69" s="2">
        <v>6200</v>
      </c>
      <c r="F69" s="2" t="s">
        <v>71</v>
      </c>
      <c r="G69" s="2" t="s">
        <v>1050</v>
      </c>
      <c r="H69" s="4">
        <v>-198.77</v>
      </c>
      <c r="I69" s="4">
        <v>-198.77</v>
      </c>
      <c r="J69" s="4">
        <v>-198.77</v>
      </c>
      <c r="K69" s="4">
        <v>198.77</v>
      </c>
      <c r="L69" s="4"/>
      <c r="M69" s="2" t="s">
        <v>1084</v>
      </c>
      <c r="N69" s="2" t="s">
        <v>10</v>
      </c>
      <c r="O69" s="2" t="s">
        <v>10</v>
      </c>
    </row>
    <row r="70" spans="1:15" hidden="1" x14ac:dyDescent="0.25">
      <c r="A70" s="2" t="s">
        <v>408</v>
      </c>
      <c r="B70" s="3">
        <v>45307</v>
      </c>
      <c r="C70" s="5">
        <v>45292</v>
      </c>
      <c r="D70" s="2" t="s">
        <v>35</v>
      </c>
      <c r="E70" s="2">
        <v>4000</v>
      </c>
      <c r="F70" s="2" t="s">
        <v>116</v>
      </c>
      <c r="G70" s="2" t="s">
        <v>1034</v>
      </c>
      <c r="H70" s="4">
        <v>3897.04</v>
      </c>
      <c r="I70" s="4">
        <v>3897.04</v>
      </c>
      <c r="J70" s="4">
        <v>3897.04</v>
      </c>
      <c r="K70" s="4">
        <v>3897.04</v>
      </c>
      <c r="L70" s="4"/>
      <c r="M70" s="2" t="s">
        <v>1084</v>
      </c>
      <c r="N70" s="2" t="s">
        <v>10</v>
      </c>
      <c r="O70" s="2" t="s">
        <v>10</v>
      </c>
    </row>
    <row r="71" spans="1:15" hidden="1" x14ac:dyDescent="0.25">
      <c r="A71" s="2" t="s">
        <v>316</v>
      </c>
      <c r="B71" s="3">
        <v>45334</v>
      </c>
      <c r="C71" s="5">
        <v>45323</v>
      </c>
      <c r="D71" s="2" t="s">
        <v>24</v>
      </c>
      <c r="E71" s="2">
        <v>6300</v>
      </c>
      <c r="F71" s="2" t="s">
        <v>23</v>
      </c>
      <c r="G71" s="2" t="s">
        <v>1045</v>
      </c>
      <c r="H71" s="4">
        <v>-269.5</v>
      </c>
      <c r="I71" s="4">
        <v>-269.5</v>
      </c>
      <c r="J71" s="4">
        <v>-269.5</v>
      </c>
      <c r="K71" s="4">
        <v>269.5</v>
      </c>
      <c r="L71" s="4"/>
      <c r="M71" s="2" t="s">
        <v>1084</v>
      </c>
      <c r="N71" s="2" t="s">
        <v>10</v>
      </c>
      <c r="O71" s="2" t="s">
        <v>10</v>
      </c>
    </row>
    <row r="72" spans="1:15" hidden="1" x14ac:dyDescent="0.25">
      <c r="A72" s="2" t="s">
        <v>668</v>
      </c>
      <c r="B72" s="3">
        <v>45312</v>
      </c>
      <c r="C72" s="5">
        <v>45292</v>
      </c>
      <c r="D72" s="2" t="s">
        <v>39</v>
      </c>
      <c r="E72" s="2">
        <v>6500</v>
      </c>
      <c r="F72" s="2" t="s">
        <v>38</v>
      </c>
      <c r="G72" s="2" t="s">
        <v>1029</v>
      </c>
      <c r="H72" s="4">
        <v>-7296.07</v>
      </c>
      <c r="I72" s="4">
        <v>-7296.07</v>
      </c>
      <c r="J72" s="4">
        <v>-7296.07</v>
      </c>
      <c r="K72" s="4">
        <v>7296.07</v>
      </c>
      <c r="L72" s="4"/>
      <c r="M72" s="2" t="s">
        <v>1084</v>
      </c>
      <c r="N72" s="2" t="s">
        <v>10</v>
      </c>
      <c r="O72" s="2" t="s">
        <v>10</v>
      </c>
    </row>
    <row r="73" spans="1:15" hidden="1" x14ac:dyDescent="0.25">
      <c r="A73" s="2" t="s">
        <v>967</v>
      </c>
      <c r="B73" s="3">
        <v>45318</v>
      </c>
      <c r="C73" s="5">
        <v>45292</v>
      </c>
      <c r="D73" s="2" t="s">
        <v>18</v>
      </c>
      <c r="E73" s="2">
        <v>5100</v>
      </c>
      <c r="F73" s="2" t="s">
        <v>81</v>
      </c>
      <c r="G73" s="2" t="s">
        <v>1039</v>
      </c>
      <c r="H73" s="4">
        <v>-3197.33</v>
      </c>
      <c r="I73" s="4">
        <v>-3197.33</v>
      </c>
      <c r="J73" s="4">
        <v>-3197.33</v>
      </c>
      <c r="K73" s="4">
        <v>3197.33</v>
      </c>
      <c r="L73" s="4"/>
      <c r="M73" s="2" t="s">
        <v>1084</v>
      </c>
      <c r="N73" s="2" t="s">
        <v>10</v>
      </c>
      <c r="O73" s="2" t="s">
        <v>10</v>
      </c>
    </row>
    <row r="74" spans="1:15" hidden="1" x14ac:dyDescent="0.25">
      <c r="A74" s="2" t="s">
        <v>1020</v>
      </c>
      <c r="B74" s="3">
        <v>45609</v>
      </c>
      <c r="C74" s="5">
        <v>45597</v>
      </c>
      <c r="D74" s="2" t="s">
        <v>24</v>
      </c>
      <c r="E74" s="2">
        <v>6300</v>
      </c>
      <c r="F74" s="2" t="s">
        <v>94</v>
      </c>
      <c r="G74" s="2" t="s">
        <v>1053</v>
      </c>
      <c r="H74" s="4">
        <v>-637.22</v>
      </c>
      <c r="I74" s="4">
        <v>-637.22</v>
      </c>
      <c r="J74" s="4">
        <v>-637.22</v>
      </c>
      <c r="K74" s="4">
        <v>637.22</v>
      </c>
      <c r="L74" s="4"/>
      <c r="M74" s="2" t="s">
        <v>1084</v>
      </c>
      <c r="N74" s="2" t="s">
        <v>10</v>
      </c>
      <c r="O74" s="2" t="s">
        <v>10</v>
      </c>
    </row>
    <row r="75" spans="1:15" hidden="1" x14ac:dyDescent="0.25">
      <c r="A75" s="2" t="s">
        <v>183</v>
      </c>
      <c r="B75" s="3">
        <v>45599</v>
      </c>
      <c r="C75" s="5">
        <v>45597</v>
      </c>
      <c r="D75" s="2" t="s">
        <v>18</v>
      </c>
      <c r="E75" s="2">
        <v>5100</v>
      </c>
      <c r="F75" s="2" t="s">
        <v>56</v>
      </c>
      <c r="G75" s="2" t="s">
        <v>1025</v>
      </c>
      <c r="H75" s="4">
        <v>-14303.25</v>
      </c>
      <c r="I75" s="4">
        <v>-14303.25</v>
      </c>
      <c r="J75" s="4">
        <v>-14303.25</v>
      </c>
      <c r="K75" s="4">
        <v>14303.25</v>
      </c>
      <c r="L75" s="4"/>
      <c r="M75" s="2" t="s">
        <v>1084</v>
      </c>
      <c r="N75" s="2" t="s">
        <v>10</v>
      </c>
      <c r="O75" s="2" t="s">
        <v>10</v>
      </c>
    </row>
    <row r="76" spans="1:15" hidden="1" x14ac:dyDescent="0.25">
      <c r="A76" s="2" t="s">
        <v>325</v>
      </c>
      <c r="B76" s="3">
        <v>45591</v>
      </c>
      <c r="C76" s="5">
        <v>45566</v>
      </c>
      <c r="D76" s="2" t="s">
        <v>9</v>
      </c>
      <c r="E76" s="2">
        <v>6100</v>
      </c>
      <c r="F76" s="2" t="s">
        <v>48</v>
      </c>
      <c r="G76" s="2" t="s">
        <v>1043</v>
      </c>
      <c r="H76" s="4">
        <v>-2126.56</v>
      </c>
      <c r="I76" s="4">
        <v>-2126.56</v>
      </c>
      <c r="J76" s="4">
        <v>-2126.56</v>
      </c>
      <c r="K76" s="4">
        <v>2126.56</v>
      </c>
      <c r="L76" s="4"/>
      <c r="M76" s="2" t="s">
        <v>1084</v>
      </c>
      <c r="N76" s="2" t="s">
        <v>10</v>
      </c>
      <c r="O76" s="2" t="s">
        <v>10</v>
      </c>
    </row>
    <row r="77" spans="1:15" hidden="1" x14ac:dyDescent="0.25">
      <c r="A77" s="2" t="s">
        <v>894</v>
      </c>
      <c r="B77" s="3">
        <v>45312</v>
      </c>
      <c r="C77" s="5">
        <v>45292</v>
      </c>
      <c r="D77" s="2" t="s">
        <v>24</v>
      </c>
      <c r="E77" s="2">
        <v>6300</v>
      </c>
      <c r="F77" s="2" t="s">
        <v>127</v>
      </c>
      <c r="G77" s="2" t="s">
        <v>1035</v>
      </c>
      <c r="H77" s="4">
        <v>-570.41999999999996</v>
      </c>
      <c r="I77" s="4">
        <v>-570.41999999999996</v>
      </c>
      <c r="J77" s="4">
        <v>-570.41999999999996</v>
      </c>
      <c r="K77" s="4">
        <v>570.41999999999996</v>
      </c>
      <c r="L77" s="4"/>
      <c r="M77" s="2" t="s">
        <v>1084</v>
      </c>
      <c r="N77" s="2" t="s">
        <v>10</v>
      </c>
      <c r="O77" s="2" t="s">
        <v>10</v>
      </c>
    </row>
    <row r="78" spans="1:15" hidden="1" x14ac:dyDescent="0.25">
      <c r="A78" s="2" t="s">
        <v>393</v>
      </c>
      <c r="B78" s="3">
        <v>45320</v>
      </c>
      <c r="C78" s="5">
        <v>45292</v>
      </c>
      <c r="D78" s="2" t="s">
        <v>59</v>
      </c>
      <c r="E78" s="2">
        <v>6200</v>
      </c>
      <c r="F78" s="2" t="s">
        <v>71</v>
      </c>
      <c r="G78" s="2" t="s">
        <v>1050</v>
      </c>
      <c r="H78" s="4">
        <v>-1172.55</v>
      </c>
      <c r="I78" s="4">
        <v>-1172.55</v>
      </c>
      <c r="J78" s="4">
        <v>-1172.55</v>
      </c>
      <c r="K78" s="4">
        <v>1172.55</v>
      </c>
      <c r="L78" s="4"/>
      <c r="M78" s="2" t="s">
        <v>1084</v>
      </c>
      <c r="N78" s="2" t="s">
        <v>10</v>
      </c>
      <c r="O78" s="2" t="s">
        <v>10</v>
      </c>
    </row>
    <row r="79" spans="1:15" hidden="1" x14ac:dyDescent="0.25">
      <c r="A79" s="2" t="s">
        <v>896</v>
      </c>
      <c r="B79" s="3">
        <v>45394</v>
      </c>
      <c r="C79" s="5">
        <v>45383</v>
      </c>
      <c r="D79" s="2" t="s">
        <v>52</v>
      </c>
      <c r="E79" s="2">
        <v>6000</v>
      </c>
      <c r="F79" s="2" t="s">
        <v>63</v>
      </c>
      <c r="G79" s="2" t="s">
        <v>1051</v>
      </c>
      <c r="H79" s="4">
        <v>-5696.6</v>
      </c>
      <c r="I79" s="4">
        <v>-5696.6</v>
      </c>
      <c r="J79" s="4">
        <v>-5696.6</v>
      </c>
      <c r="K79" s="4">
        <v>5696.6</v>
      </c>
      <c r="L79" s="4"/>
      <c r="M79" s="2" t="s">
        <v>1084</v>
      </c>
      <c r="N79" s="2" t="s">
        <v>10</v>
      </c>
      <c r="O79" s="2" t="s">
        <v>10</v>
      </c>
    </row>
    <row r="80" spans="1:15" hidden="1" x14ac:dyDescent="0.25">
      <c r="A80" s="2" t="s">
        <v>111</v>
      </c>
      <c r="B80" s="3">
        <v>45498</v>
      </c>
      <c r="C80" s="5">
        <v>45474</v>
      </c>
      <c r="D80" s="2" t="s">
        <v>13</v>
      </c>
      <c r="E80" s="2">
        <v>6400</v>
      </c>
      <c r="F80" s="2" t="s">
        <v>21</v>
      </c>
      <c r="G80" s="2" t="s">
        <v>1030</v>
      </c>
      <c r="H80" s="4">
        <v>-159.44</v>
      </c>
      <c r="I80" s="4">
        <v>-159.44</v>
      </c>
      <c r="J80" s="4">
        <v>-159.44</v>
      </c>
      <c r="K80" s="4">
        <v>159.44</v>
      </c>
      <c r="L80" s="4"/>
      <c r="M80" s="2" t="s">
        <v>1084</v>
      </c>
      <c r="N80" s="2" t="s">
        <v>10</v>
      </c>
      <c r="O80" s="2" t="s">
        <v>10</v>
      </c>
    </row>
    <row r="81" spans="1:15" hidden="1" x14ac:dyDescent="0.25">
      <c r="A81" s="2" t="s">
        <v>750</v>
      </c>
      <c r="B81" s="3">
        <v>45413</v>
      </c>
      <c r="C81" s="5">
        <v>45413</v>
      </c>
      <c r="D81" s="2" t="s">
        <v>9</v>
      </c>
      <c r="E81" s="2">
        <v>6100</v>
      </c>
      <c r="F81" s="2" t="s">
        <v>8</v>
      </c>
      <c r="G81" s="2" t="s">
        <v>1042</v>
      </c>
      <c r="H81" s="4">
        <v>-2880.32</v>
      </c>
      <c r="I81" s="4">
        <v>-2880.32</v>
      </c>
      <c r="J81" s="4">
        <v>-2880.32</v>
      </c>
      <c r="K81" s="4">
        <v>2880.32</v>
      </c>
      <c r="L81" s="4"/>
      <c r="M81" s="2" t="s">
        <v>1084</v>
      </c>
      <c r="N81" s="2" t="s">
        <v>10</v>
      </c>
      <c r="O81" s="2" t="s">
        <v>10</v>
      </c>
    </row>
    <row r="82" spans="1:15" hidden="1" x14ac:dyDescent="0.25">
      <c r="A82" s="2" t="s">
        <v>523</v>
      </c>
      <c r="B82" s="3">
        <v>45469</v>
      </c>
      <c r="C82" s="5">
        <v>45444</v>
      </c>
      <c r="D82" s="2" t="s">
        <v>31</v>
      </c>
      <c r="E82" s="2">
        <v>4900</v>
      </c>
      <c r="F82" s="2" t="s">
        <v>146</v>
      </c>
      <c r="G82" s="2" t="s">
        <v>1031</v>
      </c>
      <c r="H82" s="4">
        <v>246.04</v>
      </c>
      <c r="I82" s="4">
        <v>246.04</v>
      </c>
      <c r="J82" s="4">
        <v>246.04</v>
      </c>
      <c r="K82" s="4">
        <v>246.04</v>
      </c>
      <c r="L82" s="4"/>
      <c r="M82" s="2" t="s">
        <v>1084</v>
      </c>
      <c r="N82" s="2" t="s">
        <v>10</v>
      </c>
      <c r="O82" s="2" t="s">
        <v>10</v>
      </c>
    </row>
    <row r="83" spans="1:15" hidden="1" x14ac:dyDescent="0.25">
      <c r="A83" s="2" t="s">
        <v>214</v>
      </c>
      <c r="B83" s="3">
        <v>45355</v>
      </c>
      <c r="C83" s="5">
        <v>45352</v>
      </c>
      <c r="D83" s="2" t="s">
        <v>24</v>
      </c>
      <c r="E83" s="2">
        <v>6300</v>
      </c>
      <c r="F83" s="2" t="s">
        <v>94</v>
      </c>
      <c r="G83" s="2" t="s">
        <v>1053</v>
      </c>
      <c r="H83" s="4">
        <v>-410.67</v>
      </c>
      <c r="I83" s="4">
        <v>-410.67</v>
      </c>
      <c r="J83" s="4">
        <v>-410.67</v>
      </c>
      <c r="K83" s="4">
        <v>410.67</v>
      </c>
      <c r="L83" s="4"/>
      <c r="M83" s="2" t="s">
        <v>1084</v>
      </c>
      <c r="N83" s="2" t="s">
        <v>10</v>
      </c>
      <c r="O83" s="2" t="s">
        <v>10</v>
      </c>
    </row>
    <row r="84" spans="1:15" hidden="1" x14ac:dyDescent="0.25">
      <c r="A84" s="2" t="s">
        <v>426</v>
      </c>
      <c r="B84" s="3">
        <v>45558</v>
      </c>
      <c r="C84" s="5">
        <v>45536</v>
      </c>
      <c r="D84" s="2" t="s">
        <v>18</v>
      </c>
      <c r="E84" s="2">
        <v>5100</v>
      </c>
      <c r="F84" s="2" t="s">
        <v>17</v>
      </c>
      <c r="G84" s="2" t="s">
        <v>1037</v>
      </c>
      <c r="H84" s="4">
        <v>-12838.97</v>
      </c>
      <c r="I84" s="4">
        <v>-12838.97</v>
      </c>
      <c r="J84" s="4">
        <v>-12838.97</v>
      </c>
      <c r="K84" s="4">
        <v>12838.97</v>
      </c>
      <c r="L84" s="4"/>
      <c r="M84" s="2" t="s">
        <v>1084</v>
      </c>
      <c r="N84" s="2" t="s">
        <v>10</v>
      </c>
      <c r="O84" s="2" t="s">
        <v>10</v>
      </c>
    </row>
    <row r="85" spans="1:15" hidden="1" x14ac:dyDescent="0.25">
      <c r="A85" s="2" t="s">
        <v>665</v>
      </c>
      <c r="B85" s="3">
        <v>45406</v>
      </c>
      <c r="C85" s="5">
        <v>45383</v>
      </c>
      <c r="D85" s="2" t="s">
        <v>28</v>
      </c>
      <c r="E85" s="2">
        <v>6900</v>
      </c>
      <c r="F85" s="2" t="s">
        <v>195</v>
      </c>
      <c r="G85" s="2" t="s">
        <v>1048</v>
      </c>
      <c r="H85" s="4">
        <v>-51.72</v>
      </c>
      <c r="I85" s="4">
        <v>-51.72</v>
      </c>
      <c r="J85" s="4">
        <v>-51.72</v>
      </c>
      <c r="K85" s="4">
        <v>51.72</v>
      </c>
      <c r="L85" s="4"/>
      <c r="M85" s="2" t="s">
        <v>1084</v>
      </c>
      <c r="N85" s="2" t="s">
        <v>10</v>
      </c>
      <c r="O85" s="2" t="s">
        <v>10</v>
      </c>
    </row>
    <row r="86" spans="1:15" hidden="1" x14ac:dyDescent="0.25">
      <c r="A86" s="2" t="s">
        <v>202</v>
      </c>
      <c r="B86" s="3">
        <v>45316</v>
      </c>
      <c r="C86" s="5">
        <v>45292</v>
      </c>
      <c r="D86" s="2" t="s">
        <v>9</v>
      </c>
      <c r="E86" s="2">
        <v>6100</v>
      </c>
      <c r="F86" s="2" t="s">
        <v>8</v>
      </c>
      <c r="G86" s="2" t="s">
        <v>1042</v>
      </c>
      <c r="H86" s="4">
        <v>-3347.09</v>
      </c>
      <c r="I86" s="4">
        <v>-3347.09</v>
      </c>
      <c r="J86" s="4">
        <v>-3347.09</v>
      </c>
      <c r="K86" s="4">
        <v>3347.09</v>
      </c>
      <c r="L86" s="4"/>
      <c r="M86" s="2" t="s">
        <v>1084</v>
      </c>
      <c r="N86" s="2" t="s">
        <v>10</v>
      </c>
      <c r="O86" s="2" t="s">
        <v>10</v>
      </c>
    </row>
    <row r="87" spans="1:15" hidden="1" x14ac:dyDescent="0.25">
      <c r="A87" s="2" t="s">
        <v>279</v>
      </c>
      <c r="B87" s="3">
        <v>45563</v>
      </c>
      <c r="C87" s="5">
        <v>45536</v>
      </c>
      <c r="D87" s="2" t="s">
        <v>39</v>
      </c>
      <c r="E87" s="2">
        <v>6500</v>
      </c>
      <c r="F87" s="2" t="s">
        <v>42</v>
      </c>
      <c r="G87" s="2" t="s">
        <v>1036</v>
      </c>
      <c r="H87" s="4">
        <v>-5112.79</v>
      </c>
      <c r="I87" s="4">
        <v>-5112.79</v>
      </c>
      <c r="J87" s="4">
        <v>-5112.79</v>
      </c>
      <c r="K87" s="4">
        <v>5112.79</v>
      </c>
      <c r="L87" s="4"/>
      <c r="M87" s="2" t="s">
        <v>1084</v>
      </c>
      <c r="N87" s="2" t="s">
        <v>10</v>
      </c>
      <c r="O87" s="2" t="s">
        <v>10</v>
      </c>
    </row>
    <row r="88" spans="1:15" hidden="1" x14ac:dyDescent="0.25">
      <c r="A88" s="2" t="s">
        <v>987</v>
      </c>
      <c r="B88" s="3">
        <v>45621</v>
      </c>
      <c r="C88" s="5">
        <v>45597</v>
      </c>
      <c r="D88" s="2" t="s">
        <v>35</v>
      </c>
      <c r="E88" s="2">
        <v>4000</v>
      </c>
      <c r="F88" s="2" t="s">
        <v>116</v>
      </c>
      <c r="G88" s="2" t="s">
        <v>1034</v>
      </c>
      <c r="H88" s="4">
        <v>6483.02</v>
      </c>
      <c r="I88" s="4">
        <v>6483.02</v>
      </c>
      <c r="J88" s="4">
        <v>6483.02</v>
      </c>
      <c r="K88" s="4">
        <v>6483.02</v>
      </c>
      <c r="L88" s="4"/>
      <c r="M88" s="2" t="s">
        <v>1084</v>
      </c>
      <c r="N88" s="2" t="s">
        <v>10</v>
      </c>
      <c r="O88" s="2" t="s">
        <v>123</v>
      </c>
    </row>
    <row r="89" spans="1:15" hidden="1" x14ac:dyDescent="0.25">
      <c r="A89" s="2" t="s">
        <v>921</v>
      </c>
      <c r="B89" s="3">
        <v>45297</v>
      </c>
      <c r="C89" s="5">
        <v>45292</v>
      </c>
      <c r="D89" s="2" t="s">
        <v>59</v>
      </c>
      <c r="E89" s="2">
        <v>6200</v>
      </c>
      <c r="F89" s="2" t="s">
        <v>58</v>
      </c>
      <c r="G89" s="2" t="s">
        <v>1038</v>
      </c>
      <c r="H89" s="4">
        <v>-1099.57</v>
      </c>
      <c r="I89" s="4">
        <v>-1099.57</v>
      </c>
      <c r="J89" s="4">
        <v>-1099.57</v>
      </c>
      <c r="K89" s="4">
        <v>1099.57</v>
      </c>
      <c r="L89" s="4"/>
      <c r="M89" s="2" t="s">
        <v>1084</v>
      </c>
      <c r="N89" s="2" t="s">
        <v>10</v>
      </c>
      <c r="O89" s="2" t="s">
        <v>10</v>
      </c>
    </row>
    <row r="90" spans="1:15" hidden="1" x14ac:dyDescent="0.25">
      <c r="A90" s="2" t="s">
        <v>430</v>
      </c>
      <c r="B90" s="3">
        <v>45451</v>
      </c>
      <c r="C90" s="5">
        <v>45444</v>
      </c>
      <c r="D90" s="2" t="s">
        <v>39</v>
      </c>
      <c r="E90" s="2">
        <v>6500</v>
      </c>
      <c r="F90" s="2" t="s">
        <v>69</v>
      </c>
      <c r="G90" s="2" t="s">
        <v>1052</v>
      </c>
      <c r="H90" s="4">
        <v>-6770.08</v>
      </c>
      <c r="I90" s="4">
        <v>-6770.08</v>
      </c>
      <c r="J90" s="4">
        <v>-6770.08</v>
      </c>
      <c r="K90" s="4">
        <v>6770.08</v>
      </c>
      <c r="L90" s="4"/>
      <c r="M90" s="2" t="s">
        <v>1084</v>
      </c>
      <c r="N90" s="2" t="s">
        <v>10</v>
      </c>
      <c r="O90" s="2" t="s">
        <v>10</v>
      </c>
    </row>
    <row r="91" spans="1:15" hidden="1" x14ac:dyDescent="0.25">
      <c r="A91" s="2" t="s">
        <v>405</v>
      </c>
      <c r="B91" s="3">
        <v>45593</v>
      </c>
      <c r="C91" s="5">
        <v>45566</v>
      </c>
      <c r="D91" s="2" t="s">
        <v>28</v>
      </c>
      <c r="E91" s="2">
        <v>6900</v>
      </c>
      <c r="F91" s="2" t="s">
        <v>195</v>
      </c>
      <c r="G91" s="2" t="s">
        <v>1048</v>
      </c>
      <c r="H91" s="4">
        <v>-146.84</v>
      </c>
      <c r="I91" s="4">
        <v>-146.84</v>
      </c>
      <c r="J91" s="4">
        <v>-146.84</v>
      </c>
      <c r="K91" s="4">
        <v>146.84</v>
      </c>
      <c r="L91" s="4"/>
      <c r="M91" s="2" t="s">
        <v>1084</v>
      </c>
      <c r="N91" s="2" t="s">
        <v>10</v>
      </c>
      <c r="O91" s="2" t="s">
        <v>10</v>
      </c>
    </row>
    <row r="92" spans="1:15" hidden="1" x14ac:dyDescent="0.25">
      <c r="A92" s="2" t="s">
        <v>90</v>
      </c>
      <c r="B92" s="3">
        <v>45549</v>
      </c>
      <c r="C92" s="5">
        <v>45536</v>
      </c>
      <c r="D92" s="2" t="s">
        <v>24</v>
      </c>
      <c r="E92" s="2">
        <v>6300</v>
      </c>
      <c r="F92" s="2" t="s">
        <v>23</v>
      </c>
      <c r="G92" s="2" t="s">
        <v>1045</v>
      </c>
      <c r="H92" s="4">
        <v>-692.91</v>
      </c>
      <c r="I92" s="4">
        <v>-692.91</v>
      </c>
      <c r="J92" s="4">
        <v>-692.91</v>
      </c>
      <c r="K92" s="4">
        <v>692.91</v>
      </c>
      <c r="L92" s="4"/>
      <c r="M92" s="2" t="s">
        <v>1084</v>
      </c>
      <c r="N92" s="2" t="s">
        <v>10</v>
      </c>
      <c r="O92" s="2" t="s">
        <v>10</v>
      </c>
    </row>
    <row r="93" spans="1:15" hidden="1" x14ac:dyDescent="0.25">
      <c r="A93" s="2" t="s">
        <v>491</v>
      </c>
      <c r="B93" s="3">
        <v>45604</v>
      </c>
      <c r="C93" s="5">
        <v>45597</v>
      </c>
      <c r="D93" s="2" t="s">
        <v>28</v>
      </c>
      <c r="E93" s="2">
        <v>6900</v>
      </c>
      <c r="F93" s="2" t="s">
        <v>195</v>
      </c>
      <c r="G93" s="2" t="s">
        <v>1048</v>
      </c>
      <c r="H93" s="4">
        <v>-115.58</v>
      </c>
      <c r="I93" s="4">
        <v>-115.58</v>
      </c>
      <c r="J93" s="4">
        <v>-115.58</v>
      </c>
      <c r="K93" s="4">
        <v>115.58</v>
      </c>
      <c r="L93" s="4"/>
      <c r="M93" s="2" t="s">
        <v>1084</v>
      </c>
      <c r="N93" s="2" t="s">
        <v>10</v>
      </c>
      <c r="O93" s="2" t="s">
        <v>10</v>
      </c>
    </row>
    <row r="94" spans="1:15" hidden="1" x14ac:dyDescent="0.25">
      <c r="A94" s="2" t="s">
        <v>390</v>
      </c>
      <c r="B94" s="3">
        <v>45443</v>
      </c>
      <c r="C94" s="5">
        <v>45413</v>
      </c>
      <c r="D94" s="2" t="s">
        <v>28</v>
      </c>
      <c r="E94" s="2">
        <v>6900</v>
      </c>
      <c r="F94" s="2" t="s">
        <v>76</v>
      </c>
      <c r="G94" s="2" t="s">
        <v>1047</v>
      </c>
      <c r="H94" s="4">
        <v>-71.19</v>
      </c>
      <c r="I94" s="4">
        <v>-71.19</v>
      </c>
      <c r="J94" s="4">
        <v>-71.19</v>
      </c>
      <c r="K94" s="4">
        <v>71.19</v>
      </c>
      <c r="L94" s="4"/>
      <c r="M94" s="2" t="s">
        <v>1084</v>
      </c>
      <c r="N94" s="2" t="s">
        <v>10</v>
      </c>
      <c r="O94" s="2" t="s">
        <v>10</v>
      </c>
    </row>
    <row r="95" spans="1:15" hidden="1" x14ac:dyDescent="0.25">
      <c r="A95" s="2" t="s">
        <v>640</v>
      </c>
      <c r="B95" s="3">
        <v>45427</v>
      </c>
      <c r="C95" s="5">
        <v>45413</v>
      </c>
      <c r="D95" s="2" t="s">
        <v>59</v>
      </c>
      <c r="E95" s="2">
        <v>6200</v>
      </c>
      <c r="F95" s="2" t="s">
        <v>58</v>
      </c>
      <c r="G95" s="2" t="s">
        <v>1038</v>
      </c>
      <c r="H95" s="4">
        <v>-326.26</v>
      </c>
      <c r="I95" s="4">
        <v>-326.26</v>
      </c>
      <c r="J95" s="4">
        <v>-326.26</v>
      </c>
      <c r="K95" s="4">
        <v>326.26</v>
      </c>
      <c r="L95" s="4"/>
      <c r="M95" s="2" t="s">
        <v>1084</v>
      </c>
      <c r="N95" s="2" t="s">
        <v>10</v>
      </c>
      <c r="O95" s="2" t="s">
        <v>10</v>
      </c>
    </row>
    <row r="96" spans="1:15" hidden="1" x14ac:dyDescent="0.25">
      <c r="A96" s="2" t="s">
        <v>26</v>
      </c>
      <c r="B96" s="3">
        <v>45550</v>
      </c>
      <c r="C96" s="5">
        <v>45536</v>
      </c>
      <c r="D96" s="2" t="s">
        <v>28</v>
      </c>
      <c r="E96" s="2">
        <v>6900</v>
      </c>
      <c r="F96" s="2" t="s">
        <v>27</v>
      </c>
      <c r="G96" s="2" t="s">
        <v>1041</v>
      </c>
      <c r="H96" s="4">
        <v>-46.95</v>
      </c>
      <c r="I96" s="4">
        <v>-46.95</v>
      </c>
      <c r="J96" s="4">
        <v>-46.95</v>
      </c>
      <c r="K96" s="4">
        <v>46.95</v>
      </c>
      <c r="L96" s="4"/>
      <c r="M96" s="2" t="s">
        <v>1084</v>
      </c>
      <c r="N96" s="2" t="s">
        <v>10</v>
      </c>
      <c r="O96" s="2" t="s">
        <v>10</v>
      </c>
    </row>
    <row r="97" spans="1:15" hidden="1" x14ac:dyDescent="0.25">
      <c r="A97" s="2" t="s">
        <v>477</v>
      </c>
      <c r="B97" s="3">
        <v>45348</v>
      </c>
      <c r="C97" s="5">
        <v>45323</v>
      </c>
      <c r="D97" s="2" t="s">
        <v>52</v>
      </c>
      <c r="E97" s="2">
        <v>6000</v>
      </c>
      <c r="F97" s="2" t="s">
        <v>51</v>
      </c>
      <c r="G97" s="2" t="s">
        <v>1033</v>
      </c>
      <c r="H97" s="4">
        <v>-4206.99</v>
      </c>
      <c r="I97" s="4">
        <v>-4206.99</v>
      </c>
      <c r="J97" s="4">
        <v>-4206.99</v>
      </c>
      <c r="K97" s="4">
        <v>4206.99</v>
      </c>
      <c r="L97" s="4"/>
      <c r="M97" s="2" t="s">
        <v>1084</v>
      </c>
      <c r="N97" s="2" t="s">
        <v>10</v>
      </c>
      <c r="O97" s="2" t="s">
        <v>10</v>
      </c>
    </row>
    <row r="98" spans="1:15" hidden="1" x14ac:dyDescent="0.25">
      <c r="A98" s="2" t="s">
        <v>882</v>
      </c>
      <c r="B98" s="3">
        <v>45379</v>
      </c>
      <c r="C98" s="5">
        <v>45352</v>
      </c>
      <c r="D98" s="2" t="s">
        <v>52</v>
      </c>
      <c r="E98" s="2">
        <v>6000</v>
      </c>
      <c r="F98" s="2" t="s">
        <v>51</v>
      </c>
      <c r="G98" s="2" t="s">
        <v>1033</v>
      </c>
      <c r="H98" s="4">
        <v>-5804.82</v>
      </c>
      <c r="I98" s="4">
        <v>-5804.82</v>
      </c>
      <c r="J98" s="4">
        <v>-5804.82</v>
      </c>
      <c r="K98" s="4">
        <v>5804.82</v>
      </c>
      <c r="L98" s="4"/>
      <c r="M98" s="2" t="s">
        <v>1084</v>
      </c>
      <c r="N98" s="2" t="s">
        <v>10</v>
      </c>
      <c r="O98" s="2" t="s">
        <v>10</v>
      </c>
    </row>
    <row r="99" spans="1:15" hidden="1" x14ac:dyDescent="0.25">
      <c r="A99" s="2" t="s">
        <v>604</v>
      </c>
      <c r="B99" s="3">
        <v>45511</v>
      </c>
      <c r="C99" s="5">
        <v>45505</v>
      </c>
      <c r="D99" s="2" t="s">
        <v>9</v>
      </c>
      <c r="E99" s="2">
        <v>6100</v>
      </c>
      <c r="F99" s="2" t="s">
        <v>48</v>
      </c>
      <c r="G99" s="2" t="s">
        <v>1043</v>
      </c>
      <c r="H99" s="4">
        <v>-1938.05</v>
      </c>
      <c r="I99" s="4">
        <v>-1938.05</v>
      </c>
      <c r="J99" s="4">
        <v>-1938.05</v>
      </c>
      <c r="K99" s="4">
        <v>1938.05</v>
      </c>
      <c r="L99" s="4"/>
      <c r="M99" s="2" t="s">
        <v>1084</v>
      </c>
      <c r="N99" s="2" t="s">
        <v>10</v>
      </c>
      <c r="O99" s="2" t="s">
        <v>10</v>
      </c>
    </row>
    <row r="100" spans="1:15" hidden="1" x14ac:dyDescent="0.25">
      <c r="A100" s="2" t="s">
        <v>620</v>
      </c>
      <c r="B100" s="3">
        <v>45535</v>
      </c>
      <c r="C100" s="5">
        <v>45505</v>
      </c>
      <c r="D100" s="2" t="s">
        <v>9</v>
      </c>
      <c r="E100" s="2">
        <v>6100</v>
      </c>
      <c r="F100" s="2" t="s">
        <v>48</v>
      </c>
      <c r="G100" s="2" t="s">
        <v>1043</v>
      </c>
      <c r="H100" s="4">
        <v>-5274.96</v>
      </c>
      <c r="I100" s="4">
        <v>-5274.96</v>
      </c>
      <c r="J100" s="4">
        <v>-5274.96</v>
      </c>
      <c r="K100" s="4">
        <v>5274.96</v>
      </c>
      <c r="L100" s="4"/>
      <c r="M100" s="2" t="s">
        <v>1084</v>
      </c>
      <c r="N100" s="2" t="s">
        <v>10</v>
      </c>
      <c r="O100" s="2" t="s">
        <v>10</v>
      </c>
    </row>
    <row r="101" spans="1:15" hidden="1" x14ac:dyDescent="0.25">
      <c r="A101" s="2" t="s">
        <v>270</v>
      </c>
      <c r="B101" s="3">
        <v>45335</v>
      </c>
      <c r="C101" s="5">
        <v>45323</v>
      </c>
      <c r="D101" s="2" t="s">
        <v>18</v>
      </c>
      <c r="E101" s="2">
        <v>5100</v>
      </c>
      <c r="F101" s="2" t="s">
        <v>81</v>
      </c>
      <c r="G101" s="2" t="s">
        <v>1039</v>
      </c>
      <c r="H101" s="4">
        <v>-2681.95</v>
      </c>
      <c r="I101" s="4">
        <v>-2681.95</v>
      </c>
      <c r="J101" s="4">
        <v>-2681.95</v>
      </c>
      <c r="K101" s="4">
        <v>2681.95</v>
      </c>
      <c r="L101" s="4"/>
      <c r="M101" s="2" t="s">
        <v>1084</v>
      </c>
      <c r="N101" s="2" t="s">
        <v>10</v>
      </c>
      <c r="O101" s="2" t="s">
        <v>10</v>
      </c>
    </row>
    <row r="102" spans="1:15" hidden="1" x14ac:dyDescent="0.25">
      <c r="A102" s="2" t="s">
        <v>757</v>
      </c>
      <c r="B102" s="3">
        <v>45477</v>
      </c>
      <c r="C102" s="5">
        <v>45474</v>
      </c>
      <c r="D102" s="2" t="s">
        <v>28</v>
      </c>
      <c r="E102" s="2">
        <v>6900</v>
      </c>
      <c r="F102" s="2" t="s">
        <v>27</v>
      </c>
      <c r="G102" s="2" t="s">
        <v>1041</v>
      </c>
      <c r="H102" s="4">
        <v>-53.74</v>
      </c>
      <c r="I102" s="4">
        <v>-53.74</v>
      </c>
      <c r="J102" s="4">
        <v>-53.74</v>
      </c>
      <c r="K102" s="4">
        <v>53.74</v>
      </c>
      <c r="L102" s="4"/>
      <c r="M102" s="2" t="s">
        <v>1084</v>
      </c>
      <c r="N102" s="2" t="s">
        <v>10</v>
      </c>
      <c r="O102" s="2" t="s">
        <v>10</v>
      </c>
    </row>
    <row r="103" spans="1:15" hidden="1" x14ac:dyDescent="0.25">
      <c r="A103" s="2" t="s">
        <v>130</v>
      </c>
      <c r="B103" s="3">
        <v>45425</v>
      </c>
      <c r="C103" s="5">
        <v>45413</v>
      </c>
      <c r="D103" s="2" t="s">
        <v>18</v>
      </c>
      <c r="E103" s="2">
        <v>5100</v>
      </c>
      <c r="F103" s="2" t="s">
        <v>17</v>
      </c>
      <c r="G103" s="2" t="s">
        <v>1037</v>
      </c>
      <c r="H103" s="4">
        <v>-12003.16</v>
      </c>
      <c r="I103" s="4">
        <v>-12003.16</v>
      </c>
      <c r="J103" s="4">
        <v>-12003.16</v>
      </c>
      <c r="K103" s="4">
        <v>12003.16</v>
      </c>
      <c r="L103" s="4"/>
      <c r="M103" s="2" t="s">
        <v>1084</v>
      </c>
      <c r="N103" s="2" t="s">
        <v>10</v>
      </c>
      <c r="O103" s="2" t="s">
        <v>10</v>
      </c>
    </row>
    <row r="104" spans="1:15" hidden="1" x14ac:dyDescent="0.25">
      <c r="A104" s="2" t="s">
        <v>483</v>
      </c>
      <c r="B104" s="3">
        <v>45475</v>
      </c>
      <c r="C104" s="5">
        <v>45474</v>
      </c>
      <c r="D104" s="2" t="s">
        <v>28</v>
      </c>
      <c r="E104" s="2">
        <v>6900</v>
      </c>
      <c r="F104" s="2" t="s">
        <v>76</v>
      </c>
      <c r="G104" s="2" t="s">
        <v>1047</v>
      </c>
      <c r="H104" s="4">
        <v>-25.06</v>
      </c>
      <c r="I104" s="4">
        <v>-25.06</v>
      </c>
      <c r="J104" s="4">
        <v>-25.06</v>
      </c>
      <c r="K104" s="4">
        <v>25.06</v>
      </c>
      <c r="L104" s="4"/>
      <c r="M104" s="2" t="s">
        <v>1084</v>
      </c>
      <c r="N104" s="2" t="s">
        <v>10</v>
      </c>
      <c r="O104" s="2" t="s">
        <v>10</v>
      </c>
    </row>
    <row r="105" spans="1:15" hidden="1" x14ac:dyDescent="0.25">
      <c r="A105" s="2" t="s">
        <v>435</v>
      </c>
      <c r="B105" s="3">
        <v>45641</v>
      </c>
      <c r="C105" s="5">
        <v>45627</v>
      </c>
      <c r="D105" s="2" t="s">
        <v>35</v>
      </c>
      <c r="E105" s="2">
        <v>4000</v>
      </c>
      <c r="F105" s="2" t="s">
        <v>116</v>
      </c>
      <c r="G105" s="2" t="s">
        <v>1034</v>
      </c>
      <c r="H105" s="4">
        <v>19471.23</v>
      </c>
      <c r="I105" s="4">
        <v>19471.23</v>
      </c>
      <c r="J105" s="4">
        <v>19471.23</v>
      </c>
      <c r="K105" s="4">
        <v>19471.23</v>
      </c>
      <c r="L105" s="4"/>
      <c r="M105" s="2" t="s">
        <v>1084</v>
      </c>
      <c r="N105" s="2" t="s">
        <v>10</v>
      </c>
      <c r="O105" s="2" t="s">
        <v>10</v>
      </c>
    </row>
    <row r="106" spans="1:15" hidden="1" x14ac:dyDescent="0.25">
      <c r="A106" s="2" t="s">
        <v>124</v>
      </c>
      <c r="B106" s="3">
        <v>45319</v>
      </c>
      <c r="C106" s="5">
        <v>45292</v>
      </c>
      <c r="D106" s="2" t="s">
        <v>39</v>
      </c>
      <c r="E106" s="2">
        <v>6500</v>
      </c>
      <c r="F106" s="2" t="s">
        <v>42</v>
      </c>
      <c r="G106" s="2" t="s">
        <v>1036</v>
      </c>
      <c r="H106" s="4">
        <v>-3211.99</v>
      </c>
      <c r="I106" s="4">
        <v>-3211.99</v>
      </c>
      <c r="J106" s="4">
        <v>-3211.99</v>
      </c>
      <c r="K106" s="4">
        <v>3211.99</v>
      </c>
      <c r="L106" s="4"/>
      <c r="M106" s="2" t="s">
        <v>1084</v>
      </c>
      <c r="N106" s="2" t="s">
        <v>10</v>
      </c>
      <c r="O106" s="2" t="s">
        <v>10</v>
      </c>
    </row>
    <row r="107" spans="1:15" hidden="1" x14ac:dyDescent="0.25">
      <c r="A107" s="2" t="s">
        <v>649</v>
      </c>
      <c r="B107" s="3">
        <v>45655</v>
      </c>
      <c r="C107" s="5">
        <v>45627</v>
      </c>
      <c r="D107" s="2" t="s">
        <v>39</v>
      </c>
      <c r="E107" s="2">
        <v>6500</v>
      </c>
      <c r="F107" s="2" t="s">
        <v>38</v>
      </c>
      <c r="G107" s="2" t="s">
        <v>1029</v>
      </c>
      <c r="H107" s="4">
        <v>-7989.08</v>
      </c>
      <c r="I107" s="4">
        <v>-7989.08</v>
      </c>
      <c r="J107" s="4">
        <v>-7989.08</v>
      </c>
      <c r="K107" s="4">
        <v>7989.08</v>
      </c>
      <c r="L107" s="4"/>
      <c r="M107" s="2" t="s">
        <v>1084</v>
      </c>
      <c r="N107" s="2" t="s">
        <v>10</v>
      </c>
      <c r="O107" s="2" t="s">
        <v>10</v>
      </c>
    </row>
    <row r="108" spans="1:15" hidden="1" x14ac:dyDescent="0.25">
      <c r="A108" s="2" t="s">
        <v>312</v>
      </c>
      <c r="B108" s="3">
        <v>45456</v>
      </c>
      <c r="C108" s="5">
        <v>45444</v>
      </c>
      <c r="D108" s="2" t="s">
        <v>39</v>
      </c>
      <c r="E108" s="2">
        <v>6500</v>
      </c>
      <c r="F108" s="2" t="s">
        <v>38</v>
      </c>
      <c r="G108" s="2" t="s">
        <v>1029</v>
      </c>
      <c r="H108" s="4">
        <v>-1358.61</v>
      </c>
      <c r="I108" s="4">
        <v>-1358.61</v>
      </c>
      <c r="J108" s="4">
        <v>-1358.61</v>
      </c>
      <c r="K108" s="4">
        <v>1358.61</v>
      </c>
      <c r="L108" s="4"/>
      <c r="M108" s="2" t="s">
        <v>1084</v>
      </c>
      <c r="N108" s="2" t="s">
        <v>10</v>
      </c>
      <c r="O108" s="2" t="s">
        <v>10</v>
      </c>
    </row>
    <row r="109" spans="1:15" hidden="1" x14ac:dyDescent="0.25">
      <c r="A109" s="2" t="s">
        <v>296</v>
      </c>
      <c r="B109" s="3">
        <v>45573</v>
      </c>
      <c r="C109" s="5">
        <v>45566</v>
      </c>
      <c r="D109" s="2" t="s">
        <v>9</v>
      </c>
      <c r="E109" s="2">
        <v>6100</v>
      </c>
      <c r="F109" s="2" t="s">
        <v>44</v>
      </c>
      <c r="G109" s="2" t="s">
        <v>1054</v>
      </c>
      <c r="H109" s="4">
        <v>-2998.56</v>
      </c>
      <c r="I109" s="4">
        <v>-2998.56</v>
      </c>
      <c r="J109" s="4">
        <v>-2998.56</v>
      </c>
      <c r="K109" s="4">
        <v>2998.56</v>
      </c>
      <c r="L109" s="4"/>
      <c r="M109" s="2" t="s">
        <v>1084</v>
      </c>
      <c r="N109" s="2" t="s">
        <v>10</v>
      </c>
      <c r="O109" s="2" t="s">
        <v>10</v>
      </c>
    </row>
    <row r="110" spans="1:15" hidden="1" x14ac:dyDescent="0.25">
      <c r="A110" s="2" t="s">
        <v>126</v>
      </c>
      <c r="B110" s="3">
        <v>45446</v>
      </c>
      <c r="C110" s="5">
        <v>45444</v>
      </c>
      <c r="D110" s="2" t="s">
        <v>24</v>
      </c>
      <c r="E110" s="2">
        <v>6300</v>
      </c>
      <c r="F110" s="2" t="s">
        <v>127</v>
      </c>
      <c r="G110" s="2" t="s">
        <v>1035</v>
      </c>
      <c r="H110" s="4">
        <v>-840.95</v>
      </c>
      <c r="I110" s="4">
        <v>-840.95</v>
      </c>
      <c r="J110" s="4">
        <v>-840.95</v>
      </c>
      <c r="K110" s="4">
        <v>840.95</v>
      </c>
      <c r="L110" s="4"/>
      <c r="M110" s="2" t="s">
        <v>1084</v>
      </c>
      <c r="N110" s="2" t="s">
        <v>10</v>
      </c>
      <c r="O110" s="2" t="s">
        <v>10</v>
      </c>
    </row>
    <row r="111" spans="1:15" hidden="1" x14ac:dyDescent="0.25">
      <c r="A111" s="2" t="s">
        <v>783</v>
      </c>
      <c r="B111" s="3">
        <v>45405</v>
      </c>
      <c r="C111" s="5">
        <v>45383</v>
      </c>
      <c r="D111" s="2" t="s">
        <v>39</v>
      </c>
      <c r="E111" s="2">
        <v>6500</v>
      </c>
      <c r="F111" s="2" t="s">
        <v>42</v>
      </c>
      <c r="G111" s="2" t="s">
        <v>1036</v>
      </c>
      <c r="H111" s="4">
        <v>-7849.45</v>
      </c>
      <c r="I111" s="4">
        <v>-7849.45</v>
      </c>
      <c r="J111" s="4">
        <v>-7849.45</v>
      </c>
      <c r="K111" s="4">
        <v>7849.45</v>
      </c>
      <c r="L111" s="4"/>
      <c r="M111" s="2" t="s">
        <v>1084</v>
      </c>
      <c r="N111" s="2" t="s">
        <v>10</v>
      </c>
      <c r="O111" s="2" t="s">
        <v>10</v>
      </c>
    </row>
    <row r="112" spans="1:15" hidden="1" x14ac:dyDescent="0.25">
      <c r="A112" s="2" t="s">
        <v>330</v>
      </c>
      <c r="B112" s="3">
        <v>45573</v>
      </c>
      <c r="C112" s="5">
        <v>45566</v>
      </c>
      <c r="D112" s="2" t="s">
        <v>52</v>
      </c>
      <c r="E112" s="2">
        <v>6000</v>
      </c>
      <c r="F112" s="2" t="s">
        <v>51</v>
      </c>
      <c r="G112" s="2" t="s">
        <v>1033</v>
      </c>
      <c r="H112" s="4">
        <v>-2948.97</v>
      </c>
      <c r="I112" s="4">
        <v>-2948.97</v>
      </c>
      <c r="J112" s="4">
        <v>-2948.97</v>
      </c>
      <c r="K112" s="4">
        <v>2948.97</v>
      </c>
      <c r="L112" s="4"/>
      <c r="M112" s="2" t="s">
        <v>1084</v>
      </c>
      <c r="N112" s="2" t="s">
        <v>10</v>
      </c>
      <c r="O112" s="2" t="s">
        <v>10</v>
      </c>
    </row>
    <row r="113" spans="1:15" hidden="1" x14ac:dyDescent="0.25">
      <c r="A113" s="2" t="s">
        <v>187</v>
      </c>
      <c r="B113" s="3">
        <v>45542</v>
      </c>
      <c r="C113" s="5">
        <v>45536</v>
      </c>
      <c r="D113" s="2" t="s">
        <v>39</v>
      </c>
      <c r="E113" s="2">
        <v>6500</v>
      </c>
      <c r="F113" s="2" t="s">
        <v>38</v>
      </c>
      <c r="G113" s="2" t="s">
        <v>1029</v>
      </c>
      <c r="H113" s="4">
        <v>-6357.29</v>
      </c>
      <c r="I113" s="4">
        <v>-6357.29</v>
      </c>
      <c r="J113" s="4">
        <v>-6357.29</v>
      </c>
      <c r="K113" s="4">
        <v>6357.29</v>
      </c>
      <c r="L113" s="4"/>
      <c r="M113" s="2" t="s">
        <v>1084</v>
      </c>
      <c r="N113" s="2" t="s">
        <v>10</v>
      </c>
      <c r="O113" s="2" t="s">
        <v>10</v>
      </c>
    </row>
    <row r="114" spans="1:15" hidden="1" x14ac:dyDescent="0.25">
      <c r="A114" s="2" t="s">
        <v>647</v>
      </c>
      <c r="B114" s="3">
        <v>45344</v>
      </c>
      <c r="C114" s="5">
        <v>45323</v>
      </c>
      <c r="D114" s="2" t="s">
        <v>13</v>
      </c>
      <c r="E114" s="2">
        <v>6400</v>
      </c>
      <c r="F114" s="2" t="s">
        <v>15</v>
      </c>
      <c r="G114" s="2" t="s">
        <v>1044</v>
      </c>
      <c r="H114" s="4">
        <v>-3106.18</v>
      </c>
      <c r="I114" s="4">
        <v>-3106.18</v>
      </c>
      <c r="J114" s="4">
        <v>-3106.18</v>
      </c>
      <c r="K114" s="4">
        <v>3106.18</v>
      </c>
      <c r="L114" s="4"/>
      <c r="M114" s="2" t="s">
        <v>1084</v>
      </c>
      <c r="N114" s="2" t="s">
        <v>10</v>
      </c>
      <c r="O114" s="2" t="s">
        <v>10</v>
      </c>
    </row>
    <row r="115" spans="1:15" hidden="1" x14ac:dyDescent="0.25">
      <c r="A115" s="2" t="s">
        <v>772</v>
      </c>
      <c r="B115" s="3">
        <v>45549</v>
      </c>
      <c r="C115" s="5">
        <v>45536</v>
      </c>
      <c r="D115" s="2" t="s">
        <v>24</v>
      </c>
      <c r="E115" s="2">
        <v>6300</v>
      </c>
      <c r="F115" s="2" t="s">
        <v>23</v>
      </c>
      <c r="G115" s="2" t="s">
        <v>1045</v>
      </c>
      <c r="H115" s="4">
        <v>-603.84</v>
      </c>
      <c r="I115" s="4">
        <v>-603.84</v>
      </c>
      <c r="J115" s="4">
        <v>-603.84</v>
      </c>
      <c r="K115" s="4">
        <v>603.84</v>
      </c>
      <c r="L115" s="4"/>
      <c r="M115" s="2" t="s">
        <v>1084</v>
      </c>
      <c r="N115" s="2" t="s">
        <v>10</v>
      </c>
      <c r="O115" s="2" t="s">
        <v>10</v>
      </c>
    </row>
    <row r="116" spans="1:15" hidden="1" x14ac:dyDescent="0.25">
      <c r="A116" s="2" t="s">
        <v>391</v>
      </c>
      <c r="B116" s="3">
        <v>45566</v>
      </c>
      <c r="C116" s="5">
        <v>45566</v>
      </c>
      <c r="D116" s="2" t="s">
        <v>13</v>
      </c>
      <c r="E116" s="2">
        <v>6400</v>
      </c>
      <c r="F116" s="2" t="s">
        <v>21</v>
      </c>
      <c r="G116" s="2" t="s">
        <v>1030</v>
      </c>
      <c r="H116" s="4">
        <v>-2927.25</v>
      </c>
      <c r="I116" s="4">
        <v>-2927.25</v>
      </c>
      <c r="J116" s="4">
        <v>-2927.25</v>
      </c>
      <c r="K116" s="4">
        <v>2927.25</v>
      </c>
      <c r="L116" s="4"/>
      <c r="M116" s="2" t="s">
        <v>1084</v>
      </c>
      <c r="N116" s="2" t="s">
        <v>10</v>
      </c>
      <c r="O116" s="2" t="s">
        <v>10</v>
      </c>
    </row>
    <row r="117" spans="1:15" hidden="1" x14ac:dyDescent="0.25">
      <c r="A117" s="2" t="s">
        <v>644</v>
      </c>
      <c r="B117" s="3">
        <v>45433</v>
      </c>
      <c r="C117" s="5">
        <v>45413</v>
      </c>
      <c r="D117" s="2" t="s">
        <v>13</v>
      </c>
      <c r="E117" s="2">
        <v>6400</v>
      </c>
      <c r="F117" s="2" t="s">
        <v>15</v>
      </c>
      <c r="G117" s="2" t="s">
        <v>1044</v>
      </c>
      <c r="H117" s="4">
        <v>-683.14</v>
      </c>
      <c r="I117" s="4">
        <v>-683.14</v>
      </c>
      <c r="J117" s="4">
        <v>-683.14</v>
      </c>
      <c r="K117" s="4">
        <v>683.14</v>
      </c>
      <c r="L117" s="4"/>
      <c r="M117" s="2" t="s">
        <v>1084</v>
      </c>
      <c r="N117" s="2" t="s">
        <v>10</v>
      </c>
      <c r="O117" s="2" t="s">
        <v>10</v>
      </c>
    </row>
    <row r="118" spans="1:15" hidden="1" x14ac:dyDescent="0.25">
      <c r="A118" s="2" t="s">
        <v>473</v>
      </c>
      <c r="B118" s="3">
        <v>45629</v>
      </c>
      <c r="C118" s="5">
        <v>45627</v>
      </c>
      <c r="D118" s="2" t="s">
        <v>35</v>
      </c>
      <c r="E118" s="2">
        <v>4000</v>
      </c>
      <c r="F118" s="2" t="s">
        <v>103</v>
      </c>
      <c r="G118" s="2" t="s">
        <v>1049</v>
      </c>
      <c r="H118" s="4">
        <v>14028.53</v>
      </c>
      <c r="I118" s="4">
        <v>14028.53</v>
      </c>
      <c r="J118" s="4">
        <v>14028.53</v>
      </c>
      <c r="K118" s="4">
        <v>14028.53</v>
      </c>
      <c r="L118" s="4"/>
      <c r="M118" s="2" t="s">
        <v>1084</v>
      </c>
      <c r="N118" s="2" t="s">
        <v>10</v>
      </c>
      <c r="O118" s="2" t="s">
        <v>10</v>
      </c>
    </row>
    <row r="119" spans="1:15" hidden="1" x14ac:dyDescent="0.25">
      <c r="A119" s="2" t="s">
        <v>184</v>
      </c>
      <c r="B119" s="3">
        <v>45525</v>
      </c>
      <c r="C119" s="5">
        <v>45505</v>
      </c>
      <c r="D119" s="2" t="s">
        <v>18</v>
      </c>
      <c r="E119" s="2">
        <v>5100</v>
      </c>
      <c r="F119" s="2" t="s">
        <v>56</v>
      </c>
      <c r="G119" s="2" t="s">
        <v>1025</v>
      </c>
      <c r="H119" s="4">
        <v>-7611.34</v>
      </c>
      <c r="I119" s="4">
        <v>-7611.34</v>
      </c>
      <c r="J119" s="4">
        <v>-7611.34</v>
      </c>
      <c r="K119" s="4">
        <v>7611.34</v>
      </c>
      <c r="L119" s="4"/>
      <c r="M119" s="2" t="s">
        <v>1084</v>
      </c>
      <c r="N119" s="2" t="s">
        <v>10</v>
      </c>
      <c r="O119" s="2" t="s">
        <v>10</v>
      </c>
    </row>
    <row r="120" spans="1:15" hidden="1" x14ac:dyDescent="0.25">
      <c r="A120" s="2" t="s">
        <v>414</v>
      </c>
      <c r="B120" s="3">
        <v>45413</v>
      </c>
      <c r="C120" s="5">
        <v>45413</v>
      </c>
      <c r="D120" s="2" t="s">
        <v>52</v>
      </c>
      <c r="E120" s="2">
        <v>6000</v>
      </c>
      <c r="F120" s="2" t="s">
        <v>63</v>
      </c>
      <c r="G120" s="2" t="s">
        <v>1051</v>
      </c>
      <c r="H120" s="4">
        <v>-8353.2099999999991</v>
      </c>
      <c r="I120" s="4">
        <v>-8353.2099999999991</v>
      </c>
      <c r="J120" s="4">
        <v>-8353.2099999999991</v>
      </c>
      <c r="K120" s="4">
        <v>8353.2099999999991</v>
      </c>
      <c r="L120" s="4"/>
      <c r="M120" s="2" t="s">
        <v>1084</v>
      </c>
      <c r="N120" s="2" t="s">
        <v>10</v>
      </c>
      <c r="O120" s="2" t="s">
        <v>10</v>
      </c>
    </row>
    <row r="121" spans="1:15" x14ac:dyDescent="0.25">
      <c r="A121" s="2" t="s">
        <v>80</v>
      </c>
      <c r="B121" s="3">
        <v>45295</v>
      </c>
      <c r="C121" s="5">
        <v>45292</v>
      </c>
      <c r="D121" s="2" t="s">
        <v>18</v>
      </c>
      <c r="E121" s="2">
        <v>5100</v>
      </c>
      <c r="F121" s="2" t="s">
        <v>81</v>
      </c>
      <c r="G121" s="2" t="s">
        <v>1039</v>
      </c>
      <c r="H121" s="4">
        <v>-14882.22</v>
      </c>
      <c r="I121" s="4">
        <v>-148822.20000000001</v>
      </c>
      <c r="J121" s="4">
        <v>-14882.22</v>
      </c>
      <c r="K121" s="4">
        <v>14882.22</v>
      </c>
      <c r="L121" s="4">
        <v>133939.98000000001</v>
      </c>
      <c r="M121" s="2" t="s">
        <v>1085</v>
      </c>
      <c r="N121" s="2" t="s">
        <v>123</v>
      </c>
      <c r="O121" s="2" t="s">
        <v>10</v>
      </c>
    </row>
    <row r="122" spans="1:15" hidden="1" x14ac:dyDescent="0.25">
      <c r="A122" s="2" t="s">
        <v>22</v>
      </c>
      <c r="B122" s="3">
        <v>45538</v>
      </c>
      <c r="C122" s="5">
        <v>45536</v>
      </c>
      <c r="D122" s="2" t="s">
        <v>24</v>
      </c>
      <c r="E122" s="2">
        <v>6300</v>
      </c>
      <c r="F122" s="2" t="s">
        <v>23</v>
      </c>
      <c r="G122" s="2" t="s">
        <v>1045</v>
      </c>
      <c r="H122" s="4">
        <v>-474.48</v>
      </c>
      <c r="I122" s="4">
        <v>-474.48</v>
      </c>
      <c r="J122" s="4">
        <v>-474.48</v>
      </c>
      <c r="K122" s="4">
        <v>474.48</v>
      </c>
      <c r="L122" s="4"/>
      <c r="M122" s="2" t="s">
        <v>1084</v>
      </c>
      <c r="N122" s="2" t="s">
        <v>10</v>
      </c>
      <c r="O122" s="2" t="s">
        <v>10</v>
      </c>
    </row>
    <row r="123" spans="1:15" hidden="1" x14ac:dyDescent="0.25">
      <c r="A123" s="2" t="s">
        <v>303</v>
      </c>
      <c r="B123" s="3">
        <v>45368</v>
      </c>
      <c r="C123" s="5">
        <v>45352</v>
      </c>
      <c r="D123" s="2" t="s">
        <v>9</v>
      </c>
      <c r="E123" s="2">
        <v>6100</v>
      </c>
      <c r="F123" s="2" t="s">
        <v>8</v>
      </c>
      <c r="G123" s="2" t="s">
        <v>1042</v>
      </c>
      <c r="H123" s="4">
        <v>-1295.04</v>
      </c>
      <c r="I123" s="4">
        <v>-1295.04</v>
      </c>
      <c r="J123" s="4">
        <v>-1295.04</v>
      </c>
      <c r="K123" s="4">
        <v>1295.04</v>
      </c>
      <c r="L123" s="4"/>
      <c r="M123" s="2" t="s">
        <v>1084</v>
      </c>
      <c r="N123" s="2" t="s">
        <v>10</v>
      </c>
      <c r="O123" s="2" t="s">
        <v>10</v>
      </c>
    </row>
    <row r="124" spans="1:15" hidden="1" x14ac:dyDescent="0.25">
      <c r="A124" s="2" t="s">
        <v>552</v>
      </c>
      <c r="B124" s="3">
        <v>45568</v>
      </c>
      <c r="C124" s="5">
        <v>45566</v>
      </c>
      <c r="D124" s="2" t="s">
        <v>9</v>
      </c>
      <c r="E124" s="2">
        <v>6100</v>
      </c>
      <c r="F124" s="2" t="s">
        <v>8</v>
      </c>
      <c r="G124" s="2" t="s">
        <v>1042</v>
      </c>
      <c r="H124" s="4">
        <v>-5878.65</v>
      </c>
      <c r="I124" s="4">
        <v>-5878.65</v>
      </c>
      <c r="J124" s="4">
        <v>-5878.65</v>
      </c>
      <c r="K124" s="4">
        <v>5878.65</v>
      </c>
      <c r="L124" s="4"/>
      <c r="M124" s="2" t="s">
        <v>1084</v>
      </c>
      <c r="N124" s="2" t="s">
        <v>10</v>
      </c>
      <c r="O124" s="2" t="s">
        <v>10</v>
      </c>
    </row>
    <row r="125" spans="1:15" hidden="1" x14ac:dyDescent="0.25">
      <c r="A125" s="2" t="s">
        <v>717</v>
      </c>
      <c r="B125" s="3">
        <v>45483</v>
      </c>
      <c r="C125" s="5">
        <v>45474</v>
      </c>
      <c r="D125" s="2" t="s">
        <v>24</v>
      </c>
      <c r="E125" s="2">
        <v>6300</v>
      </c>
      <c r="F125" s="2" t="s">
        <v>94</v>
      </c>
      <c r="G125" s="2" t="s">
        <v>1053</v>
      </c>
      <c r="H125" s="4">
        <v>-300.13</v>
      </c>
      <c r="I125" s="4">
        <v>-300.13</v>
      </c>
      <c r="J125" s="4">
        <v>-300.13</v>
      </c>
      <c r="K125" s="4">
        <v>300.13</v>
      </c>
      <c r="L125" s="4"/>
      <c r="M125" s="2" t="s">
        <v>1084</v>
      </c>
      <c r="N125" s="2" t="s">
        <v>10</v>
      </c>
      <c r="O125" s="2" t="s">
        <v>10</v>
      </c>
    </row>
    <row r="126" spans="1:15" hidden="1" x14ac:dyDescent="0.25">
      <c r="A126" s="2" t="s">
        <v>563</v>
      </c>
      <c r="B126" s="3">
        <v>45462</v>
      </c>
      <c r="C126" s="5">
        <v>45444</v>
      </c>
      <c r="D126" s="2" t="s">
        <v>28</v>
      </c>
      <c r="E126" s="2">
        <v>6900</v>
      </c>
      <c r="F126" s="2" t="s">
        <v>76</v>
      </c>
      <c r="G126" s="2" t="s">
        <v>1047</v>
      </c>
      <c r="H126" s="4">
        <v>-66.59</v>
      </c>
      <c r="I126" s="4">
        <v>-66.59</v>
      </c>
      <c r="J126" s="4">
        <v>-66.59</v>
      </c>
      <c r="K126" s="4">
        <v>66.59</v>
      </c>
      <c r="L126" s="4"/>
      <c r="M126" s="2" t="s">
        <v>1084</v>
      </c>
      <c r="N126" s="2" t="s">
        <v>10</v>
      </c>
      <c r="O126" s="2" t="s">
        <v>10</v>
      </c>
    </row>
    <row r="127" spans="1:15" hidden="1" x14ac:dyDescent="0.25">
      <c r="A127" s="2" t="s">
        <v>205</v>
      </c>
      <c r="B127" s="3">
        <v>45351</v>
      </c>
      <c r="C127" s="5">
        <v>45323</v>
      </c>
      <c r="D127" s="2" t="s">
        <v>13</v>
      </c>
      <c r="E127" s="2">
        <v>6400</v>
      </c>
      <c r="F127" s="2" t="s">
        <v>21</v>
      </c>
      <c r="G127" s="2" t="s">
        <v>1030</v>
      </c>
      <c r="H127" s="4">
        <v>-255.85</v>
      </c>
      <c r="I127" s="4">
        <v>-255.85</v>
      </c>
      <c r="J127" s="4">
        <v>-255.85</v>
      </c>
      <c r="K127" s="4">
        <v>255.85</v>
      </c>
      <c r="L127" s="4"/>
      <c r="M127" s="2" t="s">
        <v>1084</v>
      </c>
      <c r="N127" s="2" t="s">
        <v>10</v>
      </c>
      <c r="O127" s="2" t="s">
        <v>10</v>
      </c>
    </row>
    <row r="128" spans="1:15" hidden="1" x14ac:dyDescent="0.25">
      <c r="A128" s="2" t="s">
        <v>936</v>
      </c>
      <c r="B128" s="3">
        <v>45551</v>
      </c>
      <c r="C128" s="5">
        <v>45536</v>
      </c>
      <c r="D128" s="2" t="s">
        <v>35</v>
      </c>
      <c r="E128" s="2">
        <v>4000</v>
      </c>
      <c r="F128" s="2" t="s">
        <v>34</v>
      </c>
      <c r="G128" s="2" t="s">
        <v>1027</v>
      </c>
      <c r="H128" s="4">
        <v>9156.77</v>
      </c>
      <c r="I128" s="4">
        <v>9156.77</v>
      </c>
      <c r="J128" s="4">
        <v>9156.77</v>
      </c>
      <c r="K128" s="4">
        <v>9156.77</v>
      </c>
      <c r="L128" s="4"/>
      <c r="M128" s="2" t="s">
        <v>1084</v>
      </c>
      <c r="N128" s="2" t="s">
        <v>10</v>
      </c>
      <c r="O128" s="2" t="s">
        <v>10</v>
      </c>
    </row>
    <row r="129" spans="1:15" hidden="1" x14ac:dyDescent="0.25">
      <c r="A129" s="2" t="s">
        <v>674</v>
      </c>
      <c r="B129" s="3">
        <v>45352</v>
      </c>
      <c r="C129" s="5">
        <v>45352</v>
      </c>
      <c r="D129" s="2" t="s">
        <v>39</v>
      </c>
      <c r="E129" s="2">
        <v>6500</v>
      </c>
      <c r="F129" s="2" t="s">
        <v>69</v>
      </c>
      <c r="G129" s="2" t="s">
        <v>1052</v>
      </c>
      <c r="H129" s="4">
        <v>-6331.59</v>
      </c>
      <c r="I129" s="4">
        <v>-6331.59</v>
      </c>
      <c r="J129" s="4">
        <v>-6331.59</v>
      </c>
      <c r="K129" s="4">
        <v>6331.59</v>
      </c>
      <c r="L129" s="4"/>
      <c r="M129" s="2" t="s">
        <v>1084</v>
      </c>
      <c r="N129" s="2" t="s">
        <v>10</v>
      </c>
      <c r="O129" s="2" t="s">
        <v>10</v>
      </c>
    </row>
    <row r="130" spans="1:15" hidden="1" x14ac:dyDescent="0.25">
      <c r="A130" s="2" t="s">
        <v>605</v>
      </c>
      <c r="B130" s="3">
        <v>45444</v>
      </c>
      <c r="C130" s="5">
        <v>45444</v>
      </c>
      <c r="D130" s="2" t="s">
        <v>13</v>
      </c>
      <c r="E130" s="2">
        <v>6400</v>
      </c>
      <c r="F130" s="2" t="s">
        <v>12</v>
      </c>
      <c r="G130" s="2" t="s">
        <v>1032</v>
      </c>
      <c r="H130" s="4">
        <v>-2888.61</v>
      </c>
      <c r="I130" s="4">
        <v>-2888.61</v>
      </c>
      <c r="J130" s="4">
        <v>-2888.61</v>
      </c>
      <c r="K130" s="4">
        <v>2888.61</v>
      </c>
      <c r="L130" s="4"/>
      <c r="M130" s="2" t="s">
        <v>1084</v>
      </c>
      <c r="N130" s="2" t="s">
        <v>10</v>
      </c>
      <c r="O130" s="2" t="s">
        <v>10</v>
      </c>
    </row>
    <row r="131" spans="1:15" hidden="1" x14ac:dyDescent="0.25">
      <c r="A131" s="2" t="s">
        <v>1012</v>
      </c>
      <c r="B131" s="3">
        <v>45597</v>
      </c>
      <c r="C131" s="5">
        <v>45597</v>
      </c>
      <c r="D131" s="2" t="s">
        <v>9</v>
      </c>
      <c r="E131" s="2">
        <v>6100</v>
      </c>
      <c r="F131" s="2" t="s">
        <v>8</v>
      </c>
      <c r="G131" s="2" t="s">
        <v>1042</v>
      </c>
      <c r="H131" s="4">
        <v>-2966.66</v>
      </c>
      <c r="I131" s="4">
        <v>-2966.66</v>
      </c>
      <c r="J131" s="4">
        <v>-2966.66</v>
      </c>
      <c r="K131" s="4">
        <v>2966.66</v>
      </c>
      <c r="L131" s="4"/>
      <c r="M131" s="2" t="s">
        <v>1084</v>
      </c>
      <c r="N131" s="2" t="s">
        <v>10</v>
      </c>
      <c r="O131" s="2" t="s">
        <v>10</v>
      </c>
    </row>
    <row r="132" spans="1:15" hidden="1" x14ac:dyDescent="0.25">
      <c r="A132" s="2" t="s">
        <v>866</v>
      </c>
      <c r="B132" s="3">
        <v>45627</v>
      </c>
      <c r="C132" s="5">
        <v>45627</v>
      </c>
      <c r="D132" s="2" t="s">
        <v>13</v>
      </c>
      <c r="E132" s="2">
        <v>6400</v>
      </c>
      <c r="F132" s="2" t="s">
        <v>21</v>
      </c>
      <c r="G132" s="2" t="s">
        <v>1030</v>
      </c>
      <c r="H132" s="4">
        <v>-2640.97</v>
      </c>
      <c r="I132" s="4">
        <v>-2640.97</v>
      </c>
      <c r="J132" s="4">
        <v>-2640.97</v>
      </c>
      <c r="K132" s="4">
        <v>2640.97</v>
      </c>
      <c r="L132" s="4"/>
      <c r="M132" s="2" t="s">
        <v>1084</v>
      </c>
      <c r="N132" s="2" t="s">
        <v>10</v>
      </c>
      <c r="O132" s="2" t="s">
        <v>10</v>
      </c>
    </row>
    <row r="133" spans="1:15" hidden="1" x14ac:dyDescent="0.25">
      <c r="A133" s="2" t="s">
        <v>710</v>
      </c>
      <c r="B133" s="3">
        <v>45653</v>
      </c>
      <c r="C133" s="5">
        <v>45627</v>
      </c>
      <c r="D133" s="2" t="s">
        <v>13</v>
      </c>
      <c r="E133" s="2">
        <v>6400</v>
      </c>
      <c r="F133" s="2" t="s">
        <v>15</v>
      </c>
      <c r="G133" s="2" t="s">
        <v>1044</v>
      </c>
      <c r="H133" s="4">
        <v>-2820.75</v>
      </c>
      <c r="I133" s="4">
        <v>-2820.75</v>
      </c>
      <c r="J133" s="4">
        <v>-2820.75</v>
      </c>
      <c r="K133" s="4">
        <v>2820.75</v>
      </c>
      <c r="L133" s="4"/>
      <c r="M133" s="2" t="s">
        <v>1084</v>
      </c>
      <c r="N133" s="2" t="s">
        <v>10</v>
      </c>
      <c r="O133" s="2" t="s">
        <v>10</v>
      </c>
    </row>
    <row r="134" spans="1:15" hidden="1" x14ac:dyDescent="0.25">
      <c r="A134" s="2" t="s">
        <v>396</v>
      </c>
      <c r="B134" s="3">
        <v>45641</v>
      </c>
      <c r="C134" s="5">
        <v>45627</v>
      </c>
      <c r="D134" s="2" t="s">
        <v>35</v>
      </c>
      <c r="E134" s="2">
        <v>4000</v>
      </c>
      <c r="F134" s="2" t="s">
        <v>103</v>
      </c>
      <c r="G134" s="2" t="s">
        <v>1049</v>
      </c>
      <c r="H134" s="4">
        <v>22379.26</v>
      </c>
      <c r="I134" s="4">
        <v>22379.26</v>
      </c>
      <c r="J134" s="4">
        <v>22379.26</v>
      </c>
      <c r="K134" s="4">
        <v>22379.26</v>
      </c>
      <c r="L134" s="4"/>
      <c r="M134" s="2" t="s">
        <v>1084</v>
      </c>
      <c r="N134" s="2" t="s">
        <v>10</v>
      </c>
      <c r="O134" s="2" t="s">
        <v>10</v>
      </c>
    </row>
    <row r="135" spans="1:15" hidden="1" x14ac:dyDescent="0.25">
      <c r="A135" s="2" t="s">
        <v>20</v>
      </c>
      <c r="B135" s="3">
        <v>45494</v>
      </c>
      <c r="C135" s="5">
        <v>45474</v>
      </c>
      <c r="D135" s="2" t="s">
        <v>13</v>
      </c>
      <c r="E135" s="2">
        <v>6400</v>
      </c>
      <c r="F135" s="2" t="s">
        <v>21</v>
      </c>
      <c r="G135" s="2" t="s">
        <v>1030</v>
      </c>
      <c r="H135" s="4">
        <v>-572.16999999999996</v>
      </c>
      <c r="I135" s="4">
        <v>-572.16999999999996</v>
      </c>
      <c r="J135" s="4">
        <v>-572.16999999999996</v>
      </c>
      <c r="K135" s="4">
        <v>572.16999999999996</v>
      </c>
      <c r="L135" s="4"/>
      <c r="M135" s="2" t="s">
        <v>1084</v>
      </c>
      <c r="N135" s="2" t="s">
        <v>10</v>
      </c>
      <c r="O135" s="2" t="s">
        <v>10</v>
      </c>
    </row>
    <row r="136" spans="1:15" hidden="1" x14ac:dyDescent="0.25">
      <c r="A136" s="2" t="s">
        <v>349</v>
      </c>
      <c r="B136" s="3">
        <v>45365</v>
      </c>
      <c r="C136" s="5">
        <v>45352</v>
      </c>
      <c r="D136" s="2" t="s">
        <v>39</v>
      </c>
      <c r="E136" s="2">
        <v>6500</v>
      </c>
      <c r="F136" s="2" t="s">
        <v>42</v>
      </c>
      <c r="G136" s="2" t="s">
        <v>1036</v>
      </c>
      <c r="H136" s="4">
        <v>-904.35</v>
      </c>
      <c r="I136" s="4">
        <v>-904.35</v>
      </c>
      <c r="J136" s="4">
        <v>-904.35</v>
      </c>
      <c r="K136" s="4">
        <v>904.35</v>
      </c>
      <c r="L136" s="4"/>
      <c r="M136" s="2" t="s">
        <v>1084</v>
      </c>
      <c r="N136" s="2" t="s">
        <v>10</v>
      </c>
      <c r="O136" s="2" t="s">
        <v>10</v>
      </c>
    </row>
    <row r="137" spans="1:15" hidden="1" x14ac:dyDescent="0.25">
      <c r="A137" s="2" t="s">
        <v>286</v>
      </c>
      <c r="B137" s="3">
        <v>45598</v>
      </c>
      <c r="C137" s="5">
        <v>45597</v>
      </c>
      <c r="D137" s="2" t="s">
        <v>59</v>
      </c>
      <c r="E137" s="2">
        <v>6200</v>
      </c>
      <c r="F137" s="2" t="s">
        <v>67</v>
      </c>
      <c r="G137" s="2" t="s">
        <v>1028</v>
      </c>
      <c r="H137" s="4">
        <v>-226.55</v>
      </c>
      <c r="I137" s="4">
        <v>-226.55</v>
      </c>
      <c r="J137" s="4">
        <v>-226.55</v>
      </c>
      <c r="K137" s="4">
        <v>226.55</v>
      </c>
      <c r="L137" s="4"/>
      <c r="M137" s="2" t="s">
        <v>1084</v>
      </c>
      <c r="N137" s="2" t="s">
        <v>10</v>
      </c>
      <c r="O137" s="2" t="s">
        <v>10</v>
      </c>
    </row>
    <row r="138" spans="1:15" hidden="1" x14ac:dyDescent="0.25">
      <c r="A138" s="2" t="s">
        <v>784</v>
      </c>
      <c r="B138" s="3">
        <v>45584</v>
      </c>
      <c r="C138" s="5">
        <v>45566</v>
      </c>
      <c r="D138" s="2" t="s">
        <v>9</v>
      </c>
      <c r="E138" s="2">
        <v>6100</v>
      </c>
      <c r="F138" s="2" t="s">
        <v>44</v>
      </c>
      <c r="G138" s="2" t="s">
        <v>1054</v>
      </c>
      <c r="H138" s="4">
        <v>-1151.0999999999999</v>
      </c>
      <c r="I138" s="4">
        <v>-1151.0999999999999</v>
      </c>
      <c r="J138" s="4">
        <v>-1151.0999999999999</v>
      </c>
      <c r="K138" s="4">
        <v>1151.0999999999999</v>
      </c>
      <c r="L138" s="4"/>
      <c r="M138" s="2" t="s">
        <v>1084</v>
      </c>
      <c r="N138" s="2" t="s">
        <v>10</v>
      </c>
      <c r="O138" s="2" t="s">
        <v>10</v>
      </c>
    </row>
    <row r="139" spans="1:15" hidden="1" x14ac:dyDescent="0.25">
      <c r="A139" s="2" t="s">
        <v>824</v>
      </c>
      <c r="B139" s="3">
        <v>45653</v>
      </c>
      <c r="C139" s="5">
        <v>45627</v>
      </c>
      <c r="D139" s="2" t="s">
        <v>35</v>
      </c>
      <c r="E139" s="2">
        <v>4000</v>
      </c>
      <c r="F139" s="2" t="s">
        <v>34</v>
      </c>
      <c r="G139" s="2" t="s">
        <v>1027</v>
      </c>
      <c r="H139" s="4">
        <v>1793.77</v>
      </c>
      <c r="I139" s="4">
        <v>1793.77</v>
      </c>
      <c r="J139" s="4">
        <v>1793.77</v>
      </c>
      <c r="K139" s="4">
        <v>1793.77</v>
      </c>
      <c r="L139" s="4"/>
      <c r="M139" s="2" t="s">
        <v>1084</v>
      </c>
      <c r="N139" s="2" t="s">
        <v>10</v>
      </c>
      <c r="O139" s="2" t="s">
        <v>10</v>
      </c>
    </row>
    <row r="140" spans="1:15" hidden="1" x14ac:dyDescent="0.25">
      <c r="A140" s="2" t="s">
        <v>718</v>
      </c>
      <c r="B140" s="3">
        <v>45529</v>
      </c>
      <c r="C140" s="5">
        <v>45505</v>
      </c>
      <c r="D140" s="2" t="s">
        <v>59</v>
      </c>
      <c r="E140" s="2">
        <v>6200</v>
      </c>
      <c r="F140" s="2" t="s">
        <v>71</v>
      </c>
      <c r="G140" s="2" t="s">
        <v>1050</v>
      </c>
      <c r="H140" s="4">
        <v>-551.76</v>
      </c>
      <c r="I140" s="4">
        <v>-551.76</v>
      </c>
      <c r="J140" s="4">
        <v>-551.76</v>
      </c>
      <c r="K140" s="4">
        <v>551.76</v>
      </c>
      <c r="L140" s="4"/>
      <c r="M140" s="2" t="s">
        <v>1084</v>
      </c>
      <c r="N140" s="2" t="s">
        <v>10</v>
      </c>
      <c r="O140" s="2" t="s">
        <v>10</v>
      </c>
    </row>
    <row r="141" spans="1:15" hidden="1" x14ac:dyDescent="0.25">
      <c r="A141" s="2" t="s">
        <v>411</v>
      </c>
      <c r="B141" s="3">
        <v>45343</v>
      </c>
      <c r="C141" s="5">
        <v>45323</v>
      </c>
      <c r="D141" s="2" t="s">
        <v>24</v>
      </c>
      <c r="E141" s="2">
        <v>6300</v>
      </c>
      <c r="F141" s="2" t="s">
        <v>23</v>
      </c>
      <c r="G141" s="2" t="s">
        <v>1045</v>
      </c>
      <c r="H141" s="4">
        <v>-701.67</v>
      </c>
      <c r="I141" s="4">
        <v>-701.67</v>
      </c>
      <c r="J141" s="4">
        <v>-701.67</v>
      </c>
      <c r="K141" s="4">
        <v>701.67</v>
      </c>
      <c r="L141" s="4"/>
      <c r="M141" s="2" t="s">
        <v>1084</v>
      </c>
      <c r="N141" s="2" t="s">
        <v>10</v>
      </c>
      <c r="O141" s="2" t="s">
        <v>10</v>
      </c>
    </row>
    <row r="142" spans="1:15" hidden="1" x14ac:dyDescent="0.25">
      <c r="A142" s="2" t="s">
        <v>873</v>
      </c>
      <c r="B142" s="3">
        <v>45475</v>
      </c>
      <c r="C142" s="5">
        <v>45474</v>
      </c>
      <c r="D142" s="2" t="s">
        <v>31</v>
      </c>
      <c r="E142" s="2">
        <v>4900</v>
      </c>
      <c r="F142" s="2" t="s">
        <v>30</v>
      </c>
      <c r="G142" s="2" t="s">
        <v>1024</v>
      </c>
      <c r="H142" s="4">
        <v>262.64</v>
      </c>
      <c r="I142" s="4">
        <v>262.64</v>
      </c>
      <c r="J142" s="4">
        <v>262.64</v>
      </c>
      <c r="K142" s="4">
        <v>262.64</v>
      </c>
      <c r="L142" s="4"/>
      <c r="M142" s="2" t="s">
        <v>1084</v>
      </c>
      <c r="N142" s="2" t="s">
        <v>10</v>
      </c>
      <c r="O142" s="2" t="s">
        <v>10</v>
      </c>
    </row>
    <row r="143" spans="1:15" hidden="1" x14ac:dyDescent="0.25">
      <c r="A143" s="2" t="s">
        <v>986</v>
      </c>
      <c r="B143" s="3">
        <v>45455</v>
      </c>
      <c r="C143" s="5">
        <v>45444</v>
      </c>
      <c r="D143" s="2" t="s">
        <v>52</v>
      </c>
      <c r="E143" s="2">
        <v>6000</v>
      </c>
      <c r="F143" s="2" t="s">
        <v>63</v>
      </c>
      <c r="G143" s="2" t="s">
        <v>1051</v>
      </c>
      <c r="H143" s="4">
        <v>-10142.84</v>
      </c>
      <c r="I143" s="4">
        <v>-10142.84</v>
      </c>
      <c r="J143" s="4">
        <v>-10142.84</v>
      </c>
      <c r="K143" s="4">
        <v>10142.84</v>
      </c>
      <c r="L143" s="4"/>
      <c r="M143" s="2" t="s">
        <v>1084</v>
      </c>
      <c r="N143" s="2" t="s">
        <v>10</v>
      </c>
      <c r="O143" s="2" t="s">
        <v>10</v>
      </c>
    </row>
    <row r="144" spans="1:15" hidden="1" x14ac:dyDescent="0.25">
      <c r="A144" s="2" t="s">
        <v>157</v>
      </c>
      <c r="B144" s="3">
        <v>45599</v>
      </c>
      <c r="C144" s="5">
        <v>45597</v>
      </c>
      <c r="D144" s="2" t="s">
        <v>52</v>
      </c>
      <c r="E144" s="2">
        <v>6000</v>
      </c>
      <c r="F144" s="2" t="s">
        <v>51</v>
      </c>
      <c r="G144" s="2" t="s">
        <v>1033</v>
      </c>
      <c r="H144" s="4">
        <v>-3042.07</v>
      </c>
      <c r="I144" s="4">
        <v>-3042.07</v>
      </c>
      <c r="J144" s="4">
        <v>-3042.07</v>
      </c>
      <c r="K144" s="4">
        <v>3042.07</v>
      </c>
      <c r="L144" s="4"/>
      <c r="M144" s="2" t="s">
        <v>1084</v>
      </c>
      <c r="N144" s="2" t="s">
        <v>10</v>
      </c>
      <c r="O144" s="2" t="s">
        <v>10</v>
      </c>
    </row>
    <row r="145" spans="1:15" hidden="1" x14ac:dyDescent="0.25">
      <c r="A145" s="2" t="s">
        <v>704</v>
      </c>
      <c r="B145" s="3">
        <v>45435</v>
      </c>
      <c r="C145" s="5">
        <v>45413</v>
      </c>
      <c r="D145" s="2" t="s">
        <v>24</v>
      </c>
      <c r="E145" s="2">
        <v>6300</v>
      </c>
      <c r="F145" s="2" t="s">
        <v>23</v>
      </c>
      <c r="G145" s="2" t="s">
        <v>1045</v>
      </c>
      <c r="H145" s="4">
        <v>-777.5</v>
      </c>
      <c r="I145" s="4">
        <v>-777.5</v>
      </c>
      <c r="J145" s="4">
        <v>-777.5</v>
      </c>
      <c r="K145" s="4">
        <v>777.5</v>
      </c>
      <c r="L145" s="4"/>
      <c r="M145" s="2" t="s">
        <v>1084</v>
      </c>
      <c r="N145" s="2" t="s">
        <v>10</v>
      </c>
      <c r="O145" s="2" t="s">
        <v>10</v>
      </c>
    </row>
    <row r="146" spans="1:15" hidden="1" x14ac:dyDescent="0.25">
      <c r="A146" s="2" t="s">
        <v>1013</v>
      </c>
      <c r="B146" s="3">
        <v>45411</v>
      </c>
      <c r="C146" s="5">
        <v>45383</v>
      </c>
      <c r="D146" s="2" t="s">
        <v>31</v>
      </c>
      <c r="E146" s="2">
        <v>4900</v>
      </c>
      <c r="F146" s="2" t="s">
        <v>30</v>
      </c>
      <c r="G146" s="2" t="s">
        <v>1024</v>
      </c>
      <c r="H146" s="4">
        <v>217.88</v>
      </c>
      <c r="I146" s="4">
        <v>217.88</v>
      </c>
      <c r="J146" s="4">
        <v>217.88</v>
      </c>
      <c r="K146" s="4">
        <v>217.88</v>
      </c>
      <c r="L146" s="4"/>
      <c r="M146" s="2" t="s">
        <v>1084</v>
      </c>
      <c r="N146" s="2" t="s">
        <v>10</v>
      </c>
      <c r="O146" s="2" t="s">
        <v>10</v>
      </c>
    </row>
    <row r="147" spans="1:15" hidden="1" x14ac:dyDescent="0.25">
      <c r="A147" s="2" t="s">
        <v>740</v>
      </c>
      <c r="B147" s="3">
        <v>45321</v>
      </c>
      <c r="C147" s="5">
        <v>45292</v>
      </c>
      <c r="D147" s="2" t="s">
        <v>28</v>
      </c>
      <c r="E147" s="2">
        <v>6900</v>
      </c>
      <c r="F147" s="2" t="s">
        <v>195</v>
      </c>
      <c r="G147" s="2" t="s">
        <v>1048</v>
      </c>
      <c r="H147" s="4">
        <v>-123.78</v>
      </c>
      <c r="I147" s="4">
        <v>-123.78</v>
      </c>
      <c r="J147" s="4">
        <v>-123.78</v>
      </c>
      <c r="K147" s="4">
        <v>123.78</v>
      </c>
      <c r="L147" s="4"/>
      <c r="M147" s="2" t="s">
        <v>1084</v>
      </c>
      <c r="N147" s="2" t="s">
        <v>10</v>
      </c>
      <c r="O147" s="2" t="s">
        <v>10</v>
      </c>
    </row>
    <row r="148" spans="1:15" hidden="1" x14ac:dyDescent="0.25">
      <c r="A148" s="2" t="s">
        <v>507</v>
      </c>
      <c r="B148" s="3">
        <v>45596</v>
      </c>
      <c r="C148" s="5">
        <v>45566</v>
      </c>
      <c r="D148" s="2" t="s">
        <v>35</v>
      </c>
      <c r="E148" s="2">
        <v>4000</v>
      </c>
      <c r="F148" s="2" t="s">
        <v>103</v>
      </c>
      <c r="G148" s="2" t="s">
        <v>1049</v>
      </c>
      <c r="H148" s="4">
        <v>10164.799999999999</v>
      </c>
      <c r="I148" s="4">
        <v>10164.799999999999</v>
      </c>
      <c r="J148" s="4">
        <v>10164.799999999999</v>
      </c>
      <c r="K148" s="4">
        <v>10164.799999999999</v>
      </c>
      <c r="L148" s="4"/>
      <c r="M148" s="2" t="s">
        <v>1084</v>
      </c>
      <c r="N148" s="2" t="s">
        <v>10</v>
      </c>
      <c r="O148" s="2" t="s">
        <v>10</v>
      </c>
    </row>
    <row r="149" spans="1:15" hidden="1" x14ac:dyDescent="0.25">
      <c r="A149" s="2" t="s">
        <v>450</v>
      </c>
      <c r="B149" s="3">
        <v>45567</v>
      </c>
      <c r="C149" s="5">
        <v>45566</v>
      </c>
      <c r="D149" s="2" t="s">
        <v>52</v>
      </c>
      <c r="E149" s="2">
        <v>6000</v>
      </c>
      <c r="F149" s="2" t="s">
        <v>63</v>
      </c>
      <c r="G149" s="2" t="s">
        <v>1051</v>
      </c>
      <c r="H149" s="4">
        <v>-9246.8700000000008</v>
      </c>
      <c r="I149" s="4">
        <v>-9246.8700000000008</v>
      </c>
      <c r="J149" s="4">
        <v>-9246.8700000000008</v>
      </c>
      <c r="K149" s="4">
        <v>9246.8700000000008</v>
      </c>
      <c r="L149" s="4"/>
      <c r="M149" s="2" t="s">
        <v>1084</v>
      </c>
      <c r="N149" s="2" t="s">
        <v>10</v>
      </c>
      <c r="O149" s="2" t="s">
        <v>10</v>
      </c>
    </row>
    <row r="150" spans="1:15" hidden="1" x14ac:dyDescent="0.25">
      <c r="A150" s="2" t="s">
        <v>128</v>
      </c>
      <c r="B150" s="3">
        <v>45307</v>
      </c>
      <c r="C150" s="5">
        <v>45292</v>
      </c>
      <c r="D150" s="2" t="s">
        <v>28</v>
      </c>
      <c r="E150" s="2">
        <v>6900</v>
      </c>
      <c r="F150" s="2" t="s">
        <v>27</v>
      </c>
      <c r="G150" s="2" t="s">
        <v>1041</v>
      </c>
      <c r="H150" s="4">
        <v>-114.09</v>
      </c>
      <c r="I150" s="4">
        <v>-114.09</v>
      </c>
      <c r="J150" s="4">
        <v>-114.09</v>
      </c>
      <c r="K150" s="4">
        <v>114.09</v>
      </c>
      <c r="L150" s="4"/>
      <c r="M150" s="2" t="s">
        <v>1084</v>
      </c>
      <c r="N150" s="2" t="s">
        <v>10</v>
      </c>
      <c r="O150" s="2" t="s">
        <v>10</v>
      </c>
    </row>
    <row r="151" spans="1:15" hidden="1" x14ac:dyDescent="0.25">
      <c r="A151" s="2" t="s">
        <v>899</v>
      </c>
      <c r="B151" s="3">
        <v>45450</v>
      </c>
      <c r="C151" s="5">
        <v>45444</v>
      </c>
      <c r="D151" s="2" t="s">
        <v>35</v>
      </c>
      <c r="E151" s="2">
        <v>4000</v>
      </c>
      <c r="F151" s="2" t="s">
        <v>103</v>
      </c>
      <c r="G151" s="2" t="s">
        <v>1049</v>
      </c>
      <c r="H151" s="4">
        <v>12852.38</v>
      </c>
      <c r="I151" s="4">
        <v>12852.38</v>
      </c>
      <c r="J151" s="4">
        <v>12852.38</v>
      </c>
      <c r="K151" s="4">
        <v>12852.38</v>
      </c>
      <c r="L151" s="4"/>
      <c r="M151" s="2" t="s">
        <v>1084</v>
      </c>
      <c r="N151" s="2" t="s">
        <v>10</v>
      </c>
      <c r="O151" s="2" t="s">
        <v>10</v>
      </c>
    </row>
    <row r="152" spans="1:15" hidden="1" x14ac:dyDescent="0.25">
      <c r="A152" s="2" t="s">
        <v>698</v>
      </c>
      <c r="B152" s="3">
        <v>45467</v>
      </c>
      <c r="C152" s="5">
        <v>45444</v>
      </c>
      <c r="D152" s="2" t="s">
        <v>28</v>
      </c>
      <c r="E152" s="2">
        <v>6900</v>
      </c>
      <c r="F152" s="2" t="s">
        <v>27</v>
      </c>
      <c r="G152" s="2" t="s">
        <v>1041</v>
      </c>
      <c r="H152" s="4">
        <v>-72.38</v>
      </c>
      <c r="I152" s="4">
        <v>-72.38</v>
      </c>
      <c r="J152" s="4">
        <v>-72.38</v>
      </c>
      <c r="K152" s="4">
        <v>72.38</v>
      </c>
      <c r="L152" s="4"/>
      <c r="M152" s="2" t="s">
        <v>1084</v>
      </c>
      <c r="N152" s="2" t="s">
        <v>10</v>
      </c>
      <c r="O152" s="2" t="s">
        <v>10</v>
      </c>
    </row>
    <row r="153" spans="1:15" hidden="1" x14ac:dyDescent="0.25">
      <c r="A153" s="2" t="s">
        <v>913</v>
      </c>
      <c r="B153" s="3">
        <v>45463</v>
      </c>
      <c r="C153" s="5">
        <v>45444</v>
      </c>
      <c r="D153" s="2" t="s">
        <v>52</v>
      </c>
      <c r="E153" s="2">
        <v>6000</v>
      </c>
      <c r="F153" s="2" t="s">
        <v>97</v>
      </c>
      <c r="G153" s="2" t="s">
        <v>1046</v>
      </c>
      <c r="H153" s="4">
        <v>-5363</v>
      </c>
      <c r="I153" s="4">
        <v>-5363</v>
      </c>
      <c r="J153" s="4">
        <v>-5363</v>
      </c>
      <c r="K153" s="4">
        <v>5363</v>
      </c>
      <c r="L153" s="4"/>
      <c r="M153" s="2" t="s">
        <v>1084</v>
      </c>
      <c r="N153" s="2" t="s">
        <v>10</v>
      </c>
      <c r="O153" s="2" t="s">
        <v>10</v>
      </c>
    </row>
    <row r="154" spans="1:15" hidden="1" x14ac:dyDescent="0.25">
      <c r="A154" s="2" t="s">
        <v>878</v>
      </c>
      <c r="B154" s="3">
        <v>45627</v>
      </c>
      <c r="C154" s="5">
        <v>45627</v>
      </c>
      <c r="D154" s="2" t="s">
        <v>31</v>
      </c>
      <c r="E154" s="2">
        <v>4900</v>
      </c>
      <c r="F154" s="2" t="s">
        <v>79</v>
      </c>
      <c r="G154" s="2" t="s">
        <v>1026</v>
      </c>
      <c r="H154" s="4">
        <v>87.31</v>
      </c>
      <c r="I154" s="4">
        <v>87.31</v>
      </c>
      <c r="J154" s="4">
        <v>87.31</v>
      </c>
      <c r="K154" s="4">
        <v>87.31</v>
      </c>
      <c r="L154" s="4"/>
      <c r="M154" s="2" t="s">
        <v>1084</v>
      </c>
      <c r="N154" s="2" t="s">
        <v>10</v>
      </c>
      <c r="O154" s="2" t="s">
        <v>10</v>
      </c>
    </row>
    <row r="155" spans="1:15" hidden="1" x14ac:dyDescent="0.25">
      <c r="A155" s="2" t="s">
        <v>579</v>
      </c>
      <c r="B155" s="3">
        <v>45346</v>
      </c>
      <c r="C155" s="5">
        <v>45323</v>
      </c>
      <c r="D155" s="2" t="s">
        <v>52</v>
      </c>
      <c r="E155" s="2">
        <v>6000</v>
      </c>
      <c r="F155" s="2" t="s">
        <v>63</v>
      </c>
      <c r="G155" s="2" t="s">
        <v>1051</v>
      </c>
      <c r="H155" s="4">
        <v>-9390.65</v>
      </c>
      <c r="I155" s="4">
        <v>-9390.65</v>
      </c>
      <c r="J155" s="4">
        <v>-9390.65</v>
      </c>
      <c r="K155" s="4">
        <v>9390.65</v>
      </c>
      <c r="L155" s="4"/>
      <c r="M155" s="2" t="s">
        <v>1084</v>
      </c>
      <c r="N155" s="2" t="s">
        <v>10</v>
      </c>
      <c r="O155" s="2" t="s">
        <v>10</v>
      </c>
    </row>
    <row r="156" spans="1:15" hidden="1" x14ac:dyDescent="0.25">
      <c r="A156" s="2" t="s">
        <v>93</v>
      </c>
      <c r="B156" s="3">
        <v>45403</v>
      </c>
      <c r="C156" s="5">
        <v>45383</v>
      </c>
      <c r="D156" s="2" t="s">
        <v>24</v>
      </c>
      <c r="E156" s="2">
        <v>6300</v>
      </c>
      <c r="F156" s="2" t="s">
        <v>94</v>
      </c>
      <c r="G156" s="2" t="s">
        <v>1053</v>
      </c>
      <c r="H156" s="4">
        <v>-95.66</v>
      </c>
      <c r="I156" s="4">
        <v>-95.66</v>
      </c>
      <c r="J156" s="4">
        <v>-95.66</v>
      </c>
      <c r="K156" s="4">
        <v>95.66</v>
      </c>
      <c r="L156" s="4"/>
      <c r="M156" s="2" t="s">
        <v>1084</v>
      </c>
      <c r="N156" s="2" t="s">
        <v>10</v>
      </c>
      <c r="O156" s="2" t="s">
        <v>10</v>
      </c>
    </row>
    <row r="157" spans="1:15" hidden="1" x14ac:dyDescent="0.25">
      <c r="A157" s="2" t="s">
        <v>932</v>
      </c>
      <c r="B157" s="3">
        <v>45358</v>
      </c>
      <c r="C157" s="5">
        <v>45352</v>
      </c>
      <c r="D157" s="2" t="s">
        <v>9</v>
      </c>
      <c r="E157" s="2">
        <v>6100</v>
      </c>
      <c r="F157" s="2" t="s">
        <v>44</v>
      </c>
      <c r="G157" s="2" t="s">
        <v>1054</v>
      </c>
      <c r="H157" s="4">
        <v>-1716.72</v>
      </c>
      <c r="I157" s="4">
        <v>-1716.72</v>
      </c>
      <c r="J157" s="4">
        <v>-1716.72</v>
      </c>
      <c r="K157" s="4">
        <v>1716.72</v>
      </c>
      <c r="L157" s="4"/>
      <c r="M157" s="2" t="s">
        <v>1084</v>
      </c>
      <c r="N157" s="2" t="s">
        <v>10</v>
      </c>
      <c r="O157" s="2" t="s">
        <v>10</v>
      </c>
    </row>
    <row r="158" spans="1:15" hidden="1" x14ac:dyDescent="0.25">
      <c r="A158" s="2" t="s">
        <v>181</v>
      </c>
      <c r="B158" s="3">
        <v>45381</v>
      </c>
      <c r="C158" s="5">
        <v>45352</v>
      </c>
      <c r="D158" s="2" t="s">
        <v>18</v>
      </c>
      <c r="E158" s="2">
        <v>5100</v>
      </c>
      <c r="F158" s="2" t="s">
        <v>17</v>
      </c>
      <c r="G158" s="2" t="s">
        <v>1037</v>
      </c>
      <c r="H158" s="4">
        <v>-12381.99</v>
      </c>
      <c r="I158" s="4">
        <v>-12381.99</v>
      </c>
      <c r="J158" s="4">
        <v>-12381.99</v>
      </c>
      <c r="K158" s="4">
        <v>12381.99</v>
      </c>
      <c r="L158" s="4"/>
      <c r="M158" s="2" t="s">
        <v>1084</v>
      </c>
      <c r="N158" s="2" t="s">
        <v>10</v>
      </c>
      <c r="O158" s="2" t="s">
        <v>10</v>
      </c>
    </row>
    <row r="159" spans="1:15" hidden="1" x14ac:dyDescent="0.25">
      <c r="A159" s="2" t="s">
        <v>505</v>
      </c>
      <c r="B159" s="3">
        <v>45623</v>
      </c>
      <c r="C159" s="5">
        <v>45597</v>
      </c>
      <c r="D159" s="2" t="s">
        <v>13</v>
      </c>
      <c r="E159" s="2">
        <v>6400</v>
      </c>
      <c r="F159" s="2" t="s">
        <v>15</v>
      </c>
      <c r="G159" s="2" t="s">
        <v>1044</v>
      </c>
      <c r="H159" s="4">
        <v>-1442.89</v>
      </c>
      <c r="I159" s="4">
        <v>-1442.89</v>
      </c>
      <c r="J159" s="4">
        <v>-1442.89</v>
      </c>
      <c r="K159" s="4">
        <v>1442.89</v>
      </c>
      <c r="L159" s="4"/>
      <c r="M159" s="2" t="s">
        <v>1084</v>
      </c>
      <c r="N159" s="2" t="s">
        <v>10</v>
      </c>
      <c r="O159" s="2" t="s">
        <v>10</v>
      </c>
    </row>
    <row r="160" spans="1:15" hidden="1" x14ac:dyDescent="0.25">
      <c r="A160" s="2" t="s">
        <v>645</v>
      </c>
      <c r="B160" s="3">
        <v>45635</v>
      </c>
      <c r="C160" s="5">
        <v>45627</v>
      </c>
      <c r="D160" s="2" t="s">
        <v>13</v>
      </c>
      <c r="E160" s="2">
        <v>6400</v>
      </c>
      <c r="F160" s="2" t="s">
        <v>12</v>
      </c>
      <c r="G160" s="2" t="s">
        <v>1032</v>
      </c>
      <c r="H160" s="4">
        <v>-549.26</v>
      </c>
      <c r="I160" s="4">
        <v>-549.26</v>
      </c>
      <c r="J160" s="4">
        <v>-549.26</v>
      </c>
      <c r="K160" s="4">
        <v>549.26</v>
      </c>
      <c r="L160" s="4"/>
      <c r="M160" s="2" t="s">
        <v>1084</v>
      </c>
      <c r="N160" s="2" t="s">
        <v>10</v>
      </c>
      <c r="O160" s="2" t="s">
        <v>10</v>
      </c>
    </row>
    <row r="161" spans="1:15" hidden="1" x14ac:dyDescent="0.25">
      <c r="A161" s="2" t="s">
        <v>84</v>
      </c>
      <c r="B161" s="3">
        <v>45308</v>
      </c>
      <c r="C161" s="5">
        <v>45292</v>
      </c>
      <c r="D161" s="2" t="s">
        <v>39</v>
      </c>
      <c r="E161" s="2">
        <v>6500</v>
      </c>
      <c r="F161" s="2" t="s">
        <v>69</v>
      </c>
      <c r="G161" s="2" t="s">
        <v>1052</v>
      </c>
      <c r="H161" s="4">
        <v>-5280.29</v>
      </c>
      <c r="I161" s="4">
        <v>-5280.29</v>
      </c>
      <c r="J161" s="4">
        <v>-5280.29</v>
      </c>
      <c r="K161" s="4">
        <v>5280.29</v>
      </c>
      <c r="L161" s="4"/>
      <c r="M161" s="2" t="s">
        <v>1084</v>
      </c>
      <c r="N161" s="2" t="s">
        <v>10</v>
      </c>
      <c r="O161" s="2" t="s">
        <v>10</v>
      </c>
    </row>
    <row r="162" spans="1:15" hidden="1" x14ac:dyDescent="0.25">
      <c r="A162" s="2" t="s">
        <v>289</v>
      </c>
      <c r="B162" s="3">
        <v>45522</v>
      </c>
      <c r="C162" s="5">
        <v>45505</v>
      </c>
      <c r="D162" s="2" t="s">
        <v>31</v>
      </c>
      <c r="E162" s="2">
        <v>4900</v>
      </c>
      <c r="F162" s="2" t="s">
        <v>30</v>
      </c>
      <c r="G162" s="2" t="s">
        <v>1024</v>
      </c>
      <c r="H162" s="4">
        <v>160.19999999999999</v>
      </c>
      <c r="I162" s="4">
        <v>160.19999999999999</v>
      </c>
      <c r="J162" s="4">
        <v>160.19999999999999</v>
      </c>
      <c r="K162" s="4">
        <v>160.19999999999999</v>
      </c>
      <c r="L162" s="4"/>
      <c r="M162" s="2" t="s">
        <v>1084</v>
      </c>
      <c r="N162" s="2" t="s">
        <v>10</v>
      </c>
      <c r="O162" s="2" t="s">
        <v>10</v>
      </c>
    </row>
    <row r="163" spans="1:15" hidden="1" x14ac:dyDescent="0.25">
      <c r="A163" s="2" t="s">
        <v>378</v>
      </c>
      <c r="B163" s="3">
        <v>45376</v>
      </c>
      <c r="C163" s="5">
        <v>45352</v>
      </c>
      <c r="D163" s="2" t="s">
        <v>9</v>
      </c>
      <c r="E163" s="2">
        <v>6100</v>
      </c>
      <c r="F163" s="2" t="s">
        <v>48</v>
      </c>
      <c r="G163" s="2" t="s">
        <v>1043</v>
      </c>
      <c r="H163" s="4">
        <v>-5350.44</v>
      </c>
      <c r="I163" s="4">
        <v>-5350.44</v>
      </c>
      <c r="J163" s="4">
        <v>-5350.44</v>
      </c>
      <c r="K163" s="4">
        <v>5350.44</v>
      </c>
      <c r="L163" s="4"/>
      <c r="M163" s="2" t="s">
        <v>1084</v>
      </c>
      <c r="N163" s="2" t="s">
        <v>10</v>
      </c>
      <c r="O163" s="2" t="s">
        <v>10</v>
      </c>
    </row>
    <row r="164" spans="1:15" hidden="1" x14ac:dyDescent="0.25">
      <c r="A164" s="2" t="s">
        <v>561</v>
      </c>
      <c r="B164" s="3">
        <v>45362</v>
      </c>
      <c r="C164" s="5">
        <v>45352</v>
      </c>
      <c r="D164" s="2" t="s">
        <v>24</v>
      </c>
      <c r="E164" s="2">
        <v>6300</v>
      </c>
      <c r="F164" s="2" t="s">
        <v>94</v>
      </c>
      <c r="G164" s="2" t="s">
        <v>1053</v>
      </c>
      <c r="H164" s="4">
        <v>-788.12</v>
      </c>
      <c r="I164" s="4">
        <v>-788.12</v>
      </c>
      <c r="J164" s="4">
        <v>-788.12</v>
      </c>
      <c r="K164" s="4">
        <v>788.12</v>
      </c>
      <c r="L164" s="4"/>
      <c r="M164" s="2" t="s">
        <v>1084</v>
      </c>
      <c r="N164" s="2" t="s">
        <v>10</v>
      </c>
      <c r="O164" s="2" t="s">
        <v>10</v>
      </c>
    </row>
    <row r="165" spans="1:15" hidden="1" x14ac:dyDescent="0.25">
      <c r="A165" s="2" t="s">
        <v>738</v>
      </c>
      <c r="B165" s="3">
        <v>45398</v>
      </c>
      <c r="C165" s="5">
        <v>45383</v>
      </c>
      <c r="D165" s="2" t="s">
        <v>24</v>
      </c>
      <c r="E165" s="2">
        <v>6300</v>
      </c>
      <c r="F165" s="2" t="s">
        <v>94</v>
      </c>
      <c r="G165" s="2" t="s">
        <v>1053</v>
      </c>
      <c r="H165" s="4">
        <v>-189.22</v>
      </c>
      <c r="I165" s="4">
        <v>-189.22</v>
      </c>
      <c r="J165" s="4">
        <v>-189.22</v>
      </c>
      <c r="K165" s="4">
        <v>189.22</v>
      </c>
      <c r="L165" s="4"/>
      <c r="M165" s="2" t="s">
        <v>1084</v>
      </c>
      <c r="N165" s="2" t="s">
        <v>10</v>
      </c>
      <c r="O165" s="2" t="s">
        <v>10</v>
      </c>
    </row>
    <row r="166" spans="1:15" hidden="1" x14ac:dyDescent="0.25">
      <c r="A166" s="2" t="s">
        <v>661</v>
      </c>
      <c r="B166" s="3">
        <v>45362</v>
      </c>
      <c r="C166" s="5">
        <v>45352</v>
      </c>
      <c r="D166" s="2" t="s">
        <v>24</v>
      </c>
      <c r="E166" s="2">
        <v>6300</v>
      </c>
      <c r="F166" s="2" t="s">
        <v>127</v>
      </c>
      <c r="G166" s="2" t="s">
        <v>1035</v>
      </c>
      <c r="H166" s="4">
        <v>-597.35</v>
      </c>
      <c r="I166" s="4">
        <v>-597.35</v>
      </c>
      <c r="J166" s="4">
        <v>-597.35</v>
      </c>
      <c r="K166" s="4">
        <v>597.35</v>
      </c>
      <c r="L166" s="4"/>
      <c r="M166" s="2" t="s">
        <v>1084</v>
      </c>
      <c r="N166" s="2" t="s">
        <v>10</v>
      </c>
      <c r="O166" s="2" t="s">
        <v>10</v>
      </c>
    </row>
    <row r="167" spans="1:15" x14ac:dyDescent="0.25">
      <c r="A167" s="2" t="s">
        <v>521</v>
      </c>
      <c r="B167" s="3">
        <v>45470</v>
      </c>
      <c r="C167" s="5">
        <v>45444</v>
      </c>
      <c r="D167" s="2" t="s">
        <v>28</v>
      </c>
      <c r="E167" s="2">
        <v>6900</v>
      </c>
      <c r="F167" s="2" t="s">
        <v>76</v>
      </c>
      <c r="G167" s="2" t="s">
        <v>1047</v>
      </c>
      <c r="H167" s="4">
        <v>-46.92</v>
      </c>
      <c r="I167" s="4">
        <v>-469.2</v>
      </c>
      <c r="J167" s="4">
        <v>-46.92</v>
      </c>
      <c r="K167" s="4">
        <v>46.92</v>
      </c>
      <c r="L167" s="4">
        <v>422.28</v>
      </c>
      <c r="M167" s="2" t="s">
        <v>1085</v>
      </c>
      <c r="N167" s="2" t="s">
        <v>123</v>
      </c>
      <c r="O167" s="2" t="s">
        <v>10</v>
      </c>
    </row>
    <row r="168" spans="1:15" hidden="1" x14ac:dyDescent="0.25">
      <c r="A168" s="2" t="s">
        <v>929</v>
      </c>
      <c r="B168" s="3">
        <v>45655</v>
      </c>
      <c r="C168" s="5">
        <v>45627</v>
      </c>
      <c r="D168" s="2" t="s">
        <v>59</v>
      </c>
      <c r="E168" s="2">
        <v>6200</v>
      </c>
      <c r="F168" s="2" t="s">
        <v>71</v>
      </c>
      <c r="G168" s="2" t="s">
        <v>1050</v>
      </c>
      <c r="H168" s="4">
        <v>-701.38</v>
      </c>
      <c r="I168" s="4">
        <v>-701.38</v>
      </c>
      <c r="J168" s="4">
        <v>-701.38</v>
      </c>
      <c r="K168" s="4">
        <v>701.38</v>
      </c>
      <c r="L168" s="4"/>
      <c r="M168" s="2" t="s">
        <v>1084</v>
      </c>
      <c r="N168" s="2" t="s">
        <v>10</v>
      </c>
      <c r="O168" s="2" t="s">
        <v>10</v>
      </c>
    </row>
    <row r="169" spans="1:15" hidden="1" x14ac:dyDescent="0.25">
      <c r="A169" s="2" t="s">
        <v>739</v>
      </c>
      <c r="B169" s="3">
        <v>45506</v>
      </c>
      <c r="C169" s="5">
        <v>45505</v>
      </c>
      <c r="D169" s="2" t="s">
        <v>18</v>
      </c>
      <c r="E169" s="2">
        <v>5100</v>
      </c>
      <c r="F169" s="2" t="s">
        <v>81</v>
      </c>
      <c r="G169" s="2" t="s">
        <v>1039</v>
      </c>
      <c r="H169" s="4">
        <v>-8353.4500000000007</v>
      </c>
      <c r="I169" s="4">
        <v>-8353.4500000000007</v>
      </c>
      <c r="J169" s="4">
        <v>-8353.4500000000007</v>
      </c>
      <c r="K169" s="4">
        <v>8353.4500000000007</v>
      </c>
      <c r="L169" s="4"/>
      <c r="M169" s="2" t="s">
        <v>1084</v>
      </c>
      <c r="N169" s="2" t="s">
        <v>10</v>
      </c>
      <c r="O169" s="2" t="s">
        <v>10</v>
      </c>
    </row>
    <row r="170" spans="1:15" hidden="1" x14ac:dyDescent="0.25">
      <c r="A170" s="2" t="s">
        <v>632</v>
      </c>
      <c r="B170" s="3">
        <v>45555</v>
      </c>
      <c r="C170" s="5">
        <v>45536</v>
      </c>
      <c r="D170" s="2" t="s">
        <v>59</v>
      </c>
      <c r="E170" s="2">
        <v>6200</v>
      </c>
      <c r="F170" s="2" t="s">
        <v>58</v>
      </c>
      <c r="G170" s="2" t="s">
        <v>1038</v>
      </c>
      <c r="H170" s="4">
        <v>-867.11</v>
      </c>
      <c r="I170" s="4">
        <v>-867.11</v>
      </c>
      <c r="J170" s="4">
        <v>-867.11</v>
      </c>
      <c r="K170" s="4">
        <v>867.11</v>
      </c>
      <c r="L170" s="4"/>
      <c r="M170" s="2" t="s">
        <v>1084</v>
      </c>
      <c r="N170" s="2" t="s">
        <v>10</v>
      </c>
      <c r="O170" s="2" t="s">
        <v>10</v>
      </c>
    </row>
    <row r="171" spans="1:15" hidden="1" x14ac:dyDescent="0.25">
      <c r="A171" s="2" t="s">
        <v>776</v>
      </c>
      <c r="B171" s="3">
        <v>45472</v>
      </c>
      <c r="C171" s="5">
        <v>45444</v>
      </c>
      <c r="D171" s="2" t="s">
        <v>35</v>
      </c>
      <c r="E171" s="2">
        <v>4000</v>
      </c>
      <c r="F171" s="2" t="s">
        <v>116</v>
      </c>
      <c r="G171" s="2" t="s">
        <v>1034</v>
      </c>
      <c r="H171" s="4">
        <v>1151.1600000000001</v>
      </c>
      <c r="I171" s="4">
        <v>1151.1600000000001</v>
      </c>
      <c r="J171" s="4">
        <v>1151.1600000000001</v>
      </c>
      <c r="K171" s="4">
        <v>1151.1600000000001</v>
      </c>
      <c r="L171" s="4"/>
      <c r="M171" s="2" t="s">
        <v>1084</v>
      </c>
      <c r="N171" s="2" t="s">
        <v>10</v>
      </c>
      <c r="O171" s="2" t="s">
        <v>10</v>
      </c>
    </row>
    <row r="172" spans="1:15" hidden="1" x14ac:dyDescent="0.25">
      <c r="A172" s="2" t="s">
        <v>851</v>
      </c>
      <c r="B172" s="3">
        <v>45297</v>
      </c>
      <c r="C172" s="5">
        <v>45292</v>
      </c>
      <c r="D172" s="2" t="s">
        <v>18</v>
      </c>
      <c r="E172" s="2">
        <v>5100</v>
      </c>
      <c r="F172" s="2" t="s">
        <v>56</v>
      </c>
      <c r="G172" s="2" t="s">
        <v>1025</v>
      </c>
      <c r="H172" s="4">
        <v>-9103.07</v>
      </c>
      <c r="I172" s="4">
        <v>-9103.07</v>
      </c>
      <c r="J172" s="4">
        <v>-9103.07</v>
      </c>
      <c r="K172" s="4">
        <v>9103.07</v>
      </c>
      <c r="L172" s="4"/>
      <c r="M172" s="2" t="s">
        <v>1084</v>
      </c>
      <c r="N172" s="2" t="s">
        <v>10</v>
      </c>
      <c r="O172" s="2" t="s">
        <v>10</v>
      </c>
    </row>
    <row r="173" spans="1:15" hidden="1" x14ac:dyDescent="0.25">
      <c r="A173" s="2" t="s">
        <v>683</v>
      </c>
      <c r="B173" s="3">
        <v>45322</v>
      </c>
      <c r="C173" s="5">
        <v>45292</v>
      </c>
      <c r="D173" s="2" t="s">
        <v>35</v>
      </c>
      <c r="E173" s="2">
        <v>4000</v>
      </c>
      <c r="F173" s="2" t="s">
        <v>103</v>
      </c>
      <c r="G173" s="2" t="s">
        <v>1049</v>
      </c>
      <c r="H173" s="4">
        <v>12411.71</v>
      </c>
      <c r="I173" s="4">
        <v>12411.71</v>
      </c>
      <c r="J173" s="4">
        <v>12411.71</v>
      </c>
      <c r="K173" s="4">
        <v>12411.71</v>
      </c>
      <c r="L173" s="4"/>
      <c r="M173" s="2" t="s">
        <v>1084</v>
      </c>
      <c r="N173" s="2" t="s">
        <v>10</v>
      </c>
      <c r="O173" s="2" t="s">
        <v>10</v>
      </c>
    </row>
    <row r="174" spans="1:15" hidden="1" x14ac:dyDescent="0.25">
      <c r="A174" s="2" t="s">
        <v>433</v>
      </c>
      <c r="B174" s="3">
        <v>45390</v>
      </c>
      <c r="C174" s="5">
        <v>45383</v>
      </c>
      <c r="D174" s="2" t="s">
        <v>39</v>
      </c>
      <c r="E174" s="2">
        <v>6500</v>
      </c>
      <c r="F174" s="2" t="s">
        <v>42</v>
      </c>
      <c r="G174" s="2" t="s">
        <v>1036</v>
      </c>
      <c r="H174" s="4">
        <v>-3436.45</v>
      </c>
      <c r="I174" s="4">
        <v>-3436.45</v>
      </c>
      <c r="J174" s="4">
        <v>-3436.45</v>
      </c>
      <c r="K174" s="4">
        <v>3436.45</v>
      </c>
      <c r="L174" s="4"/>
      <c r="M174" s="2" t="s">
        <v>1084</v>
      </c>
      <c r="N174" s="2" t="s">
        <v>10</v>
      </c>
      <c r="O174" s="2" t="s">
        <v>10</v>
      </c>
    </row>
    <row r="175" spans="1:15" hidden="1" x14ac:dyDescent="0.25">
      <c r="A175" s="2" t="s">
        <v>459</v>
      </c>
      <c r="B175" s="3">
        <v>45380</v>
      </c>
      <c r="C175" s="5">
        <v>45352</v>
      </c>
      <c r="D175" s="2" t="s">
        <v>39</v>
      </c>
      <c r="E175" s="2">
        <v>6500</v>
      </c>
      <c r="F175" s="2" t="s">
        <v>38</v>
      </c>
      <c r="G175" s="2" t="s">
        <v>1029</v>
      </c>
      <c r="H175" s="4">
        <v>-6099.6</v>
      </c>
      <c r="I175" s="4">
        <v>-6099.6</v>
      </c>
      <c r="J175" s="4">
        <v>-6099.6</v>
      </c>
      <c r="K175" s="4">
        <v>6099.6</v>
      </c>
      <c r="L175" s="4"/>
      <c r="M175" s="2" t="s">
        <v>1084</v>
      </c>
      <c r="N175" s="2" t="s">
        <v>10</v>
      </c>
      <c r="O175" s="2" t="s">
        <v>10</v>
      </c>
    </row>
    <row r="176" spans="1:15" hidden="1" x14ac:dyDescent="0.25">
      <c r="A176" s="2" t="s">
        <v>712</v>
      </c>
      <c r="B176" s="3">
        <v>45598</v>
      </c>
      <c r="C176" s="5">
        <v>45597</v>
      </c>
      <c r="D176" s="2" t="s">
        <v>9</v>
      </c>
      <c r="E176" s="2">
        <v>6100</v>
      </c>
      <c r="F176" s="2" t="s">
        <v>44</v>
      </c>
      <c r="G176" s="2" t="s">
        <v>1054</v>
      </c>
      <c r="H176" s="4">
        <v>-3718.36</v>
      </c>
      <c r="I176" s="4">
        <v>-3718.36</v>
      </c>
      <c r="J176" s="4">
        <v>-3718.36</v>
      </c>
      <c r="K176" s="4">
        <v>3718.36</v>
      </c>
      <c r="L176" s="4"/>
      <c r="M176" s="2" t="s">
        <v>1084</v>
      </c>
      <c r="N176" s="2" t="s">
        <v>10</v>
      </c>
      <c r="O176" s="2" t="s">
        <v>10</v>
      </c>
    </row>
    <row r="177" spans="1:15" hidden="1" x14ac:dyDescent="0.25">
      <c r="A177" s="2" t="s">
        <v>170</v>
      </c>
      <c r="B177" s="3">
        <v>45599</v>
      </c>
      <c r="C177" s="5">
        <v>45597</v>
      </c>
      <c r="D177" s="2" t="s">
        <v>24</v>
      </c>
      <c r="E177" s="2">
        <v>6300</v>
      </c>
      <c r="F177" s="2" t="s">
        <v>94</v>
      </c>
      <c r="G177" s="2" t="s">
        <v>1053</v>
      </c>
      <c r="H177" s="4">
        <v>-359.13</v>
      </c>
      <c r="I177" s="4">
        <v>-359.13</v>
      </c>
      <c r="J177" s="4">
        <v>-359.13</v>
      </c>
      <c r="K177" s="4">
        <v>359.13</v>
      </c>
      <c r="L177" s="4"/>
      <c r="M177" s="2" t="s">
        <v>1084</v>
      </c>
      <c r="N177" s="2" t="s">
        <v>10</v>
      </c>
      <c r="O177" s="2" t="s">
        <v>10</v>
      </c>
    </row>
    <row r="178" spans="1:15" hidden="1" x14ac:dyDescent="0.25">
      <c r="A178" s="2" t="s">
        <v>855</v>
      </c>
      <c r="B178" s="3">
        <v>45603</v>
      </c>
      <c r="C178" s="5">
        <v>45597</v>
      </c>
      <c r="D178" s="2" t="s">
        <v>39</v>
      </c>
      <c r="E178" s="2">
        <v>6500</v>
      </c>
      <c r="F178" s="2" t="s">
        <v>69</v>
      </c>
      <c r="G178" s="2" t="s">
        <v>1052</v>
      </c>
      <c r="H178" s="4">
        <v>-4247.0600000000004</v>
      </c>
      <c r="I178" s="4">
        <v>-4247.0600000000004</v>
      </c>
      <c r="J178" s="4">
        <v>-4247.0600000000004</v>
      </c>
      <c r="K178" s="4">
        <v>4247.0600000000004</v>
      </c>
      <c r="L178" s="4"/>
      <c r="M178" s="2" t="s">
        <v>1084</v>
      </c>
      <c r="N178" s="2" t="s">
        <v>10</v>
      </c>
      <c r="O178" s="2" t="s">
        <v>10</v>
      </c>
    </row>
    <row r="179" spans="1:15" hidden="1" x14ac:dyDescent="0.25">
      <c r="A179" s="2" t="s">
        <v>258</v>
      </c>
      <c r="B179" s="3">
        <v>45524</v>
      </c>
      <c r="C179" s="5">
        <v>45505</v>
      </c>
      <c r="D179" s="2" t="s">
        <v>18</v>
      </c>
      <c r="E179" s="2">
        <v>5100</v>
      </c>
      <c r="F179" s="2" t="s">
        <v>17</v>
      </c>
      <c r="G179" s="2" t="s">
        <v>1037</v>
      </c>
      <c r="H179" s="4">
        <v>-4858.29</v>
      </c>
      <c r="I179" s="4">
        <v>-4858.29</v>
      </c>
      <c r="J179" s="4">
        <v>-4858.29</v>
      </c>
      <c r="K179" s="4">
        <v>4858.29</v>
      </c>
      <c r="L179" s="4"/>
      <c r="M179" s="2" t="s">
        <v>1084</v>
      </c>
      <c r="N179" s="2" t="s">
        <v>10</v>
      </c>
      <c r="O179" s="2" t="s">
        <v>10</v>
      </c>
    </row>
    <row r="180" spans="1:15" hidden="1" x14ac:dyDescent="0.25">
      <c r="A180" s="2" t="s">
        <v>1006</v>
      </c>
      <c r="B180" s="3">
        <v>45495</v>
      </c>
      <c r="C180" s="5">
        <v>45474</v>
      </c>
      <c r="D180" s="2" t="s">
        <v>31</v>
      </c>
      <c r="E180" s="2">
        <v>4900</v>
      </c>
      <c r="F180" s="2" t="s">
        <v>79</v>
      </c>
      <c r="G180" s="2" t="s">
        <v>1026</v>
      </c>
      <c r="H180" s="4">
        <v>272.27999999999997</v>
      </c>
      <c r="I180" s="4">
        <v>272.27999999999997</v>
      </c>
      <c r="J180" s="4">
        <v>272.27999999999997</v>
      </c>
      <c r="K180" s="4">
        <v>272.27999999999997</v>
      </c>
      <c r="L180" s="4"/>
      <c r="M180" s="2" t="s">
        <v>1084</v>
      </c>
      <c r="N180" s="2" t="s">
        <v>10</v>
      </c>
      <c r="O180" s="2" t="s">
        <v>10</v>
      </c>
    </row>
    <row r="181" spans="1:15" hidden="1" x14ac:dyDescent="0.25">
      <c r="A181" s="2" t="s">
        <v>536</v>
      </c>
      <c r="B181" s="3">
        <v>45528</v>
      </c>
      <c r="C181" s="5">
        <v>45505</v>
      </c>
      <c r="D181" s="2" t="s">
        <v>13</v>
      </c>
      <c r="E181" s="2">
        <v>6400</v>
      </c>
      <c r="F181" s="2" t="s">
        <v>21</v>
      </c>
      <c r="G181" s="2" t="s">
        <v>1030</v>
      </c>
      <c r="H181" s="4">
        <v>-305.99</v>
      </c>
      <c r="I181" s="4">
        <v>-305.99</v>
      </c>
      <c r="J181" s="4">
        <v>-305.99</v>
      </c>
      <c r="K181" s="4">
        <v>305.99</v>
      </c>
      <c r="L181" s="4"/>
      <c r="M181" s="2" t="s">
        <v>1084</v>
      </c>
      <c r="N181" s="2" t="s">
        <v>10</v>
      </c>
      <c r="O181" s="2" t="s">
        <v>10</v>
      </c>
    </row>
    <row r="182" spans="1:15" hidden="1" x14ac:dyDescent="0.25">
      <c r="A182" s="2" t="s">
        <v>105</v>
      </c>
      <c r="B182" s="3">
        <v>45440</v>
      </c>
      <c r="C182" s="5">
        <v>45413</v>
      </c>
      <c r="D182" s="2" t="s">
        <v>31</v>
      </c>
      <c r="E182" s="2">
        <v>4900</v>
      </c>
      <c r="F182" s="2" t="s">
        <v>79</v>
      </c>
      <c r="G182" s="2" t="s">
        <v>1026</v>
      </c>
      <c r="H182" s="4">
        <v>88.85</v>
      </c>
      <c r="I182" s="4">
        <v>88.85</v>
      </c>
      <c r="J182" s="4">
        <v>88.85</v>
      </c>
      <c r="K182" s="4">
        <v>88.85</v>
      </c>
      <c r="L182" s="4"/>
      <c r="M182" s="2" t="s">
        <v>1084</v>
      </c>
      <c r="N182" s="2" t="s">
        <v>10</v>
      </c>
      <c r="O182" s="2" t="s">
        <v>10</v>
      </c>
    </row>
    <row r="183" spans="1:15" hidden="1" x14ac:dyDescent="0.25">
      <c r="A183" s="2" t="s">
        <v>276</v>
      </c>
      <c r="B183" s="3">
        <v>45536</v>
      </c>
      <c r="C183" s="5">
        <v>45536</v>
      </c>
      <c r="D183" s="2" t="s">
        <v>18</v>
      </c>
      <c r="E183" s="2">
        <v>5100</v>
      </c>
      <c r="F183" s="2" t="s">
        <v>17</v>
      </c>
      <c r="G183" s="2" t="s">
        <v>1037</v>
      </c>
      <c r="H183" s="4">
        <v>-13438.77</v>
      </c>
      <c r="I183" s="4">
        <v>-13438.77</v>
      </c>
      <c r="J183" s="4">
        <v>-13438.77</v>
      </c>
      <c r="K183" s="4">
        <v>13438.77</v>
      </c>
      <c r="L183" s="4"/>
      <c r="M183" s="2" t="s">
        <v>1084</v>
      </c>
      <c r="N183" s="2" t="s">
        <v>10</v>
      </c>
      <c r="O183" s="2" t="s">
        <v>10</v>
      </c>
    </row>
    <row r="184" spans="1:15" x14ac:dyDescent="0.25">
      <c r="A184" s="2" t="s">
        <v>725</v>
      </c>
      <c r="B184" s="3">
        <v>45581</v>
      </c>
      <c r="C184" s="5">
        <v>45566</v>
      </c>
      <c r="D184" s="2" t="s">
        <v>24</v>
      </c>
      <c r="E184" s="2">
        <v>6300</v>
      </c>
      <c r="F184" s="2" t="s">
        <v>94</v>
      </c>
      <c r="G184" s="2" t="s">
        <v>1053</v>
      </c>
      <c r="H184" s="4">
        <v>-171.33</v>
      </c>
      <c r="I184" s="4">
        <v>-17.13</v>
      </c>
      <c r="J184" s="4">
        <v>-171.33</v>
      </c>
      <c r="K184" s="4">
        <v>171.33</v>
      </c>
      <c r="L184" s="4">
        <v>-154.19999999999999</v>
      </c>
      <c r="M184" s="2" t="s">
        <v>1085</v>
      </c>
      <c r="N184" s="2" t="s">
        <v>123</v>
      </c>
      <c r="O184" s="2" t="s">
        <v>10</v>
      </c>
    </row>
    <row r="185" spans="1:15" hidden="1" x14ac:dyDescent="0.25">
      <c r="A185" s="2" t="s">
        <v>841</v>
      </c>
      <c r="B185" s="3">
        <v>45570</v>
      </c>
      <c r="C185" s="5">
        <v>45566</v>
      </c>
      <c r="D185" s="2" t="s">
        <v>9</v>
      </c>
      <c r="E185" s="2">
        <v>6100</v>
      </c>
      <c r="F185" s="2" t="s">
        <v>48</v>
      </c>
      <c r="G185" s="2" t="s">
        <v>1043</v>
      </c>
      <c r="H185" s="4">
        <v>-5429.37</v>
      </c>
      <c r="I185" s="4">
        <v>-5429.37</v>
      </c>
      <c r="J185" s="4">
        <v>-5429.37</v>
      </c>
      <c r="K185" s="4">
        <v>5429.37</v>
      </c>
      <c r="L185" s="4"/>
      <c r="M185" s="2" t="s">
        <v>1084</v>
      </c>
      <c r="N185" s="2" t="s">
        <v>10</v>
      </c>
      <c r="O185" s="2" t="s">
        <v>10</v>
      </c>
    </row>
    <row r="186" spans="1:15" hidden="1" x14ac:dyDescent="0.25">
      <c r="A186" s="2" t="s">
        <v>488</v>
      </c>
      <c r="B186" s="3">
        <v>45516</v>
      </c>
      <c r="C186" s="5">
        <v>45505</v>
      </c>
      <c r="D186" s="2" t="s">
        <v>24</v>
      </c>
      <c r="E186" s="2">
        <v>6300</v>
      </c>
      <c r="F186" s="2" t="s">
        <v>23</v>
      </c>
      <c r="G186" s="2" t="s">
        <v>1045</v>
      </c>
      <c r="H186" s="4">
        <v>-438.96</v>
      </c>
      <c r="I186" s="4">
        <v>-438.96</v>
      </c>
      <c r="J186" s="4">
        <v>-438.96</v>
      </c>
      <c r="K186" s="4">
        <v>438.96</v>
      </c>
      <c r="L186" s="4"/>
      <c r="M186" s="2" t="s">
        <v>1084</v>
      </c>
      <c r="N186" s="2" t="s">
        <v>10</v>
      </c>
      <c r="O186" s="2" t="s">
        <v>10</v>
      </c>
    </row>
    <row r="187" spans="1:15" hidden="1" x14ac:dyDescent="0.25">
      <c r="A187" s="2" t="s">
        <v>334</v>
      </c>
      <c r="B187" s="3">
        <v>45313</v>
      </c>
      <c r="C187" s="5">
        <v>45292</v>
      </c>
      <c r="D187" s="2" t="s">
        <v>24</v>
      </c>
      <c r="E187" s="2">
        <v>6300</v>
      </c>
      <c r="F187" s="2" t="s">
        <v>127</v>
      </c>
      <c r="G187" s="2" t="s">
        <v>1035</v>
      </c>
      <c r="H187" s="4">
        <v>-843.28</v>
      </c>
      <c r="I187" s="4">
        <v>-843.28</v>
      </c>
      <c r="J187" s="4">
        <v>-843.28</v>
      </c>
      <c r="K187" s="4">
        <v>843.28</v>
      </c>
      <c r="L187" s="4"/>
      <c r="M187" s="2" t="s">
        <v>1084</v>
      </c>
      <c r="N187" s="2" t="s">
        <v>10</v>
      </c>
      <c r="O187" s="2" t="s">
        <v>10</v>
      </c>
    </row>
    <row r="188" spans="1:15" hidden="1" x14ac:dyDescent="0.25">
      <c r="A188" s="2" t="s">
        <v>230</v>
      </c>
      <c r="B188" s="3">
        <v>45556</v>
      </c>
      <c r="C188" s="5">
        <v>45536</v>
      </c>
      <c r="D188" s="2" t="s">
        <v>18</v>
      </c>
      <c r="E188" s="2">
        <v>5100</v>
      </c>
      <c r="F188" s="2" t="s">
        <v>56</v>
      </c>
      <c r="G188" s="2" t="s">
        <v>1025</v>
      </c>
      <c r="H188" s="4">
        <v>-3384.64</v>
      </c>
      <c r="I188" s="4">
        <v>-3384.64</v>
      </c>
      <c r="J188" s="4">
        <v>-3384.64</v>
      </c>
      <c r="K188" s="4">
        <v>3384.64</v>
      </c>
      <c r="L188" s="4"/>
      <c r="M188" s="2" t="s">
        <v>1084</v>
      </c>
      <c r="N188" s="2" t="s">
        <v>10</v>
      </c>
      <c r="O188" s="2" t="s">
        <v>10</v>
      </c>
    </row>
    <row r="189" spans="1:15" hidden="1" x14ac:dyDescent="0.25">
      <c r="A189" s="2" t="s">
        <v>305</v>
      </c>
      <c r="B189" s="3">
        <v>45425</v>
      </c>
      <c r="C189" s="5">
        <v>45413</v>
      </c>
      <c r="D189" s="2" t="s">
        <v>59</v>
      </c>
      <c r="E189" s="2">
        <v>6200</v>
      </c>
      <c r="F189" s="2" t="s">
        <v>71</v>
      </c>
      <c r="G189" s="2" t="s">
        <v>1050</v>
      </c>
      <c r="H189" s="4">
        <v>-723.64</v>
      </c>
      <c r="I189" s="4">
        <v>-723.64</v>
      </c>
      <c r="J189" s="4">
        <v>-723.64</v>
      </c>
      <c r="K189" s="4">
        <v>723.64</v>
      </c>
      <c r="L189" s="4"/>
      <c r="M189" s="2" t="s">
        <v>1084</v>
      </c>
      <c r="N189" s="2" t="s">
        <v>10</v>
      </c>
      <c r="O189" s="2" t="s">
        <v>10</v>
      </c>
    </row>
    <row r="190" spans="1:15" hidden="1" x14ac:dyDescent="0.25">
      <c r="A190" s="2" t="s">
        <v>743</v>
      </c>
      <c r="B190" s="3">
        <v>45563</v>
      </c>
      <c r="C190" s="5">
        <v>45536</v>
      </c>
      <c r="D190" s="2" t="s">
        <v>52</v>
      </c>
      <c r="E190" s="2">
        <v>6000</v>
      </c>
      <c r="F190" s="2" t="s">
        <v>51</v>
      </c>
      <c r="G190" s="2" t="s">
        <v>1033</v>
      </c>
      <c r="H190" s="4">
        <v>-8635.0300000000007</v>
      </c>
      <c r="I190" s="4">
        <v>-8635.0300000000007</v>
      </c>
      <c r="J190" s="4">
        <v>-8635.0300000000007</v>
      </c>
      <c r="K190" s="4">
        <v>8635.0300000000007</v>
      </c>
      <c r="L190" s="4"/>
      <c r="M190" s="2" t="s">
        <v>1084</v>
      </c>
      <c r="N190" s="2" t="s">
        <v>10</v>
      </c>
      <c r="O190" s="2" t="s">
        <v>10</v>
      </c>
    </row>
    <row r="191" spans="1:15" hidden="1" x14ac:dyDescent="0.25">
      <c r="A191" s="2" t="s">
        <v>224</v>
      </c>
      <c r="B191" s="3">
        <v>45488</v>
      </c>
      <c r="C191" s="5">
        <v>45474</v>
      </c>
      <c r="D191" s="2" t="s">
        <v>59</v>
      </c>
      <c r="E191" s="2">
        <v>6200</v>
      </c>
      <c r="F191" s="2" t="s">
        <v>71</v>
      </c>
      <c r="G191" s="2" t="s">
        <v>1050</v>
      </c>
      <c r="H191" s="4">
        <v>-296.20999999999998</v>
      </c>
      <c r="I191" s="4">
        <v>-296.20999999999998</v>
      </c>
      <c r="J191" s="4">
        <v>-296.20999999999998</v>
      </c>
      <c r="K191" s="4">
        <v>296.20999999999998</v>
      </c>
      <c r="L191" s="4"/>
      <c r="M191" s="2" t="s">
        <v>1084</v>
      </c>
      <c r="N191" s="2" t="s">
        <v>10</v>
      </c>
      <c r="O191" s="2" t="s">
        <v>10</v>
      </c>
    </row>
    <row r="192" spans="1:15" hidden="1" x14ac:dyDescent="0.25">
      <c r="A192" s="2" t="s">
        <v>916</v>
      </c>
      <c r="B192" s="3">
        <v>45613</v>
      </c>
      <c r="C192" s="5">
        <v>45597</v>
      </c>
      <c r="D192" s="2" t="s">
        <v>9</v>
      </c>
      <c r="E192" s="2">
        <v>6100</v>
      </c>
      <c r="F192" s="2" t="s">
        <v>8</v>
      </c>
      <c r="G192" s="2" t="s">
        <v>1042</v>
      </c>
      <c r="H192" s="4">
        <v>-1876.32</v>
      </c>
      <c r="I192" s="4">
        <v>-1876.32</v>
      </c>
      <c r="J192" s="4">
        <v>-1876.32</v>
      </c>
      <c r="K192" s="4">
        <v>1876.32</v>
      </c>
      <c r="L192" s="4"/>
      <c r="M192" s="2" t="s">
        <v>1084</v>
      </c>
      <c r="N192" s="2" t="s">
        <v>10</v>
      </c>
      <c r="O192" s="2" t="s">
        <v>10</v>
      </c>
    </row>
    <row r="193" spans="1:15" hidden="1" x14ac:dyDescent="0.25">
      <c r="A193" s="2" t="s">
        <v>135</v>
      </c>
      <c r="B193" s="3">
        <v>45415</v>
      </c>
      <c r="C193" s="5">
        <v>45413</v>
      </c>
      <c r="D193" s="2" t="s">
        <v>9</v>
      </c>
      <c r="E193" s="2">
        <v>6100</v>
      </c>
      <c r="F193" s="2" t="s">
        <v>44</v>
      </c>
      <c r="G193" s="2" t="s">
        <v>1054</v>
      </c>
      <c r="H193" s="4">
        <v>-2998.22</v>
      </c>
      <c r="I193" s="4">
        <v>-2998.22</v>
      </c>
      <c r="J193" s="4">
        <v>-2998.22</v>
      </c>
      <c r="K193" s="4">
        <v>2998.22</v>
      </c>
      <c r="L193" s="4"/>
      <c r="M193" s="2" t="s">
        <v>1084</v>
      </c>
      <c r="N193" s="2" t="s">
        <v>10</v>
      </c>
      <c r="O193" s="2" t="s">
        <v>10</v>
      </c>
    </row>
    <row r="194" spans="1:15" hidden="1" x14ac:dyDescent="0.25">
      <c r="A194" s="2" t="s">
        <v>406</v>
      </c>
      <c r="B194" s="3">
        <v>45631</v>
      </c>
      <c r="C194" s="5">
        <v>45627</v>
      </c>
      <c r="D194" s="2" t="s">
        <v>9</v>
      </c>
      <c r="E194" s="2">
        <v>6100</v>
      </c>
      <c r="F194" s="2" t="s">
        <v>48</v>
      </c>
      <c r="G194" s="2" t="s">
        <v>1043</v>
      </c>
      <c r="H194" s="4">
        <v>-1500.4</v>
      </c>
      <c r="I194" s="4">
        <v>-1500.4</v>
      </c>
      <c r="J194" s="4">
        <v>-1500.4</v>
      </c>
      <c r="K194" s="4">
        <v>1500.4</v>
      </c>
      <c r="L194" s="4"/>
      <c r="M194" s="2" t="s">
        <v>1084</v>
      </c>
      <c r="N194" s="2" t="s">
        <v>10</v>
      </c>
      <c r="O194" s="2" t="s">
        <v>10</v>
      </c>
    </row>
    <row r="195" spans="1:15" hidden="1" x14ac:dyDescent="0.25">
      <c r="A195" s="2" t="s">
        <v>872</v>
      </c>
      <c r="B195" s="3">
        <v>45600</v>
      </c>
      <c r="C195" s="5">
        <v>45597</v>
      </c>
      <c r="D195" s="2" t="s">
        <v>59</v>
      </c>
      <c r="E195" s="2">
        <v>6200</v>
      </c>
      <c r="F195" s="2" t="s">
        <v>71</v>
      </c>
      <c r="G195" s="2" t="s">
        <v>1050</v>
      </c>
      <c r="H195" s="4">
        <v>-1039.32</v>
      </c>
      <c r="I195" s="4">
        <v>-1039.32</v>
      </c>
      <c r="J195" s="4">
        <v>-1039.32</v>
      </c>
      <c r="K195" s="4">
        <v>1039.32</v>
      </c>
      <c r="L195" s="4"/>
      <c r="M195" s="2" t="s">
        <v>1084</v>
      </c>
      <c r="N195" s="2" t="s">
        <v>10</v>
      </c>
      <c r="O195" s="2" t="s">
        <v>10</v>
      </c>
    </row>
    <row r="196" spans="1:15" hidden="1" x14ac:dyDescent="0.25">
      <c r="A196" s="2" t="s">
        <v>218</v>
      </c>
      <c r="B196" s="3">
        <v>45412</v>
      </c>
      <c r="C196" s="5">
        <v>45383</v>
      </c>
      <c r="D196" s="2" t="s">
        <v>31</v>
      </c>
      <c r="E196" s="2">
        <v>4900</v>
      </c>
      <c r="F196" s="2" t="s">
        <v>30</v>
      </c>
      <c r="G196" s="2" t="s">
        <v>1024</v>
      </c>
      <c r="H196" s="4">
        <v>147.5</v>
      </c>
      <c r="I196" s="4">
        <v>147.5</v>
      </c>
      <c r="J196" s="4">
        <v>147.5</v>
      </c>
      <c r="K196" s="4">
        <v>147.5</v>
      </c>
      <c r="L196" s="4"/>
      <c r="M196" s="2" t="s">
        <v>1084</v>
      </c>
      <c r="N196" s="2" t="s">
        <v>10</v>
      </c>
      <c r="O196" s="2" t="s">
        <v>10</v>
      </c>
    </row>
    <row r="197" spans="1:15" hidden="1" x14ac:dyDescent="0.25">
      <c r="A197" s="2" t="s">
        <v>213</v>
      </c>
      <c r="B197" s="3">
        <v>45468</v>
      </c>
      <c r="C197" s="5">
        <v>45444</v>
      </c>
      <c r="D197" s="2" t="s">
        <v>35</v>
      </c>
      <c r="E197" s="2">
        <v>4000</v>
      </c>
      <c r="F197" s="2" t="s">
        <v>103</v>
      </c>
      <c r="G197" s="2" t="s">
        <v>1049</v>
      </c>
      <c r="H197" s="4">
        <v>1854.13</v>
      </c>
      <c r="I197" s="4">
        <v>1854.13</v>
      </c>
      <c r="J197" s="4">
        <v>1854.13</v>
      </c>
      <c r="K197" s="4">
        <v>1854.13</v>
      </c>
      <c r="L197" s="4"/>
      <c r="M197" s="2" t="s">
        <v>1084</v>
      </c>
      <c r="N197" s="2" t="s">
        <v>10</v>
      </c>
      <c r="O197" s="2" t="s">
        <v>10</v>
      </c>
    </row>
    <row r="198" spans="1:15" hidden="1" x14ac:dyDescent="0.25">
      <c r="A198" s="2" t="s">
        <v>947</v>
      </c>
      <c r="B198" s="3">
        <v>45485</v>
      </c>
      <c r="C198" s="5">
        <v>45474</v>
      </c>
      <c r="D198" s="2" t="s">
        <v>59</v>
      </c>
      <c r="E198" s="2">
        <v>6200</v>
      </c>
      <c r="F198" s="2" t="s">
        <v>58</v>
      </c>
      <c r="G198" s="2" t="s">
        <v>1038</v>
      </c>
      <c r="H198" s="4">
        <v>-354.53</v>
      </c>
      <c r="I198" s="4">
        <v>-354.53</v>
      </c>
      <c r="J198" s="4">
        <v>-354.53</v>
      </c>
      <c r="K198" s="4">
        <v>354.53</v>
      </c>
      <c r="L198" s="4"/>
      <c r="M198" s="2" t="s">
        <v>1084</v>
      </c>
      <c r="N198" s="2" t="s">
        <v>10</v>
      </c>
      <c r="O198" s="2" t="s">
        <v>10</v>
      </c>
    </row>
    <row r="199" spans="1:15" hidden="1" x14ac:dyDescent="0.25">
      <c r="A199" s="2" t="s">
        <v>545</v>
      </c>
      <c r="B199" s="3">
        <v>45572</v>
      </c>
      <c r="C199" s="5">
        <v>45566</v>
      </c>
      <c r="D199" s="2" t="s">
        <v>18</v>
      </c>
      <c r="E199" s="2">
        <v>5100</v>
      </c>
      <c r="F199" s="2" t="s">
        <v>56</v>
      </c>
      <c r="G199" s="2" t="s">
        <v>1025</v>
      </c>
      <c r="H199" s="4">
        <v>-9235.18</v>
      </c>
      <c r="I199" s="4">
        <v>-9235.18</v>
      </c>
      <c r="J199" s="4">
        <v>-9235.18</v>
      </c>
      <c r="K199" s="4">
        <v>9235.18</v>
      </c>
      <c r="L199" s="4"/>
      <c r="M199" s="2" t="s">
        <v>1084</v>
      </c>
      <c r="N199" s="2" t="s">
        <v>10</v>
      </c>
      <c r="O199" s="2" t="s">
        <v>10</v>
      </c>
    </row>
    <row r="200" spans="1:15" hidden="1" x14ac:dyDescent="0.25">
      <c r="A200" s="2" t="s">
        <v>858</v>
      </c>
      <c r="B200" s="3">
        <v>45543</v>
      </c>
      <c r="C200" s="5">
        <v>45536</v>
      </c>
      <c r="D200" s="2" t="s">
        <v>59</v>
      </c>
      <c r="E200" s="2">
        <v>6200</v>
      </c>
      <c r="F200" s="2" t="s">
        <v>58</v>
      </c>
      <c r="G200" s="2" t="s">
        <v>1038</v>
      </c>
      <c r="H200" s="4">
        <v>-1071.6199999999999</v>
      </c>
      <c r="I200" s="4">
        <v>-1071.6199999999999</v>
      </c>
      <c r="J200" s="4">
        <v>-1071.6199999999999</v>
      </c>
      <c r="K200" s="4">
        <v>1071.6199999999999</v>
      </c>
      <c r="L200" s="4"/>
      <c r="M200" s="2" t="s">
        <v>1084</v>
      </c>
      <c r="N200" s="2" t="s">
        <v>10</v>
      </c>
      <c r="O200" s="2" t="s">
        <v>10</v>
      </c>
    </row>
    <row r="201" spans="1:15" hidden="1" x14ac:dyDescent="0.25">
      <c r="A201" s="2" t="s">
        <v>822</v>
      </c>
      <c r="B201" s="3">
        <v>45602</v>
      </c>
      <c r="C201" s="5">
        <v>45597</v>
      </c>
      <c r="D201" s="2" t="s">
        <v>31</v>
      </c>
      <c r="E201" s="2">
        <v>4900</v>
      </c>
      <c r="F201" s="2" t="s">
        <v>30</v>
      </c>
      <c r="G201" s="2" t="s">
        <v>1024</v>
      </c>
      <c r="H201" s="4">
        <v>372.22</v>
      </c>
      <c r="I201" s="4">
        <v>372.22</v>
      </c>
      <c r="J201" s="4">
        <v>372.22</v>
      </c>
      <c r="K201" s="4">
        <v>372.22</v>
      </c>
      <c r="L201" s="4"/>
      <c r="M201" s="2" t="s">
        <v>1084</v>
      </c>
      <c r="N201" s="2" t="s">
        <v>10</v>
      </c>
      <c r="O201" s="2" t="s">
        <v>10</v>
      </c>
    </row>
    <row r="202" spans="1:15" hidden="1" x14ac:dyDescent="0.25">
      <c r="A202" s="2" t="s">
        <v>241</v>
      </c>
      <c r="B202" s="3">
        <v>45427</v>
      </c>
      <c r="C202" s="5">
        <v>45413</v>
      </c>
      <c r="D202" s="2" t="s">
        <v>59</v>
      </c>
      <c r="E202" s="2">
        <v>6200</v>
      </c>
      <c r="F202" s="2" t="s">
        <v>67</v>
      </c>
      <c r="G202" s="2" t="s">
        <v>1028</v>
      </c>
      <c r="H202" s="4">
        <v>-173.51</v>
      </c>
      <c r="I202" s="4">
        <v>-173.51</v>
      </c>
      <c r="J202" s="4">
        <v>-173.51</v>
      </c>
      <c r="K202" s="4">
        <v>173.51</v>
      </c>
      <c r="L202" s="4"/>
      <c r="M202" s="2" t="s">
        <v>1084</v>
      </c>
      <c r="N202" s="2" t="s">
        <v>10</v>
      </c>
      <c r="O202" s="2" t="s">
        <v>10</v>
      </c>
    </row>
    <row r="203" spans="1:15" hidden="1" x14ac:dyDescent="0.25">
      <c r="A203" s="2" t="s">
        <v>180</v>
      </c>
      <c r="B203" s="3">
        <v>45476</v>
      </c>
      <c r="C203" s="5">
        <v>45474</v>
      </c>
      <c r="D203" s="2" t="s">
        <v>31</v>
      </c>
      <c r="E203" s="2">
        <v>4900</v>
      </c>
      <c r="F203" s="2" t="s">
        <v>30</v>
      </c>
      <c r="G203" s="2" t="s">
        <v>1024</v>
      </c>
      <c r="H203" s="4">
        <v>50.55</v>
      </c>
      <c r="I203" s="4">
        <v>50.55</v>
      </c>
      <c r="J203" s="4">
        <v>50.55</v>
      </c>
      <c r="K203" s="4">
        <v>50.55</v>
      </c>
      <c r="L203" s="4"/>
      <c r="M203" s="2" t="s">
        <v>1084</v>
      </c>
      <c r="N203" s="2" t="s">
        <v>10</v>
      </c>
      <c r="O203" s="2" t="s">
        <v>10</v>
      </c>
    </row>
    <row r="204" spans="1:15" hidden="1" x14ac:dyDescent="0.25">
      <c r="A204" s="2" t="s">
        <v>297</v>
      </c>
      <c r="B204" s="3">
        <v>45449</v>
      </c>
      <c r="C204" s="5">
        <v>45444</v>
      </c>
      <c r="D204" s="2" t="s">
        <v>24</v>
      </c>
      <c r="E204" s="2">
        <v>6300</v>
      </c>
      <c r="F204" s="2" t="s">
        <v>127</v>
      </c>
      <c r="G204" s="2" t="s">
        <v>1035</v>
      </c>
      <c r="H204" s="4">
        <v>-127.33</v>
      </c>
      <c r="I204" s="4">
        <v>-127.33</v>
      </c>
      <c r="J204" s="4">
        <v>-127.33</v>
      </c>
      <c r="K204" s="4">
        <v>127.33</v>
      </c>
      <c r="L204" s="4"/>
      <c r="M204" s="2" t="s">
        <v>1084</v>
      </c>
      <c r="N204" s="2" t="s">
        <v>10</v>
      </c>
      <c r="O204" s="2" t="s">
        <v>10</v>
      </c>
    </row>
    <row r="205" spans="1:15" hidden="1" x14ac:dyDescent="0.25">
      <c r="A205" s="2" t="s">
        <v>608</v>
      </c>
      <c r="B205" s="3">
        <v>45623</v>
      </c>
      <c r="C205" s="5">
        <v>45597</v>
      </c>
      <c r="D205" s="2" t="s">
        <v>9</v>
      </c>
      <c r="E205" s="2">
        <v>6100</v>
      </c>
      <c r="F205" s="2" t="s">
        <v>48</v>
      </c>
      <c r="G205" s="2" t="s">
        <v>1043</v>
      </c>
      <c r="H205" s="4">
        <v>-5232.3900000000003</v>
      </c>
      <c r="I205" s="4">
        <v>-5232.3900000000003</v>
      </c>
      <c r="J205" s="4">
        <v>-5232.3900000000003</v>
      </c>
      <c r="K205" s="4">
        <v>5232.3900000000003</v>
      </c>
      <c r="L205" s="4"/>
      <c r="M205" s="2" t="s">
        <v>1084</v>
      </c>
      <c r="N205" s="2" t="s">
        <v>10</v>
      </c>
      <c r="O205" s="2" t="s">
        <v>10</v>
      </c>
    </row>
    <row r="206" spans="1:15" hidden="1" x14ac:dyDescent="0.25">
      <c r="A206" s="2" t="s">
        <v>485</v>
      </c>
      <c r="B206" s="3">
        <v>45403</v>
      </c>
      <c r="C206" s="5">
        <v>45383</v>
      </c>
      <c r="D206" s="2" t="s">
        <v>24</v>
      </c>
      <c r="E206" s="2">
        <v>6300</v>
      </c>
      <c r="F206" s="2" t="s">
        <v>94</v>
      </c>
      <c r="G206" s="2" t="s">
        <v>1053</v>
      </c>
      <c r="H206" s="4">
        <v>-741.43</v>
      </c>
      <c r="I206" s="4">
        <v>-741.43</v>
      </c>
      <c r="J206" s="4">
        <v>-741.43</v>
      </c>
      <c r="K206" s="4">
        <v>741.43</v>
      </c>
      <c r="L206" s="4"/>
      <c r="M206" s="2" t="s">
        <v>1084</v>
      </c>
      <c r="N206" s="2" t="s">
        <v>10</v>
      </c>
      <c r="O206" s="2" t="s">
        <v>10</v>
      </c>
    </row>
    <row r="207" spans="1:15" x14ac:dyDescent="0.25">
      <c r="A207" s="2" t="s">
        <v>250</v>
      </c>
      <c r="B207" s="3">
        <v>45506</v>
      </c>
      <c r="C207" s="5">
        <v>45505</v>
      </c>
      <c r="D207" s="2" t="s">
        <v>52</v>
      </c>
      <c r="E207" s="2">
        <v>6000</v>
      </c>
      <c r="F207" s="2" t="s">
        <v>97</v>
      </c>
      <c r="G207" s="2" t="s">
        <v>1046</v>
      </c>
      <c r="H207" s="4">
        <v>-7023.64</v>
      </c>
      <c r="I207" s="4">
        <v>-70.23</v>
      </c>
      <c r="J207" s="4">
        <v>-7023.64</v>
      </c>
      <c r="K207" s="4">
        <v>7023.64</v>
      </c>
      <c r="L207" s="4">
        <v>-6953.41</v>
      </c>
      <c r="M207" s="2" t="s">
        <v>1085</v>
      </c>
      <c r="N207" s="2" t="s">
        <v>123</v>
      </c>
      <c r="O207" s="2" t="s">
        <v>10</v>
      </c>
    </row>
    <row r="208" spans="1:15" hidden="1" x14ac:dyDescent="0.25">
      <c r="A208" s="2" t="s">
        <v>741</v>
      </c>
      <c r="B208" s="3">
        <v>45335</v>
      </c>
      <c r="C208" s="5">
        <v>45323</v>
      </c>
      <c r="D208" s="2" t="s">
        <v>39</v>
      </c>
      <c r="E208" s="2">
        <v>6500</v>
      </c>
      <c r="F208" s="2" t="s">
        <v>38</v>
      </c>
      <c r="G208" s="2" t="s">
        <v>1029</v>
      </c>
      <c r="H208" s="4">
        <v>-496.77</v>
      </c>
      <c r="I208" s="4">
        <v>-496.77</v>
      </c>
      <c r="J208" s="4">
        <v>-496.77</v>
      </c>
      <c r="K208" s="4">
        <v>496.77</v>
      </c>
      <c r="L208" s="4"/>
      <c r="M208" s="2" t="s">
        <v>1084</v>
      </c>
      <c r="N208" s="2" t="s">
        <v>10</v>
      </c>
      <c r="O208" s="2" t="s">
        <v>10</v>
      </c>
    </row>
    <row r="209" spans="1:15" hidden="1" x14ac:dyDescent="0.25">
      <c r="A209" s="2" t="s">
        <v>222</v>
      </c>
      <c r="B209" s="3">
        <v>45602</v>
      </c>
      <c r="C209" s="5">
        <v>45597</v>
      </c>
      <c r="D209" s="2" t="s">
        <v>31</v>
      </c>
      <c r="E209" s="2">
        <v>4900</v>
      </c>
      <c r="F209" s="2" t="s">
        <v>146</v>
      </c>
      <c r="G209" s="2" t="s">
        <v>1031</v>
      </c>
      <c r="H209" s="4">
        <v>163.5</v>
      </c>
      <c r="I209" s="4">
        <v>163.5</v>
      </c>
      <c r="J209" s="4">
        <v>163.5</v>
      </c>
      <c r="K209" s="4">
        <v>163.5</v>
      </c>
      <c r="L209" s="4"/>
      <c r="M209" s="2" t="s">
        <v>1084</v>
      </c>
      <c r="N209" s="2" t="s">
        <v>10</v>
      </c>
      <c r="O209" s="2" t="s">
        <v>10</v>
      </c>
    </row>
    <row r="210" spans="1:15" hidden="1" x14ac:dyDescent="0.25">
      <c r="A210" s="2" t="s">
        <v>708</v>
      </c>
      <c r="B210" s="3">
        <v>45432</v>
      </c>
      <c r="C210" s="5">
        <v>45413</v>
      </c>
      <c r="D210" s="2" t="s">
        <v>52</v>
      </c>
      <c r="E210" s="2">
        <v>6000</v>
      </c>
      <c r="F210" s="2" t="s">
        <v>63</v>
      </c>
      <c r="G210" s="2" t="s">
        <v>1051</v>
      </c>
      <c r="H210" s="4">
        <v>-11460.78</v>
      </c>
      <c r="I210" s="4">
        <v>-11460.78</v>
      </c>
      <c r="J210" s="4">
        <v>-11460.78</v>
      </c>
      <c r="K210" s="4">
        <v>11460.78</v>
      </c>
      <c r="L210" s="4"/>
      <c r="M210" s="2" t="s">
        <v>1084</v>
      </c>
      <c r="N210" s="2" t="s">
        <v>10</v>
      </c>
      <c r="O210" s="2" t="s">
        <v>10</v>
      </c>
    </row>
    <row r="211" spans="1:15" hidden="1" x14ac:dyDescent="0.25">
      <c r="A211" s="2" t="s">
        <v>976</v>
      </c>
      <c r="B211" s="3">
        <v>45416</v>
      </c>
      <c r="C211" s="5">
        <v>45413</v>
      </c>
      <c r="D211" s="2" t="s">
        <v>39</v>
      </c>
      <c r="E211" s="2">
        <v>6500</v>
      </c>
      <c r="F211" s="2" t="s">
        <v>38</v>
      </c>
      <c r="G211" s="2" t="s">
        <v>1029</v>
      </c>
      <c r="H211" s="4">
        <v>-4678.3599999999997</v>
      </c>
      <c r="I211" s="4">
        <v>-4678.3599999999997</v>
      </c>
      <c r="J211" s="4">
        <v>-4678.3599999999997</v>
      </c>
      <c r="K211" s="4">
        <v>4678.3599999999997</v>
      </c>
      <c r="L211" s="4"/>
      <c r="M211" s="2" t="s">
        <v>1084</v>
      </c>
      <c r="N211" s="2" t="s">
        <v>10</v>
      </c>
      <c r="O211" s="2" t="s">
        <v>10</v>
      </c>
    </row>
    <row r="212" spans="1:15" hidden="1" x14ac:dyDescent="0.25">
      <c r="A212" s="2" t="s">
        <v>883</v>
      </c>
      <c r="B212" s="3">
        <v>45504</v>
      </c>
      <c r="C212" s="5">
        <v>45474</v>
      </c>
      <c r="D212" s="2" t="s">
        <v>52</v>
      </c>
      <c r="E212" s="2">
        <v>6000</v>
      </c>
      <c r="F212" s="2" t="s">
        <v>97</v>
      </c>
      <c r="G212" s="2" t="s">
        <v>1046</v>
      </c>
      <c r="H212" s="4">
        <v>-3288.58</v>
      </c>
      <c r="I212" s="4">
        <v>-3288.58</v>
      </c>
      <c r="J212" s="4">
        <v>-3288.58</v>
      </c>
      <c r="K212" s="4">
        <v>3288.58</v>
      </c>
      <c r="L212" s="4"/>
      <c r="M212" s="2" t="s">
        <v>1084</v>
      </c>
      <c r="N212" s="2" t="s">
        <v>10</v>
      </c>
      <c r="O212" s="2" t="s">
        <v>10</v>
      </c>
    </row>
    <row r="213" spans="1:15" hidden="1" x14ac:dyDescent="0.25">
      <c r="A213" s="2" t="s">
        <v>774</v>
      </c>
      <c r="B213" s="3">
        <v>45474</v>
      </c>
      <c r="C213" s="5">
        <v>45474</v>
      </c>
      <c r="D213" s="2" t="s">
        <v>39</v>
      </c>
      <c r="E213" s="2">
        <v>6500</v>
      </c>
      <c r="F213" s="2" t="s">
        <v>69</v>
      </c>
      <c r="G213" s="2" t="s">
        <v>1052</v>
      </c>
      <c r="H213" s="4">
        <v>-7832.28</v>
      </c>
      <c r="I213" s="4">
        <v>-7832.28</v>
      </c>
      <c r="J213" s="4">
        <v>-7832.28</v>
      </c>
      <c r="K213" s="4">
        <v>7832.28</v>
      </c>
      <c r="L213" s="4"/>
      <c r="M213" s="2" t="s">
        <v>1084</v>
      </c>
      <c r="N213" s="2" t="s">
        <v>10</v>
      </c>
      <c r="O213" s="2" t="s">
        <v>10</v>
      </c>
    </row>
    <row r="214" spans="1:15" hidden="1" x14ac:dyDescent="0.25">
      <c r="A214" s="2" t="s">
        <v>830</v>
      </c>
      <c r="B214" s="3">
        <v>45601</v>
      </c>
      <c r="C214" s="5">
        <v>45597</v>
      </c>
      <c r="D214" s="2" t="s">
        <v>39</v>
      </c>
      <c r="E214" s="2">
        <v>6500</v>
      </c>
      <c r="F214" s="2" t="s">
        <v>38</v>
      </c>
      <c r="G214" s="2" t="s">
        <v>1029</v>
      </c>
      <c r="H214" s="4">
        <v>-4025.33</v>
      </c>
      <c r="I214" s="4">
        <v>-4025.33</v>
      </c>
      <c r="J214" s="4">
        <v>-4025.33</v>
      </c>
      <c r="K214" s="4">
        <v>4025.33</v>
      </c>
      <c r="L214" s="4"/>
      <c r="M214" s="2" t="s">
        <v>1084</v>
      </c>
      <c r="N214" s="2" t="s">
        <v>10</v>
      </c>
      <c r="O214" s="2" t="s">
        <v>10</v>
      </c>
    </row>
    <row r="215" spans="1:15" hidden="1" x14ac:dyDescent="0.25">
      <c r="A215" s="2" t="s">
        <v>641</v>
      </c>
      <c r="B215" s="3">
        <v>45485</v>
      </c>
      <c r="C215" s="5">
        <v>45474</v>
      </c>
      <c r="D215" s="2" t="s">
        <v>24</v>
      </c>
      <c r="E215" s="2">
        <v>6300</v>
      </c>
      <c r="F215" s="2" t="s">
        <v>127</v>
      </c>
      <c r="G215" s="2" t="s">
        <v>1035</v>
      </c>
      <c r="H215" s="4">
        <v>-874.38</v>
      </c>
      <c r="I215" s="4">
        <v>-874.38</v>
      </c>
      <c r="J215" s="4">
        <v>-874.38</v>
      </c>
      <c r="K215" s="4">
        <v>874.38</v>
      </c>
      <c r="L215" s="4"/>
      <c r="M215" s="2" t="s">
        <v>1084</v>
      </c>
      <c r="N215" s="2" t="s">
        <v>10</v>
      </c>
      <c r="O215" s="2" t="s">
        <v>10</v>
      </c>
    </row>
    <row r="216" spans="1:15" hidden="1" x14ac:dyDescent="0.25">
      <c r="A216" s="2" t="s">
        <v>446</v>
      </c>
      <c r="B216" s="3">
        <v>45480</v>
      </c>
      <c r="C216" s="5">
        <v>45474</v>
      </c>
      <c r="D216" s="2" t="s">
        <v>39</v>
      </c>
      <c r="E216" s="2">
        <v>6500</v>
      </c>
      <c r="F216" s="2" t="s">
        <v>69</v>
      </c>
      <c r="G216" s="2" t="s">
        <v>1052</v>
      </c>
      <c r="H216" s="4">
        <v>-3270.57</v>
      </c>
      <c r="I216" s="4">
        <v>-3270.57</v>
      </c>
      <c r="J216" s="4">
        <v>-3270.57</v>
      </c>
      <c r="K216" s="4">
        <v>3270.57</v>
      </c>
      <c r="L216" s="4"/>
      <c r="M216" s="2" t="s">
        <v>1084</v>
      </c>
      <c r="N216" s="2" t="s">
        <v>10</v>
      </c>
      <c r="O216" s="2" t="s">
        <v>10</v>
      </c>
    </row>
    <row r="217" spans="1:15" hidden="1" x14ac:dyDescent="0.25">
      <c r="A217" s="2" t="s">
        <v>992</v>
      </c>
      <c r="B217" s="3">
        <v>45330</v>
      </c>
      <c r="C217" s="5">
        <v>45323</v>
      </c>
      <c r="D217" s="2" t="s">
        <v>52</v>
      </c>
      <c r="E217" s="2">
        <v>6000</v>
      </c>
      <c r="F217" s="2" t="s">
        <v>51</v>
      </c>
      <c r="G217" s="2" t="s">
        <v>1033</v>
      </c>
      <c r="H217" s="4">
        <v>-7639.9</v>
      </c>
      <c r="I217" s="4">
        <v>-7639.9</v>
      </c>
      <c r="J217" s="4">
        <v>-7639.9</v>
      </c>
      <c r="K217" s="4">
        <v>7639.9</v>
      </c>
      <c r="L217" s="4"/>
      <c r="M217" s="2" t="s">
        <v>1084</v>
      </c>
      <c r="N217" s="2" t="s">
        <v>10</v>
      </c>
      <c r="O217" s="2" t="s">
        <v>10</v>
      </c>
    </row>
    <row r="218" spans="1:15" hidden="1" x14ac:dyDescent="0.25">
      <c r="A218" s="2" t="s">
        <v>264</v>
      </c>
      <c r="B218" s="3">
        <v>45300</v>
      </c>
      <c r="C218" s="5">
        <v>45292</v>
      </c>
      <c r="D218" s="2" t="s">
        <v>35</v>
      </c>
      <c r="E218" s="2">
        <v>4000</v>
      </c>
      <c r="F218" s="2" t="s">
        <v>34</v>
      </c>
      <c r="G218" s="2" t="s">
        <v>1027</v>
      </c>
      <c r="H218" s="4">
        <v>8366.6</v>
      </c>
      <c r="I218" s="4">
        <v>8366.6</v>
      </c>
      <c r="J218" s="4">
        <v>8366.6</v>
      </c>
      <c r="K218" s="4">
        <v>8366.6</v>
      </c>
      <c r="L218" s="4"/>
      <c r="M218" s="2" t="s">
        <v>1084</v>
      </c>
      <c r="N218" s="2" t="s">
        <v>10</v>
      </c>
      <c r="O218" s="2" t="s">
        <v>10</v>
      </c>
    </row>
    <row r="219" spans="1:15" hidden="1" x14ac:dyDescent="0.25">
      <c r="A219" s="2" t="s">
        <v>625</v>
      </c>
      <c r="B219" s="3">
        <v>45437</v>
      </c>
      <c r="C219" s="5">
        <v>45413</v>
      </c>
      <c r="D219" s="2" t="s">
        <v>35</v>
      </c>
      <c r="E219" s="2">
        <v>4000</v>
      </c>
      <c r="F219" s="2" t="s">
        <v>103</v>
      </c>
      <c r="G219" s="2" t="s">
        <v>1049</v>
      </c>
      <c r="H219" s="4">
        <v>5233.6000000000004</v>
      </c>
      <c r="I219" s="4">
        <v>5233.6000000000004</v>
      </c>
      <c r="J219" s="4">
        <v>5233.6000000000004</v>
      </c>
      <c r="K219" s="4">
        <v>5233.6000000000004</v>
      </c>
      <c r="L219" s="4"/>
      <c r="M219" s="2" t="s">
        <v>1084</v>
      </c>
      <c r="N219" s="2" t="s">
        <v>10</v>
      </c>
      <c r="O219" s="2" t="s">
        <v>10</v>
      </c>
    </row>
    <row r="220" spans="1:15" hidden="1" x14ac:dyDescent="0.25">
      <c r="A220" s="2" t="s">
        <v>326</v>
      </c>
      <c r="B220" s="3">
        <v>45656</v>
      </c>
      <c r="C220" s="5">
        <v>45627</v>
      </c>
      <c r="D220" s="2" t="s">
        <v>24</v>
      </c>
      <c r="E220" s="2">
        <v>6300</v>
      </c>
      <c r="F220" s="2" t="s">
        <v>94</v>
      </c>
      <c r="G220" s="2" t="s">
        <v>1053</v>
      </c>
      <c r="H220" s="4">
        <v>-782.21</v>
      </c>
      <c r="I220" s="4">
        <v>-782.21</v>
      </c>
      <c r="J220" s="4">
        <v>-782.21</v>
      </c>
      <c r="K220" s="4">
        <v>782.21</v>
      </c>
      <c r="L220" s="4"/>
      <c r="M220" s="2" t="s">
        <v>1084</v>
      </c>
      <c r="N220" s="2" t="s">
        <v>10</v>
      </c>
      <c r="O220" s="2" t="s">
        <v>10</v>
      </c>
    </row>
    <row r="221" spans="1:15" hidden="1" x14ac:dyDescent="0.25">
      <c r="A221" s="2" t="s">
        <v>815</v>
      </c>
      <c r="B221" s="3">
        <v>45626</v>
      </c>
      <c r="C221" s="5">
        <v>45597</v>
      </c>
      <c r="D221" s="2" t="s">
        <v>31</v>
      </c>
      <c r="E221" s="2">
        <v>4900</v>
      </c>
      <c r="F221" s="2" t="s">
        <v>30</v>
      </c>
      <c r="G221" s="2" t="s">
        <v>1024</v>
      </c>
      <c r="H221" s="4">
        <v>237.79</v>
      </c>
      <c r="I221" s="4">
        <v>237.79</v>
      </c>
      <c r="J221" s="4">
        <v>237.79</v>
      </c>
      <c r="K221" s="4">
        <v>237.79</v>
      </c>
      <c r="L221" s="4"/>
      <c r="M221" s="2" t="s">
        <v>1084</v>
      </c>
      <c r="N221" s="2" t="s">
        <v>10</v>
      </c>
      <c r="O221" s="2" t="s">
        <v>10</v>
      </c>
    </row>
    <row r="222" spans="1:15" hidden="1" x14ac:dyDescent="0.25">
      <c r="A222" s="2" t="s">
        <v>388</v>
      </c>
      <c r="B222" s="3">
        <v>45521</v>
      </c>
      <c r="C222" s="5">
        <v>45505</v>
      </c>
      <c r="D222" s="2" t="s">
        <v>18</v>
      </c>
      <c r="E222" s="2">
        <v>5100</v>
      </c>
      <c r="F222" s="2" t="s">
        <v>56</v>
      </c>
      <c r="G222" s="2" t="s">
        <v>1025</v>
      </c>
      <c r="H222" s="4">
        <v>-6248.31</v>
      </c>
      <c r="I222" s="4">
        <v>-6248.31</v>
      </c>
      <c r="J222" s="4">
        <v>-6248.31</v>
      </c>
      <c r="K222" s="4">
        <v>6248.31</v>
      </c>
      <c r="L222" s="4"/>
      <c r="M222" s="2" t="s">
        <v>1084</v>
      </c>
      <c r="N222" s="2" t="s">
        <v>10</v>
      </c>
      <c r="O222" s="2" t="s">
        <v>10</v>
      </c>
    </row>
    <row r="223" spans="1:15" hidden="1" x14ac:dyDescent="0.25">
      <c r="A223" s="2" t="s">
        <v>508</v>
      </c>
      <c r="B223" s="3">
        <v>45522</v>
      </c>
      <c r="C223" s="5">
        <v>45505</v>
      </c>
      <c r="D223" s="2" t="s">
        <v>24</v>
      </c>
      <c r="E223" s="2">
        <v>6300</v>
      </c>
      <c r="F223" s="2" t="s">
        <v>127</v>
      </c>
      <c r="G223" s="2" t="s">
        <v>1035</v>
      </c>
      <c r="H223" s="4">
        <v>-399.74</v>
      </c>
      <c r="I223" s="4">
        <v>-399.74</v>
      </c>
      <c r="J223" s="4">
        <v>-399.74</v>
      </c>
      <c r="K223" s="4">
        <v>399.74</v>
      </c>
      <c r="L223" s="4"/>
      <c r="M223" s="2" t="s">
        <v>1084</v>
      </c>
      <c r="N223" s="2" t="s">
        <v>10</v>
      </c>
      <c r="O223" s="2" t="s">
        <v>10</v>
      </c>
    </row>
    <row r="224" spans="1:15" hidden="1" x14ac:dyDescent="0.25">
      <c r="A224" s="2" t="s">
        <v>786</v>
      </c>
      <c r="B224" s="3">
        <v>45434</v>
      </c>
      <c r="C224" s="5">
        <v>45413</v>
      </c>
      <c r="D224" s="2" t="s">
        <v>39</v>
      </c>
      <c r="E224" s="2">
        <v>6500</v>
      </c>
      <c r="F224" s="2" t="s">
        <v>69</v>
      </c>
      <c r="G224" s="2" t="s">
        <v>1052</v>
      </c>
      <c r="H224" s="4">
        <v>-7425.14</v>
      </c>
      <c r="I224" s="4">
        <v>-7425.14</v>
      </c>
      <c r="J224" s="4">
        <v>-7425.14</v>
      </c>
      <c r="K224" s="4">
        <v>7425.14</v>
      </c>
      <c r="L224" s="4"/>
      <c r="M224" s="2" t="s">
        <v>1084</v>
      </c>
      <c r="N224" s="2" t="s">
        <v>10</v>
      </c>
      <c r="O224" s="2" t="s">
        <v>10</v>
      </c>
    </row>
    <row r="225" spans="1:15" hidden="1" x14ac:dyDescent="0.25">
      <c r="A225" s="2" t="s">
        <v>234</v>
      </c>
      <c r="B225" s="3">
        <v>45356</v>
      </c>
      <c r="C225" s="5">
        <v>45352</v>
      </c>
      <c r="D225" s="2" t="s">
        <v>52</v>
      </c>
      <c r="E225" s="2">
        <v>6000</v>
      </c>
      <c r="F225" s="2" t="s">
        <v>51</v>
      </c>
      <c r="G225" s="2" t="s">
        <v>1033</v>
      </c>
      <c r="H225" s="4">
        <v>-11294.19</v>
      </c>
      <c r="I225" s="4">
        <v>-11294.19</v>
      </c>
      <c r="J225" s="4">
        <v>-11294.19</v>
      </c>
      <c r="K225" s="4">
        <v>11294.19</v>
      </c>
      <c r="L225" s="4"/>
      <c r="M225" s="2" t="s">
        <v>1084</v>
      </c>
      <c r="N225" s="2" t="s">
        <v>10</v>
      </c>
      <c r="O225" s="2" t="s">
        <v>10</v>
      </c>
    </row>
    <row r="226" spans="1:15" hidden="1" x14ac:dyDescent="0.25">
      <c r="A226" s="2" t="s">
        <v>362</v>
      </c>
      <c r="B226" s="3">
        <v>45295</v>
      </c>
      <c r="C226" s="5">
        <v>45292</v>
      </c>
      <c r="D226" s="2" t="s">
        <v>39</v>
      </c>
      <c r="E226" s="2">
        <v>6500</v>
      </c>
      <c r="F226" s="2" t="s">
        <v>69</v>
      </c>
      <c r="G226" s="2" t="s">
        <v>1052</v>
      </c>
      <c r="H226" s="4">
        <v>-2734.71</v>
      </c>
      <c r="I226" s="4">
        <v>-2734.71</v>
      </c>
      <c r="J226" s="4">
        <v>-2734.71</v>
      </c>
      <c r="K226" s="4">
        <v>2734.71</v>
      </c>
      <c r="L226" s="4"/>
      <c r="M226" s="2" t="s">
        <v>1084</v>
      </c>
      <c r="N226" s="2" t="s">
        <v>10</v>
      </c>
      <c r="O226" s="2" t="s">
        <v>10</v>
      </c>
    </row>
    <row r="227" spans="1:15" hidden="1" x14ac:dyDescent="0.25">
      <c r="A227" s="2" t="s">
        <v>630</v>
      </c>
      <c r="B227" s="3">
        <v>45415</v>
      </c>
      <c r="C227" s="5">
        <v>45413</v>
      </c>
      <c r="D227" s="2" t="s">
        <v>59</v>
      </c>
      <c r="E227" s="2">
        <v>6200</v>
      </c>
      <c r="F227" s="2" t="s">
        <v>58</v>
      </c>
      <c r="G227" s="2" t="s">
        <v>1038</v>
      </c>
      <c r="H227" s="4">
        <v>-568.70000000000005</v>
      </c>
      <c r="I227" s="4">
        <v>-568.70000000000005</v>
      </c>
      <c r="J227" s="4">
        <v>-568.70000000000005</v>
      </c>
      <c r="K227" s="4">
        <v>568.70000000000005</v>
      </c>
      <c r="L227" s="4"/>
      <c r="M227" s="2" t="s">
        <v>1084</v>
      </c>
      <c r="N227" s="2" t="s">
        <v>10</v>
      </c>
      <c r="O227" s="2" t="s">
        <v>10</v>
      </c>
    </row>
    <row r="228" spans="1:15" hidden="1" x14ac:dyDescent="0.25">
      <c r="A228" s="2" t="s">
        <v>462</v>
      </c>
      <c r="B228" s="3">
        <v>45407</v>
      </c>
      <c r="C228" s="5">
        <v>45383</v>
      </c>
      <c r="D228" s="2" t="s">
        <v>28</v>
      </c>
      <c r="E228" s="2">
        <v>6900</v>
      </c>
      <c r="F228" s="2" t="s">
        <v>195</v>
      </c>
      <c r="G228" s="2" t="s">
        <v>1048</v>
      </c>
      <c r="H228" s="4">
        <v>-71.959999999999994</v>
      </c>
      <c r="I228" s="4">
        <v>-71.959999999999994</v>
      </c>
      <c r="J228" s="4">
        <v>-71.959999999999994</v>
      </c>
      <c r="K228" s="4">
        <v>71.959999999999994</v>
      </c>
      <c r="L228" s="4"/>
      <c r="M228" s="2" t="s">
        <v>1084</v>
      </c>
      <c r="N228" s="2" t="s">
        <v>10</v>
      </c>
      <c r="O228" s="2" t="s">
        <v>10</v>
      </c>
    </row>
    <row r="229" spans="1:15" hidden="1" x14ac:dyDescent="0.25">
      <c r="A229" s="2" t="s">
        <v>524</v>
      </c>
      <c r="B229" s="3">
        <v>45361</v>
      </c>
      <c r="C229" s="5">
        <v>45352</v>
      </c>
      <c r="D229" s="2" t="s">
        <v>13</v>
      </c>
      <c r="E229" s="2">
        <v>6400</v>
      </c>
      <c r="F229" s="2" t="s">
        <v>21</v>
      </c>
      <c r="G229" s="2" t="s">
        <v>1030</v>
      </c>
      <c r="H229" s="4">
        <v>-2332.94</v>
      </c>
      <c r="I229" s="4">
        <v>-2332.94</v>
      </c>
      <c r="J229" s="4">
        <v>-2332.94</v>
      </c>
      <c r="K229" s="4">
        <v>2332.94</v>
      </c>
      <c r="L229" s="4"/>
      <c r="M229" s="2" t="s">
        <v>1084</v>
      </c>
      <c r="N229" s="2" t="s">
        <v>10</v>
      </c>
      <c r="O229" s="2" t="s">
        <v>10</v>
      </c>
    </row>
    <row r="230" spans="1:15" hidden="1" x14ac:dyDescent="0.25">
      <c r="A230" s="2" t="s">
        <v>271</v>
      </c>
      <c r="B230" s="3">
        <v>45386</v>
      </c>
      <c r="C230" s="5">
        <v>45383</v>
      </c>
      <c r="D230" s="2" t="s">
        <v>13</v>
      </c>
      <c r="E230" s="2">
        <v>6400</v>
      </c>
      <c r="F230" s="2" t="s">
        <v>21</v>
      </c>
      <c r="G230" s="2" t="s">
        <v>1030</v>
      </c>
      <c r="H230" s="4">
        <v>-1176.8499999999999</v>
      </c>
      <c r="I230" s="4">
        <v>-1176.8499999999999</v>
      </c>
      <c r="J230" s="4">
        <v>-1176.8499999999999</v>
      </c>
      <c r="K230" s="4">
        <v>1176.8499999999999</v>
      </c>
      <c r="L230" s="4"/>
      <c r="M230" s="2" t="s">
        <v>1084</v>
      </c>
      <c r="N230" s="2" t="s">
        <v>10</v>
      </c>
      <c r="O230" s="2" t="s">
        <v>10</v>
      </c>
    </row>
    <row r="231" spans="1:15" hidden="1" x14ac:dyDescent="0.25">
      <c r="A231" s="2" t="s">
        <v>755</v>
      </c>
      <c r="B231" s="3">
        <v>45301</v>
      </c>
      <c r="C231" s="5">
        <v>45292</v>
      </c>
      <c r="D231" s="2" t="s">
        <v>18</v>
      </c>
      <c r="E231" s="2">
        <v>5100</v>
      </c>
      <c r="F231" s="2" t="s">
        <v>56</v>
      </c>
      <c r="G231" s="2" t="s">
        <v>1025</v>
      </c>
      <c r="H231" s="4">
        <v>-5316.82</v>
      </c>
      <c r="I231" s="4">
        <v>-5316.82</v>
      </c>
      <c r="J231" s="4">
        <v>-5316.82</v>
      </c>
      <c r="K231" s="4">
        <v>5316.82</v>
      </c>
      <c r="L231" s="4"/>
      <c r="M231" s="2" t="s">
        <v>1084</v>
      </c>
      <c r="N231" s="2" t="s">
        <v>10</v>
      </c>
      <c r="O231" s="2" t="s">
        <v>10</v>
      </c>
    </row>
    <row r="232" spans="1:15" hidden="1" x14ac:dyDescent="0.25">
      <c r="A232" s="2" t="s">
        <v>730</v>
      </c>
      <c r="B232" s="3">
        <v>45513</v>
      </c>
      <c r="C232" s="5">
        <v>45505</v>
      </c>
      <c r="D232" s="2" t="s">
        <v>24</v>
      </c>
      <c r="E232" s="2">
        <v>6300</v>
      </c>
      <c r="F232" s="2" t="s">
        <v>23</v>
      </c>
      <c r="G232" s="2" t="s">
        <v>1045</v>
      </c>
      <c r="H232" s="4">
        <v>-103.28</v>
      </c>
      <c r="I232" s="4">
        <v>-103.28</v>
      </c>
      <c r="J232" s="4">
        <v>-103.28</v>
      </c>
      <c r="K232" s="4">
        <v>103.28</v>
      </c>
      <c r="L232" s="4"/>
      <c r="M232" s="2" t="s">
        <v>1084</v>
      </c>
      <c r="N232" s="2" t="s">
        <v>10</v>
      </c>
      <c r="O232" s="2" t="s">
        <v>10</v>
      </c>
    </row>
    <row r="233" spans="1:15" hidden="1" x14ac:dyDescent="0.25">
      <c r="A233" s="2" t="s">
        <v>836</v>
      </c>
      <c r="B233" s="3">
        <v>45630</v>
      </c>
      <c r="C233" s="5">
        <v>45627</v>
      </c>
      <c r="D233" s="2" t="s">
        <v>28</v>
      </c>
      <c r="E233" s="2">
        <v>6900</v>
      </c>
      <c r="F233" s="2" t="s">
        <v>27</v>
      </c>
      <c r="G233" s="2" t="s">
        <v>1041</v>
      </c>
      <c r="H233" s="4">
        <v>-29.08</v>
      </c>
      <c r="I233" s="4">
        <v>-29.08</v>
      </c>
      <c r="J233" s="4">
        <v>-29.08</v>
      </c>
      <c r="K233" s="4">
        <v>29.08</v>
      </c>
      <c r="L233" s="4"/>
      <c r="M233" s="2" t="s">
        <v>1084</v>
      </c>
      <c r="N233" s="2" t="s">
        <v>10</v>
      </c>
      <c r="O233" s="2" t="s">
        <v>10</v>
      </c>
    </row>
    <row r="234" spans="1:15" hidden="1" x14ac:dyDescent="0.25">
      <c r="A234" s="2" t="s">
        <v>618</v>
      </c>
      <c r="B234" s="3">
        <v>45544</v>
      </c>
      <c r="C234" s="5">
        <v>45536</v>
      </c>
      <c r="D234" s="2" t="s">
        <v>35</v>
      </c>
      <c r="E234" s="2">
        <v>4000</v>
      </c>
      <c r="F234" s="2" t="s">
        <v>34</v>
      </c>
      <c r="G234" s="2" t="s">
        <v>1027</v>
      </c>
      <c r="H234" s="4">
        <v>10032.870000000001</v>
      </c>
      <c r="I234" s="4">
        <v>10032.870000000001</v>
      </c>
      <c r="J234" s="4">
        <v>10032.870000000001</v>
      </c>
      <c r="K234" s="4">
        <v>10032.870000000001</v>
      </c>
      <c r="L234" s="4"/>
      <c r="M234" s="2" t="s">
        <v>1084</v>
      </c>
      <c r="N234" s="2" t="s">
        <v>10</v>
      </c>
      <c r="O234" s="2" t="s">
        <v>10</v>
      </c>
    </row>
    <row r="235" spans="1:15" hidden="1" x14ac:dyDescent="0.25">
      <c r="A235" s="2" t="s">
        <v>209</v>
      </c>
      <c r="B235" s="3">
        <v>45455</v>
      </c>
      <c r="C235" s="5">
        <v>45444</v>
      </c>
      <c r="D235" s="2" t="s">
        <v>39</v>
      </c>
      <c r="E235" s="2">
        <v>6500</v>
      </c>
      <c r="F235" s="2" t="s">
        <v>69</v>
      </c>
      <c r="G235" s="2" t="s">
        <v>1052</v>
      </c>
      <c r="H235" s="4">
        <v>-1834.13</v>
      </c>
      <c r="I235" s="4">
        <v>-1834.13</v>
      </c>
      <c r="J235" s="4">
        <v>-1834.13</v>
      </c>
      <c r="K235" s="4">
        <v>1834.13</v>
      </c>
      <c r="L235" s="4"/>
      <c r="M235" s="2" t="s">
        <v>1084</v>
      </c>
      <c r="N235" s="2" t="s">
        <v>10</v>
      </c>
      <c r="O235" s="2" t="s">
        <v>10</v>
      </c>
    </row>
    <row r="236" spans="1:15" hidden="1" x14ac:dyDescent="0.25">
      <c r="A236" s="2" t="s">
        <v>807</v>
      </c>
      <c r="B236" s="3">
        <v>45445</v>
      </c>
      <c r="C236" s="5">
        <v>45444</v>
      </c>
      <c r="D236" s="2" t="s">
        <v>24</v>
      </c>
      <c r="E236" s="2">
        <v>6300</v>
      </c>
      <c r="F236" s="2" t="s">
        <v>94</v>
      </c>
      <c r="G236" s="2" t="s">
        <v>1053</v>
      </c>
      <c r="H236" s="4">
        <v>-684.87</v>
      </c>
      <c r="I236" s="4">
        <v>-684.87</v>
      </c>
      <c r="J236" s="4">
        <v>-684.87</v>
      </c>
      <c r="K236" s="4">
        <v>684.87</v>
      </c>
      <c r="L236" s="4"/>
      <c r="M236" s="2" t="s">
        <v>1084</v>
      </c>
      <c r="N236" s="2" t="s">
        <v>10</v>
      </c>
      <c r="O236" s="2" t="s">
        <v>10</v>
      </c>
    </row>
    <row r="237" spans="1:15" hidden="1" x14ac:dyDescent="0.25">
      <c r="A237" s="2" t="s">
        <v>1022</v>
      </c>
      <c r="B237" s="3">
        <v>45404</v>
      </c>
      <c r="C237" s="5">
        <v>45383</v>
      </c>
      <c r="D237" s="2" t="s">
        <v>39</v>
      </c>
      <c r="E237" s="2">
        <v>6500</v>
      </c>
      <c r="F237" s="2" t="s">
        <v>42</v>
      </c>
      <c r="G237" s="2" t="s">
        <v>1036</v>
      </c>
      <c r="H237" s="4">
        <v>-2170.77</v>
      </c>
      <c r="I237" s="4">
        <v>-2170.77</v>
      </c>
      <c r="J237" s="4">
        <v>-2170.77</v>
      </c>
      <c r="K237" s="4">
        <v>2170.77</v>
      </c>
      <c r="L237" s="4"/>
      <c r="M237" s="2" t="s">
        <v>1084</v>
      </c>
      <c r="N237" s="2" t="s">
        <v>10</v>
      </c>
      <c r="O237" s="2" t="s">
        <v>123</v>
      </c>
    </row>
    <row r="238" spans="1:15" hidden="1" x14ac:dyDescent="0.25">
      <c r="A238" s="2" t="s">
        <v>53</v>
      </c>
      <c r="B238" s="3">
        <v>45343</v>
      </c>
      <c r="C238" s="5">
        <v>45323</v>
      </c>
      <c r="D238" s="2" t="s">
        <v>9</v>
      </c>
      <c r="E238" s="2">
        <v>6100</v>
      </c>
      <c r="F238" s="2" t="s">
        <v>48</v>
      </c>
      <c r="G238" s="2" t="s">
        <v>1043</v>
      </c>
      <c r="H238" s="4">
        <v>-5623.03</v>
      </c>
      <c r="I238" s="4">
        <v>-5623.03</v>
      </c>
      <c r="J238" s="4">
        <v>-5623.03</v>
      </c>
      <c r="K238" s="4">
        <v>5623.03</v>
      </c>
      <c r="L238" s="4"/>
      <c r="M238" s="2" t="s">
        <v>1084</v>
      </c>
      <c r="N238" s="2" t="s">
        <v>10</v>
      </c>
      <c r="O238" s="2" t="s">
        <v>10</v>
      </c>
    </row>
    <row r="239" spans="1:15" hidden="1" x14ac:dyDescent="0.25">
      <c r="A239" s="2" t="s">
        <v>615</v>
      </c>
      <c r="B239" s="3">
        <v>45510</v>
      </c>
      <c r="C239" s="5">
        <v>45505</v>
      </c>
      <c r="D239" s="2" t="s">
        <v>24</v>
      </c>
      <c r="E239" s="2">
        <v>6300</v>
      </c>
      <c r="F239" s="2" t="s">
        <v>94</v>
      </c>
      <c r="G239" s="2" t="s">
        <v>1053</v>
      </c>
      <c r="H239" s="4">
        <v>-545.71</v>
      </c>
      <c r="I239" s="4">
        <v>-545.71</v>
      </c>
      <c r="J239" s="4">
        <v>-545.71</v>
      </c>
      <c r="K239" s="4">
        <v>545.71</v>
      </c>
      <c r="L239" s="4"/>
      <c r="M239" s="2" t="s">
        <v>1084</v>
      </c>
      <c r="N239" s="2" t="s">
        <v>10</v>
      </c>
      <c r="O239" s="2" t="s">
        <v>10</v>
      </c>
    </row>
    <row r="240" spans="1:15" hidden="1" x14ac:dyDescent="0.25">
      <c r="A240" s="2" t="s">
        <v>243</v>
      </c>
      <c r="B240" s="3">
        <v>45498</v>
      </c>
      <c r="C240" s="5">
        <v>45474</v>
      </c>
      <c r="D240" s="2" t="s">
        <v>59</v>
      </c>
      <c r="E240" s="2">
        <v>6200</v>
      </c>
      <c r="F240" s="2" t="s">
        <v>71</v>
      </c>
      <c r="G240" s="2" t="s">
        <v>1050</v>
      </c>
      <c r="H240" s="4">
        <v>-110.46</v>
      </c>
      <c r="I240" s="4">
        <v>-110.46</v>
      </c>
      <c r="J240" s="4">
        <v>-110.46</v>
      </c>
      <c r="K240" s="4">
        <v>110.46</v>
      </c>
      <c r="L240" s="4"/>
      <c r="M240" s="2" t="s">
        <v>1084</v>
      </c>
      <c r="N240" s="2" t="s">
        <v>10</v>
      </c>
      <c r="O240" s="2" t="s">
        <v>10</v>
      </c>
    </row>
    <row r="241" spans="1:15" hidden="1" x14ac:dyDescent="0.25">
      <c r="A241" s="2" t="s">
        <v>387</v>
      </c>
      <c r="B241" s="3">
        <v>45294</v>
      </c>
      <c r="C241" s="5">
        <v>45292</v>
      </c>
      <c r="D241" s="2" t="s">
        <v>9</v>
      </c>
      <c r="E241" s="2">
        <v>6100</v>
      </c>
      <c r="F241" s="2" t="s">
        <v>8</v>
      </c>
      <c r="G241" s="2" t="s">
        <v>1042</v>
      </c>
      <c r="H241" s="4">
        <v>-5716.7</v>
      </c>
      <c r="I241" s="4">
        <v>-5716.7</v>
      </c>
      <c r="J241" s="4">
        <v>-5716.7</v>
      </c>
      <c r="K241" s="4">
        <v>5716.7</v>
      </c>
      <c r="L241" s="4"/>
      <c r="M241" s="2" t="s">
        <v>1084</v>
      </c>
      <c r="N241" s="2" t="s">
        <v>10</v>
      </c>
      <c r="O241" s="2" t="s">
        <v>10</v>
      </c>
    </row>
    <row r="242" spans="1:15" hidden="1" x14ac:dyDescent="0.25">
      <c r="A242" s="2" t="s">
        <v>729</v>
      </c>
      <c r="B242" s="3">
        <v>45443</v>
      </c>
      <c r="C242" s="5">
        <v>45413</v>
      </c>
      <c r="D242" s="2" t="s">
        <v>18</v>
      </c>
      <c r="E242" s="2">
        <v>5100</v>
      </c>
      <c r="F242" s="2" t="s">
        <v>81</v>
      </c>
      <c r="G242" s="2" t="s">
        <v>1039</v>
      </c>
      <c r="H242" s="4">
        <v>-13873.73</v>
      </c>
      <c r="I242" s="4">
        <v>-13873.73</v>
      </c>
      <c r="J242" s="4">
        <v>-13873.73</v>
      </c>
      <c r="K242" s="4">
        <v>13873.73</v>
      </c>
      <c r="L242" s="4"/>
      <c r="M242" s="2" t="s">
        <v>1084</v>
      </c>
      <c r="N242" s="2" t="s">
        <v>10</v>
      </c>
      <c r="O242" s="2" t="s">
        <v>10</v>
      </c>
    </row>
    <row r="243" spans="1:15" hidden="1" x14ac:dyDescent="0.25">
      <c r="A243" s="2" t="s">
        <v>236</v>
      </c>
      <c r="B243" s="3">
        <v>45393</v>
      </c>
      <c r="C243" s="5">
        <v>45383</v>
      </c>
      <c r="D243" s="2" t="s">
        <v>13</v>
      </c>
      <c r="E243" s="2">
        <v>6400</v>
      </c>
      <c r="F243" s="2" t="s">
        <v>21</v>
      </c>
      <c r="G243" s="2" t="s">
        <v>1030</v>
      </c>
      <c r="H243" s="4">
        <v>-2060.1</v>
      </c>
      <c r="I243" s="4">
        <v>-2060.1</v>
      </c>
      <c r="J243" s="4">
        <v>-2060.1</v>
      </c>
      <c r="K243" s="4">
        <v>2060.1</v>
      </c>
      <c r="L243" s="4"/>
      <c r="M243" s="2" t="s">
        <v>1084</v>
      </c>
      <c r="N243" s="2" t="s">
        <v>10</v>
      </c>
      <c r="O243" s="2" t="s">
        <v>10</v>
      </c>
    </row>
    <row r="244" spans="1:15" hidden="1" x14ac:dyDescent="0.25">
      <c r="A244" s="2" t="s">
        <v>201</v>
      </c>
      <c r="B244" s="3">
        <v>45354</v>
      </c>
      <c r="C244" s="5">
        <v>45352</v>
      </c>
      <c r="D244" s="2" t="s">
        <v>35</v>
      </c>
      <c r="E244" s="2">
        <v>4000</v>
      </c>
      <c r="F244" s="2" t="s">
        <v>116</v>
      </c>
      <c r="G244" s="2" t="s">
        <v>1034</v>
      </c>
      <c r="H244" s="4">
        <v>1444.28</v>
      </c>
      <c r="I244" s="4">
        <v>1444.28</v>
      </c>
      <c r="J244" s="4">
        <v>1444.28</v>
      </c>
      <c r="K244" s="4">
        <v>1444.28</v>
      </c>
      <c r="L244" s="4"/>
      <c r="M244" s="2" t="s">
        <v>1084</v>
      </c>
      <c r="N244" s="2" t="s">
        <v>10</v>
      </c>
      <c r="O244" s="2" t="s">
        <v>10</v>
      </c>
    </row>
    <row r="245" spans="1:15" hidden="1" x14ac:dyDescent="0.25">
      <c r="A245" s="2" t="s">
        <v>919</v>
      </c>
      <c r="B245" s="3">
        <v>45548</v>
      </c>
      <c r="C245" s="5">
        <v>45536</v>
      </c>
      <c r="D245" s="2" t="s">
        <v>9</v>
      </c>
      <c r="E245" s="2">
        <v>6100</v>
      </c>
      <c r="F245" s="2" t="s">
        <v>44</v>
      </c>
      <c r="G245" s="2" t="s">
        <v>1054</v>
      </c>
      <c r="H245" s="4">
        <v>-4338.18</v>
      </c>
      <c r="I245" s="4">
        <v>-4338.18</v>
      </c>
      <c r="J245" s="4">
        <v>-4338.18</v>
      </c>
      <c r="K245" s="4">
        <v>4338.18</v>
      </c>
      <c r="L245" s="4"/>
      <c r="M245" s="2" t="s">
        <v>1084</v>
      </c>
      <c r="N245" s="2" t="s">
        <v>10</v>
      </c>
      <c r="O245" s="2" t="s">
        <v>10</v>
      </c>
    </row>
    <row r="246" spans="1:15" x14ac:dyDescent="0.25">
      <c r="A246" s="2" t="s">
        <v>112</v>
      </c>
      <c r="B246" s="3">
        <v>45483</v>
      </c>
      <c r="C246" s="5">
        <v>45474</v>
      </c>
      <c r="D246" s="2" t="s">
        <v>9</v>
      </c>
      <c r="E246" s="2">
        <v>6100</v>
      </c>
      <c r="F246" s="2" t="s">
        <v>8</v>
      </c>
      <c r="G246" s="2" t="s">
        <v>1042</v>
      </c>
      <c r="H246" s="4">
        <v>-937.97</v>
      </c>
      <c r="I246" s="4">
        <v>-93.79</v>
      </c>
      <c r="J246" s="4">
        <v>-937.97</v>
      </c>
      <c r="K246" s="4">
        <v>937.97</v>
      </c>
      <c r="L246" s="4">
        <v>-844.18</v>
      </c>
      <c r="M246" s="2" t="s">
        <v>1085</v>
      </c>
      <c r="N246" s="2" t="s">
        <v>123</v>
      </c>
      <c r="O246" s="2" t="s">
        <v>10</v>
      </c>
    </row>
    <row r="247" spans="1:15" hidden="1" x14ac:dyDescent="0.25">
      <c r="A247" s="2" t="s">
        <v>376</v>
      </c>
      <c r="B247" s="3">
        <v>45523</v>
      </c>
      <c r="C247" s="5">
        <v>45505</v>
      </c>
      <c r="D247" s="2" t="s">
        <v>35</v>
      </c>
      <c r="E247" s="2">
        <v>4000</v>
      </c>
      <c r="F247" s="2" t="s">
        <v>34</v>
      </c>
      <c r="G247" s="2" t="s">
        <v>1027</v>
      </c>
      <c r="H247" s="4">
        <v>18714.77</v>
      </c>
      <c r="I247" s="4">
        <v>18714.77</v>
      </c>
      <c r="J247" s="4">
        <v>18714.77</v>
      </c>
      <c r="K247" s="4">
        <v>18714.77</v>
      </c>
      <c r="L247" s="4"/>
      <c r="M247" s="2" t="s">
        <v>1084</v>
      </c>
      <c r="N247" s="2" t="s">
        <v>10</v>
      </c>
      <c r="O247" s="2" t="s">
        <v>10</v>
      </c>
    </row>
    <row r="248" spans="1:15" hidden="1" x14ac:dyDescent="0.25">
      <c r="A248" s="2" t="s">
        <v>401</v>
      </c>
      <c r="B248" s="3">
        <v>45552</v>
      </c>
      <c r="C248" s="5">
        <v>45536</v>
      </c>
      <c r="D248" s="2" t="s">
        <v>39</v>
      </c>
      <c r="E248" s="2">
        <v>6500</v>
      </c>
      <c r="F248" s="2" t="s">
        <v>38</v>
      </c>
      <c r="G248" s="2" t="s">
        <v>1029</v>
      </c>
      <c r="H248" s="4">
        <v>-4046.88</v>
      </c>
      <c r="I248" s="4">
        <v>-4046.88</v>
      </c>
      <c r="J248" s="4">
        <v>-4046.88</v>
      </c>
      <c r="K248" s="4">
        <v>4046.88</v>
      </c>
      <c r="L248" s="4"/>
      <c r="M248" s="2" t="s">
        <v>1084</v>
      </c>
      <c r="N248" s="2" t="s">
        <v>10</v>
      </c>
      <c r="O248" s="2" t="s">
        <v>10</v>
      </c>
    </row>
    <row r="249" spans="1:15" hidden="1" x14ac:dyDescent="0.25">
      <c r="A249" s="2" t="s">
        <v>385</v>
      </c>
      <c r="B249" s="3">
        <v>45650</v>
      </c>
      <c r="C249" s="5">
        <v>45627</v>
      </c>
      <c r="D249" s="2" t="s">
        <v>24</v>
      </c>
      <c r="E249" s="2">
        <v>6300</v>
      </c>
      <c r="F249" s="2" t="s">
        <v>94</v>
      </c>
      <c r="G249" s="2" t="s">
        <v>1053</v>
      </c>
      <c r="H249" s="4">
        <v>-429.87</v>
      </c>
      <c r="I249" s="4">
        <v>-429.87</v>
      </c>
      <c r="J249" s="4">
        <v>-429.87</v>
      </c>
      <c r="K249" s="4">
        <v>429.87</v>
      </c>
      <c r="L249" s="4"/>
      <c r="M249" s="2" t="s">
        <v>1084</v>
      </c>
      <c r="N249" s="2" t="s">
        <v>10</v>
      </c>
      <c r="O249" s="2" t="s">
        <v>10</v>
      </c>
    </row>
    <row r="250" spans="1:15" hidden="1" x14ac:dyDescent="0.25">
      <c r="A250" s="2" t="s">
        <v>229</v>
      </c>
      <c r="B250" s="3">
        <v>45585</v>
      </c>
      <c r="C250" s="5">
        <v>45566</v>
      </c>
      <c r="D250" s="2" t="s">
        <v>39</v>
      </c>
      <c r="E250" s="2">
        <v>6500</v>
      </c>
      <c r="F250" s="2" t="s">
        <v>42</v>
      </c>
      <c r="G250" s="2" t="s">
        <v>1036</v>
      </c>
      <c r="H250" s="4">
        <v>-6325.2</v>
      </c>
      <c r="I250" s="4">
        <v>-6325.2</v>
      </c>
      <c r="J250" s="4">
        <v>-6325.2</v>
      </c>
      <c r="K250" s="4">
        <v>6325.2</v>
      </c>
      <c r="L250" s="4"/>
      <c r="M250" s="2" t="s">
        <v>1084</v>
      </c>
      <c r="N250" s="2" t="s">
        <v>10</v>
      </c>
      <c r="O250" s="2" t="s">
        <v>10</v>
      </c>
    </row>
    <row r="251" spans="1:15" hidden="1" x14ac:dyDescent="0.25">
      <c r="A251" s="2" t="s">
        <v>656</v>
      </c>
      <c r="B251" s="3">
        <v>45518</v>
      </c>
      <c r="C251" s="5">
        <v>45505</v>
      </c>
      <c r="D251" s="2" t="s">
        <v>35</v>
      </c>
      <c r="E251" s="2">
        <v>4000</v>
      </c>
      <c r="F251" s="2" t="s">
        <v>103</v>
      </c>
      <c r="G251" s="2" t="s">
        <v>1049</v>
      </c>
      <c r="H251" s="4">
        <v>8602.5400000000009</v>
      </c>
      <c r="I251" s="4">
        <v>8602.5400000000009</v>
      </c>
      <c r="J251" s="4">
        <v>8602.5400000000009</v>
      </c>
      <c r="K251" s="4">
        <v>8602.5400000000009</v>
      </c>
      <c r="L251" s="4"/>
      <c r="M251" s="2" t="s">
        <v>1084</v>
      </c>
      <c r="N251" s="2" t="s">
        <v>10</v>
      </c>
      <c r="O251" s="2" t="s">
        <v>10</v>
      </c>
    </row>
    <row r="252" spans="1:15" hidden="1" x14ac:dyDescent="0.25">
      <c r="A252" s="2" t="s">
        <v>164</v>
      </c>
      <c r="B252" s="3">
        <v>45612</v>
      </c>
      <c r="C252" s="5">
        <v>45597</v>
      </c>
      <c r="D252" s="2" t="s">
        <v>18</v>
      </c>
      <c r="E252" s="2">
        <v>5100</v>
      </c>
      <c r="F252" s="2" t="s">
        <v>81</v>
      </c>
      <c r="G252" s="2" t="s">
        <v>1039</v>
      </c>
      <c r="H252" s="4">
        <v>-5721.3</v>
      </c>
      <c r="I252" s="4">
        <v>-5721.3</v>
      </c>
      <c r="J252" s="4">
        <v>-5721.3</v>
      </c>
      <c r="K252" s="4">
        <v>5721.3</v>
      </c>
      <c r="L252" s="4"/>
      <c r="M252" s="2" t="s">
        <v>1084</v>
      </c>
      <c r="N252" s="2" t="s">
        <v>10</v>
      </c>
      <c r="O252" s="2" t="s">
        <v>10</v>
      </c>
    </row>
    <row r="253" spans="1:15" hidden="1" x14ac:dyDescent="0.25">
      <c r="A253" s="2" t="s">
        <v>766</v>
      </c>
      <c r="B253" s="3">
        <v>45466</v>
      </c>
      <c r="C253" s="5">
        <v>45444</v>
      </c>
      <c r="D253" s="2" t="s">
        <v>24</v>
      </c>
      <c r="E253" s="2">
        <v>6300</v>
      </c>
      <c r="F253" s="2" t="s">
        <v>94</v>
      </c>
      <c r="G253" s="2" t="s">
        <v>1053</v>
      </c>
      <c r="H253" s="4">
        <v>-517.27</v>
      </c>
      <c r="I253" s="4">
        <v>-517.27</v>
      </c>
      <c r="J253" s="4">
        <v>-517.27</v>
      </c>
      <c r="K253" s="4">
        <v>517.27</v>
      </c>
      <c r="L253" s="4"/>
      <c r="M253" s="2" t="s">
        <v>1084</v>
      </c>
      <c r="N253" s="2" t="s">
        <v>10</v>
      </c>
      <c r="O253" s="2" t="s">
        <v>10</v>
      </c>
    </row>
    <row r="254" spans="1:15" hidden="1" x14ac:dyDescent="0.25">
      <c r="A254" s="2" t="s">
        <v>999</v>
      </c>
      <c r="B254" s="3">
        <v>45651</v>
      </c>
      <c r="C254" s="5">
        <v>45627</v>
      </c>
      <c r="D254" s="2" t="s">
        <v>18</v>
      </c>
      <c r="E254" s="2">
        <v>5100</v>
      </c>
      <c r="F254" s="2" t="s">
        <v>17</v>
      </c>
      <c r="G254" s="2" t="s">
        <v>1037</v>
      </c>
      <c r="H254" s="4">
        <v>-2576.71</v>
      </c>
      <c r="I254" s="4">
        <v>-2576.71</v>
      </c>
      <c r="J254" s="4">
        <v>-2576.71</v>
      </c>
      <c r="K254" s="4">
        <v>2576.71</v>
      </c>
      <c r="L254" s="4"/>
      <c r="M254" s="2" t="s">
        <v>1084</v>
      </c>
      <c r="N254" s="2" t="s">
        <v>10</v>
      </c>
      <c r="O254" s="2" t="s">
        <v>10</v>
      </c>
    </row>
    <row r="255" spans="1:15" hidden="1" x14ac:dyDescent="0.25">
      <c r="A255" s="2" t="s">
        <v>907</v>
      </c>
      <c r="B255" s="3">
        <v>45569</v>
      </c>
      <c r="C255" s="5">
        <v>45566</v>
      </c>
      <c r="D255" s="2" t="s">
        <v>59</v>
      </c>
      <c r="E255" s="2">
        <v>6200</v>
      </c>
      <c r="F255" s="2" t="s">
        <v>71</v>
      </c>
      <c r="G255" s="2" t="s">
        <v>1050</v>
      </c>
      <c r="H255" s="4">
        <v>-941.14</v>
      </c>
      <c r="I255" s="4">
        <v>-941.14</v>
      </c>
      <c r="J255" s="4">
        <v>-941.14</v>
      </c>
      <c r="K255" s="4">
        <v>941.14</v>
      </c>
      <c r="L255" s="4"/>
      <c r="M255" s="2" t="s">
        <v>1084</v>
      </c>
      <c r="N255" s="2" t="s">
        <v>10</v>
      </c>
      <c r="O255" s="2" t="s">
        <v>10</v>
      </c>
    </row>
    <row r="256" spans="1:15" hidden="1" x14ac:dyDescent="0.25">
      <c r="A256" s="2" t="s">
        <v>1004</v>
      </c>
      <c r="B256" s="3">
        <v>45529</v>
      </c>
      <c r="C256" s="5">
        <v>45505</v>
      </c>
      <c r="D256" s="2" t="s">
        <v>9</v>
      </c>
      <c r="E256" s="2">
        <v>6100</v>
      </c>
      <c r="F256" s="2" t="s">
        <v>44</v>
      </c>
      <c r="G256" s="2" t="s">
        <v>1054</v>
      </c>
      <c r="H256" s="4">
        <v>-3589.74</v>
      </c>
      <c r="I256" s="4">
        <v>-3589.74</v>
      </c>
      <c r="J256" s="4">
        <v>-3589.74</v>
      </c>
      <c r="K256" s="4">
        <v>3589.74</v>
      </c>
      <c r="L256" s="4"/>
      <c r="M256" s="2" t="s">
        <v>1084</v>
      </c>
      <c r="N256" s="2" t="s">
        <v>10</v>
      </c>
      <c r="O256" s="2" t="s">
        <v>10</v>
      </c>
    </row>
    <row r="257" spans="1:15" hidden="1" x14ac:dyDescent="0.25">
      <c r="A257" s="2" t="s">
        <v>159</v>
      </c>
      <c r="B257" s="3">
        <v>45621</v>
      </c>
      <c r="C257" s="5">
        <v>45597</v>
      </c>
      <c r="D257" s="2" t="s">
        <v>18</v>
      </c>
      <c r="E257" s="2">
        <v>5100</v>
      </c>
      <c r="F257" s="2" t="s">
        <v>56</v>
      </c>
      <c r="G257" s="2" t="s">
        <v>1025</v>
      </c>
      <c r="H257" s="4">
        <v>-14488.16</v>
      </c>
      <c r="I257" s="4">
        <v>-14488.16</v>
      </c>
      <c r="J257" s="4">
        <v>-14488.16</v>
      </c>
      <c r="K257" s="4">
        <v>14488.16</v>
      </c>
      <c r="L257" s="4"/>
      <c r="M257" s="2" t="s">
        <v>1084</v>
      </c>
      <c r="N257" s="2" t="s">
        <v>10</v>
      </c>
      <c r="O257" s="2" t="s">
        <v>10</v>
      </c>
    </row>
    <row r="258" spans="1:15" hidden="1" x14ac:dyDescent="0.25">
      <c r="A258" s="2" t="s">
        <v>724</v>
      </c>
      <c r="B258" s="3">
        <v>45480</v>
      </c>
      <c r="C258" s="5">
        <v>45474</v>
      </c>
      <c r="D258" s="2" t="s">
        <v>9</v>
      </c>
      <c r="E258" s="2">
        <v>6100</v>
      </c>
      <c r="F258" s="2" t="s">
        <v>44</v>
      </c>
      <c r="G258" s="2" t="s">
        <v>1054</v>
      </c>
      <c r="H258" s="4">
        <v>-5249.34</v>
      </c>
      <c r="I258" s="4">
        <v>-5249.34</v>
      </c>
      <c r="J258" s="4">
        <v>-5249.34</v>
      </c>
      <c r="K258" s="4">
        <v>5249.34</v>
      </c>
      <c r="L258" s="4"/>
      <c r="M258" s="2" t="s">
        <v>1084</v>
      </c>
      <c r="N258" s="2" t="s">
        <v>10</v>
      </c>
      <c r="O258" s="2" t="s">
        <v>10</v>
      </c>
    </row>
    <row r="259" spans="1:15" hidden="1" x14ac:dyDescent="0.25">
      <c r="A259" s="2" t="s">
        <v>377</v>
      </c>
      <c r="B259" s="3">
        <v>45555</v>
      </c>
      <c r="C259" s="5">
        <v>45536</v>
      </c>
      <c r="D259" s="2" t="s">
        <v>18</v>
      </c>
      <c r="E259" s="2">
        <v>5100</v>
      </c>
      <c r="F259" s="2" t="s">
        <v>81</v>
      </c>
      <c r="G259" s="2" t="s">
        <v>1039</v>
      </c>
      <c r="H259" s="4">
        <v>-2976.62</v>
      </c>
      <c r="I259" s="4">
        <v>-2976.62</v>
      </c>
      <c r="J259" s="4">
        <v>-2976.62</v>
      </c>
      <c r="K259" s="4">
        <v>2976.62</v>
      </c>
      <c r="L259" s="4"/>
      <c r="M259" s="2" t="s">
        <v>1084</v>
      </c>
      <c r="N259" s="2" t="s">
        <v>10</v>
      </c>
      <c r="O259" s="2" t="s">
        <v>10</v>
      </c>
    </row>
    <row r="260" spans="1:15" hidden="1" x14ac:dyDescent="0.25">
      <c r="A260" s="2" t="s">
        <v>152</v>
      </c>
      <c r="B260" s="3">
        <v>45395</v>
      </c>
      <c r="C260" s="5">
        <v>45383</v>
      </c>
      <c r="D260" s="2" t="s">
        <v>18</v>
      </c>
      <c r="E260" s="2">
        <v>5100</v>
      </c>
      <c r="F260" s="2" t="s">
        <v>81</v>
      </c>
      <c r="G260" s="2" t="s">
        <v>1039</v>
      </c>
      <c r="H260" s="4">
        <v>-13196.58</v>
      </c>
      <c r="I260" s="4">
        <v>-13196.58</v>
      </c>
      <c r="J260" s="4">
        <v>-13196.58</v>
      </c>
      <c r="K260" s="4">
        <v>13196.58</v>
      </c>
      <c r="L260" s="4"/>
      <c r="M260" s="2" t="s">
        <v>1084</v>
      </c>
      <c r="N260" s="2" t="s">
        <v>10</v>
      </c>
      <c r="O260" s="2" t="s">
        <v>10</v>
      </c>
    </row>
    <row r="261" spans="1:15" hidden="1" x14ac:dyDescent="0.25">
      <c r="A261" s="2" t="s">
        <v>529</v>
      </c>
      <c r="B261" s="3">
        <v>45643</v>
      </c>
      <c r="C261" s="5">
        <v>45627</v>
      </c>
      <c r="D261" s="2" t="s">
        <v>13</v>
      </c>
      <c r="E261" s="2">
        <v>6400</v>
      </c>
      <c r="F261" s="2" t="s">
        <v>21</v>
      </c>
      <c r="G261" s="2" t="s">
        <v>1030</v>
      </c>
      <c r="H261" s="4">
        <v>-1360.67</v>
      </c>
      <c r="I261" s="4">
        <v>-1360.67</v>
      </c>
      <c r="J261" s="4">
        <v>-1360.67</v>
      </c>
      <c r="K261" s="4">
        <v>1360.67</v>
      </c>
      <c r="L261" s="4"/>
      <c r="M261" s="2" t="s">
        <v>1084</v>
      </c>
      <c r="N261" s="2" t="s">
        <v>10</v>
      </c>
      <c r="O261" s="2" t="s">
        <v>10</v>
      </c>
    </row>
    <row r="262" spans="1:15" hidden="1" x14ac:dyDescent="0.25">
      <c r="A262" s="2" t="s">
        <v>577</v>
      </c>
      <c r="B262" s="3">
        <v>45519</v>
      </c>
      <c r="C262" s="5">
        <v>45505</v>
      </c>
      <c r="D262" s="2" t="s">
        <v>39</v>
      </c>
      <c r="E262" s="2">
        <v>6500</v>
      </c>
      <c r="F262" s="2" t="s">
        <v>38</v>
      </c>
      <c r="G262" s="2" t="s">
        <v>1029</v>
      </c>
      <c r="H262" s="4">
        <v>-6516.06</v>
      </c>
      <c r="I262" s="4">
        <v>-6516.06</v>
      </c>
      <c r="J262" s="4">
        <v>-6516.06</v>
      </c>
      <c r="K262" s="4">
        <v>6516.06</v>
      </c>
      <c r="L262" s="4"/>
      <c r="M262" s="2" t="s">
        <v>1084</v>
      </c>
      <c r="N262" s="2" t="s">
        <v>10</v>
      </c>
      <c r="O262" s="2" t="s">
        <v>10</v>
      </c>
    </row>
    <row r="263" spans="1:15" hidden="1" x14ac:dyDescent="0.25">
      <c r="A263" s="2" t="s">
        <v>550</v>
      </c>
      <c r="B263" s="3">
        <v>45577</v>
      </c>
      <c r="C263" s="5">
        <v>45566</v>
      </c>
      <c r="D263" s="2" t="s">
        <v>18</v>
      </c>
      <c r="E263" s="2">
        <v>5100</v>
      </c>
      <c r="F263" s="2" t="s">
        <v>17</v>
      </c>
      <c r="G263" s="2" t="s">
        <v>1037</v>
      </c>
      <c r="H263" s="4">
        <v>-7330.1</v>
      </c>
      <c r="I263" s="4">
        <v>-7330.1</v>
      </c>
      <c r="J263" s="4">
        <v>-7330.1</v>
      </c>
      <c r="K263" s="4">
        <v>7330.1</v>
      </c>
      <c r="L263" s="4"/>
      <c r="M263" s="2" t="s">
        <v>1084</v>
      </c>
      <c r="N263" s="2" t="s">
        <v>10</v>
      </c>
      <c r="O263" s="2" t="s">
        <v>10</v>
      </c>
    </row>
    <row r="264" spans="1:15" hidden="1" x14ac:dyDescent="0.25">
      <c r="A264" s="2" t="s">
        <v>290</v>
      </c>
      <c r="B264" s="3">
        <v>45460</v>
      </c>
      <c r="C264" s="5">
        <v>45444</v>
      </c>
      <c r="D264" s="2" t="s">
        <v>52</v>
      </c>
      <c r="E264" s="2">
        <v>6000</v>
      </c>
      <c r="F264" s="2" t="s">
        <v>63</v>
      </c>
      <c r="G264" s="2" t="s">
        <v>1051</v>
      </c>
      <c r="H264" s="4">
        <v>-11812.52</v>
      </c>
      <c r="I264" s="4">
        <v>-11812.52</v>
      </c>
      <c r="J264" s="4">
        <v>-11812.52</v>
      </c>
      <c r="K264" s="4">
        <v>11812.52</v>
      </c>
      <c r="L264" s="4"/>
      <c r="M264" s="2" t="s">
        <v>1084</v>
      </c>
      <c r="N264" s="2" t="s">
        <v>10</v>
      </c>
      <c r="O264" s="2" t="s">
        <v>10</v>
      </c>
    </row>
    <row r="265" spans="1:15" hidden="1" x14ac:dyDescent="0.25">
      <c r="A265" s="2" t="s">
        <v>897</v>
      </c>
      <c r="B265" s="3">
        <v>45608</v>
      </c>
      <c r="C265" s="5">
        <v>45597</v>
      </c>
      <c r="D265" s="2" t="s">
        <v>31</v>
      </c>
      <c r="E265" s="2">
        <v>4900</v>
      </c>
      <c r="F265" s="2" t="s">
        <v>79</v>
      </c>
      <c r="G265" s="2" t="s">
        <v>1026</v>
      </c>
      <c r="H265" s="4">
        <v>244.85</v>
      </c>
      <c r="I265" s="4">
        <v>244.85</v>
      </c>
      <c r="J265" s="4">
        <v>244.85</v>
      </c>
      <c r="K265" s="4">
        <v>244.85</v>
      </c>
      <c r="L265" s="4"/>
      <c r="M265" s="2" t="s">
        <v>1084</v>
      </c>
      <c r="N265" s="2" t="s">
        <v>10</v>
      </c>
      <c r="O265" s="2" t="s">
        <v>10</v>
      </c>
    </row>
    <row r="266" spans="1:15" hidden="1" x14ac:dyDescent="0.25">
      <c r="A266" s="2" t="s">
        <v>975</v>
      </c>
      <c r="B266" s="3">
        <v>45319</v>
      </c>
      <c r="C266" s="5">
        <v>45292</v>
      </c>
      <c r="D266" s="2" t="s">
        <v>31</v>
      </c>
      <c r="E266" s="2">
        <v>4900</v>
      </c>
      <c r="F266" s="2" t="s">
        <v>146</v>
      </c>
      <c r="G266" s="2" t="s">
        <v>1031</v>
      </c>
      <c r="H266" s="4">
        <v>151.13999999999999</v>
      </c>
      <c r="I266" s="4">
        <v>151.13999999999999</v>
      </c>
      <c r="J266" s="4">
        <v>151.13999999999999</v>
      </c>
      <c r="K266" s="4">
        <v>151.13999999999999</v>
      </c>
      <c r="L266" s="4"/>
      <c r="M266" s="2" t="s">
        <v>1084</v>
      </c>
      <c r="N266" s="2" t="s">
        <v>10</v>
      </c>
      <c r="O266" s="2" t="s">
        <v>10</v>
      </c>
    </row>
    <row r="267" spans="1:15" hidden="1" x14ac:dyDescent="0.25">
      <c r="A267" s="2" t="s">
        <v>328</v>
      </c>
      <c r="B267" s="3">
        <v>45333</v>
      </c>
      <c r="C267" s="5">
        <v>45323</v>
      </c>
      <c r="D267" s="2" t="s">
        <v>13</v>
      </c>
      <c r="E267" s="2">
        <v>6400</v>
      </c>
      <c r="F267" s="2" t="s">
        <v>21</v>
      </c>
      <c r="G267" s="2" t="s">
        <v>1030</v>
      </c>
      <c r="H267" s="4">
        <v>-1508.26</v>
      </c>
      <c r="I267" s="4">
        <v>-1508.26</v>
      </c>
      <c r="J267" s="4">
        <v>-1508.26</v>
      </c>
      <c r="K267" s="4">
        <v>1508.26</v>
      </c>
      <c r="L267" s="4"/>
      <c r="M267" s="2" t="s">
        <v>1084</v>
      </c>
      <c r="N267" s="2" t="s">
        <v>10</v>
      </c>
      <c r="O267" s="2" t="s">
        <v>10</v>
      </c>
    </row>
    <row r="268" spans="1:15" hidden="1" x14ac:dyDescent="0.25">
      <c r="A268" s="2" t="s">
        <v>862</v>
      </c>
      <c r="B268" s="3">
        <v>45477</v>
      </c>
      <c r="C268" s="5">
        <v>45474</v>
      </c>
      <c r="D268" s="2" t="s">
        <v>24</v>
      </c>
      <c r="E268" s="2">
        <v>6300</v>
      </c>
      <c r="F268" s="2" t="s">
        <v>23</v>
      </c>
      <c r="G268" s="2" t="s">
        <v>1045</v>
      </c>
      <c r="H268" s="4">
        <v>-719.38</v>
      </c>
      <c r="I268" s="4">
        <v>-719.38</v>
      </c>
      <c r="J268" s="4">
        <v>-719.38</v>
      </c>
      <c r="K268" s="4">
        <v>719.38</v>
      </c>
      <c r="L268" s="4"/>
      <c r="M268" s="2" t="s">
        <v>1084</v>
      </c>
      <c r="N268" s="2" t="s">
        <v>10</v>
      </c>
      <c r="O268" s="2" t="s">
        <v>10</v>
      </c>
    </row>
    <row r="269" spans="1:15" hidden="1" x14ac:dyDescent="0.25">
      <c r="A269" s="2" t="s">
        <v>77</v>
      </c>
      <c r="B269" s="3">
        <v>45559</v>
      </c>
      <c r="C269" s="5">
        <v>45536</v>
      </c>
      <c r="D269" s="2" t="s">
        <v>59</v>
      </c>
      <c r="E269" s="2">
        <v>6200</v>
      </c>
      <c r="F269" s="2" t="s">
        <v>71</v>
      </c>
      <c r="G269" s="2" t="s">
        <v>1050</v>
      </c>
      <c r="H269" s="4">
        <v>-1013.37</v>
      </c>
      <c r="I269" s="4">
        <v>-1013.37</v>
      </c>
      <c r="J269" s="4">
        <v>-1013.37</v>
      </c>
      <c r="K269" s="4">
        <v>1013.37</v>
      </c>
      <c r="L269" s="4"/>
      <c r="M269" s="2" t="s">
        <v>1084</v>
      </c>
      <c r="N269" s="2" t="s">
        <v>10</v>
      </c>
      <c r="O269" s="2" t="s">
        <v>10</v>
      </c>
    </row>
    <row r="270" spans="1:15" hidden="1" x14ac:dyDescent="0.25">
      <c r="A270" s="2" t="s">
        <v>109</v>
      </c>
      <c r="B270" s="3">
        <v>45587</v>
      </c>
      <c r="C270" s="5">
        <v>45566</v>
      </c>
      <c r="D270" s="2" t="s">
        <v>9</v>
      </c>
      <c r="E270" s="2">
        <v>6100</v>
      </c>
      <c r="F270" s="2" t="s">
        <v>44</v>
      </c>
      <c r="G270" s="2" t="s">
        <v>1054</v>
      </c>
      <c r="H270" s="4">
        <v>-2379.7399999999998</v>
      </c>
      <c r="I270" s="4">
        <v>-2379.7399999999998</v>
      </c>
      <c r="J270" s="4">
        <v>-2379.7399999999998</v>
      </c>
      <c r="K270" s="4">
        <v>2379.7399999999998</v>
      </c>
      <c r="L270" s="4"/>
      <c r="M270" s="2" t="s">
        <v>1084</v>
      </c>
      <c r="N270" s="2" t="s">
        <v>10</v>
      </c>
      <c r="O270" s="2" t="s">
        <v>10</v>
      </c>
    </row>
    <row r="271" spans="1:15" hidden="1" x14ac:dyDescent="0.25">
      <c r="A271" s="2" t="s">
        <v>881</v>
      </c>
      <c r="B271" s="3">
        <v>45452</v>
      </c>
      <c r="C271" s="5">
        <v>45444</v>
      </c>
      <c r="D271" s="2" t="s">
        <v>13</v>
      </c>
      <c r="E271" s="2">
        <v>6400</v>
      </c>
      <c r="F271" s="2" t="s">
        <v>15</v>
      </c>
      <c r="G271" s="2" t="s">
        <v>1044</v>
      </c>
      <c r="H271" s="4">
        <v>-3070.22</v>
      </c>
      <c r="I271" s="4">
        <v>-3070.22</v>
      </c>
      <c r="J271" s="4">
        <v>-3070.22</v>
      </c>
      <c r="K271" s="4">
        <v>3070.22</v>
      </c>
      <c r="L271" s="4"/>
      <c r="M271" s="2" t="s">
        <v>1084</v>
      </c>
      <c r="N271" s="2" t="s">
        <v>10</v>
      </c>
      <c r="O271" s="2" t="s">
        <v>10</v>
      </c>
    </row>
    <row r="272" spans="1:15" hidden="1" x14ac:dyDescent="0.25">
      <c r="A272" s="2" t="s">
        <v>714</v>
      </c>
      <c r="B272" s="3">
        <v>45529</v>
      </c>
      <c r="C272" s="5">
        <v>45505</v>
      </c>
      <c r="D272" s="2" t="s">
        <v>52</v>
      </c>
      <c r="E272" s="2">
        <v>6000</v>
      </c>
      <c r="F272" s="2" t="s">
        <v>63</v>
      </c>
      <c r="G272" s="2" t="s">
        <v>1051</v>
      </c>
      <c r="H272" s="4">
        <v>-6964.8</v>
      </c>
      <c r="I272" s="4">
        <v>-6964.8</v>
      </c>
      <c r="J272" s="4">
        <v>-6964.8</v>
      </c>
      <c r="K272" s="4">
        <v>6964.8</v>
      </c>
      <c r="L272" s="4"/>
      <c r="M272" s="2" t="s">
        <v>1084</v>
      </c>
      <c r="N272" s="2" t="s">
        <v>10</v>
      </c>
      <c r="O272" s="2" t="s">
        <v>10</v>
      </c>
    </row>
    <row r="273" spans="1:15" hidden="1" x14ac:dyDescent="0.25">
      <c r="A273" s="2" t="s">
        <v>770</v>
      </c>
      <c r="B273" s="3">
        <v>45493</v>
      </c>
      <c r="C273" s="5">
        <v>45474</v>
      </c>
      <c r="D273" s="2" t="s">
        <v>35</v>
      </c>
      <c r="E273" s="2">
        <v>4000</v>
      </c>
      <c r="F273" s="2" t="s">
        <v>103</v>
      </c>
      <c r="G273" s="2" t="s">
        <v>1049</v>
      </c>
      <c r="H273" s="4">
        <v>11860.06</v>
      </c>
      <c r="I273" s="4">
        <v>11860.06</v>
      </c>
      <c r="J273" s="4">
        <v>11860.06</v>
      </c>
      <c r="K273" s="4">
        <v>11860.06</v>
      </c>
      <c r="L273" s="4"/>
      <c r="M273" s="2" t="s">
        <v>1084</v>
      </c>
      <c r="N273" s="2" t="s">
        <v>10</v>
      </c>
      <c r="O273" s="2" t="s">
        <v>10</v>
      </c>
    </row>
    <row r="274" spans="1:15" hidden="1" x14ac:dyDescent="0.25">
      <c r="A274" s="2" t="s">
        <v>597</v>
      </c>
      <c r="B274" s="3">
        <v>45642</v>
      </c>
      <c r="C274" s="5">
        <v>45627</v>
      </c>
      <c r="D274" s="2" t="s">
        <v>18</v>
      </c>
      <c r="E274" s="2">
        <v>5100</v>
      </c>
      <c r="F274" s="2" t="s">
        <v>56</v>
      </c>
      <c r="G274" s="2" t="s">
        <v>1025</v>
      </c>
      <c r="H274" s="4">
        <v>-2618.1999999999998</v>
      </c>
      <c r="I274" s="4">
        <v>-2618.1999999999998</v>
      </c>
      <c r="J274" s="4">
        <v>-2618.1999999999998</v>
      </c>
      <c r="K274" s="4">
        <v>2618.1999999999998</v>
      </c>
      <c r="L274" s="4"/>
      <c r="M274" s="2" t="s">
        <v>1084</v>
      </c>
      <c r="N274" s="2" t="s">
        <v>10</v>
      </c>
      <c r="O274" s="2" t="s">
        <v>10</v>
      </c>
    </row>
    <row r="275" spans="1:15" hidden="1" x14ac:dyDescent="0.25">
      <c r="A275" s="2" t="s">
        <v>432</v>
      </c>
      <c r="B275" s="3">
        <v>45530</v>
      </c>
      <c r="C275" s="5">
        <v>45505</v>
      </c>
      <c r="D275" s="2" t="s">
        <v>31</v>
      </c>
      <c r="E275" s="2">
        <v>4900</v>
      </c>
      <c r="F275" s="2" t="s">
        <v>146</v>
      </c>
      <c r="G275" s="2" t="s">
        <v>1031</v>
      </c>
      <c r="H275" s="4">
        <v>268.99</v>
      </c>
      <c r="I275" s="4">
        <v>268.99</v>
      </c>
      <c r="J275" s="4">
        <v>268.99</v>
      </c>
      <c r="K275" s="4">
        <v>268.99</v>
      </c>
      <c r="L275" s="4"/>
      <c r="M275" s="2" t="s">
        <v>1084</v>
      </c>
      <c r="N275" s="2" t="s">
        <v>10</v>
      </c>
      <c r="O275" s="2" t="s">
        <v>10</v>
      </c>
    </row>
    <row r="276" spans="1:15" hidden="1" x14ac:dyDescent="0.25">
      <c r="A276" s="2" t="s">
        <v>95</v>
      </c>
      <c r="B276" s="3">
        <v>45444</v>
      </c>
      <c r="C276" s="5">
        <v>45444</v>
      </c>
      <c r="D276" s="2" t="s">
        <v>24</v>
      </c>
      <c r="E276" s="2">
        <v>6300</v>
      </c>
      <c r="F276" s="2" t="s">
        <v>23</v>
      </c>
      <c r="G276" s="2" t="s">
        <v>1045</v>
      </c>
      <c r="H276" s="4">
        <v>-564.47</v>
      </c>
      <c r="I276" s="4">
        <v>-564.47</v>
      </c>
      <c r="J276" s="4">
        <v>-564.47</v>
      </c>
      <c r="K276" s="4">
        <v>564.47</v>
      </c>
      <c r="L276" s="4"/>
      <c r="M276" s="2" t="s">
        <v>1084</v>
      </c>
      <c r="N276" s="2" t="s">
        <v>10</v>
      </c>
      <c r="O276" s="2" t="s">
        <v>10</v>
      </c>
    </row>
    <row r="277" spans="1:15" hidden="1" x14ac:dyDescent="0.25">
      <c r="A277" s="2" t="s">
        <v>721</v>
      </c>
      <c r="B277" s="3">
        <v>45645</v>
      </c>
      <c r="C277" s="5">
        <v>45627</v>
      </c>
      <c r="D277" s="2" t="s">
        <v>24</v>
      </c>
      <c r="E277" s="2">
        <v>6300</v>
      </c>
      <c r="F277" s="2" t="s">
        <v>127</v>
      </c>
      <c r="G277" s="2" t="s">
        <v>1035</v>
      </c>
      <c r="H277" s="4">
        <v>-55.28</v>
      </c>
      <c r="I277" s="4">
        <v>-55.28</v>
      </c>
      <c r="J277" s="4">
        <v>-55.28</v>
      </c>
      <c r="K277" s="4">
        <v>55.28</v>
      </c>
      <c r="L277" s="4"/>
      <c r="M277" s="2" t="s">
        <v>1084</v>
      </c>
      <c r="N277" s="2" t="s">
        <v>10</v>
      </c>
      <c r="O277" s="2" t="s">
        <v>10</v>
      </c>
    </row>
    <row r="278" spans="1:15" hidden="1" x14ac:dyDescent="0.25">
      <c r="A278" s="2" t="s">
        <v>1005</v>
      </c>
      <c r="B278" s="3">
        <v>45331</v>
      </c>
      <c r="C278" s="5">
        <v>45323</v>
      </c>
      <c r="D278" s="2" t="s">
        <v>24</v>
      </c>
      <c r="E278" s="2">
        <v>6300</v>
      </c>
      <c r="F278" s="2" t="s">
        <v>127</v>
      </c>
      <c r="G278" s="2" t="s">
        <v>1035</v>
      </c>
      <c r="H278" s="4">
        <v>-479.58</v>
      </c>
      <c r="I278" s="4">
        <v>-479.58</v>
      </c>
      <c r="J278" s="4">
        <v>-479.58</v>
      </c>
      <c r="K278" s="4">
        <v>479.58</v>
      </c>
      <c r="L278" s="4"/>
      <c r="M278" s="2" t="s">
        <v>1084</v>
      </c>
      <c r="N278" s="2" t="s">
        <v>10</v>
      </c>
      <c r="O278" s="2" t="s">
        <v>10</v>
      </c>
    </row>
    <row r="279" spans="1:15" hidden="1" x14ac:dyDescent="0.25">
      <c r="A279" s="2" t="s">
        <v>360</v>
      </c>
      <c r="B279" s="3">
        <v>45651</v>
      </c>
      <c r="C279" s="5">
        <v>45627</v>
      </c>
      <c r="D279" s="2" t="s">
        <v>39</v>
      </c>
      <c r="E279" s="2">
        <v>6500</v>
      </c>
      <c r="F279" s="2" t="s">
        <v>42</v>
      </c>
      <c r="G279" s="2" t="s">
        <v>1036</v>
      </c>
      <c r="H279" s="4">
        <v>-1832.46</v>
      </c>
      <c r="I279" s="4">
        <v>-1832.46</v>
      </c>
      <c r="J279" s="4">
        <v>-1832.46</v>
      </c>
      <c r="K279" s="4">
        <v>1832.46</v>
      </c>
      <c r="L279" s="4"/>
      <c r="M279" s="2" t="s">
        <v>1084</v>
      </c>
      <c r="N279" s="2" t="s">
        <v>10</v>
      </c>
      <c r="O279" s="2" t="s">
        <v>10</v>
      </c>
    </row>
    <row r="280" spans="1:15" hidden="1" x14ac:dyDescent="0.25">
      <c r="A280" s="2" t="s">
        <v>848</v>
      </c>
      <c r="B280" s="3">
        <v>45348</v>
      </c>
      <c r="C280" s="5">
        <v>45323</v>
      </c>
      <c r="D280" s="2" t="s">
        <v>35</v>
      </c>
      <c r="E280" s="2">
        <v>4000</v>
      </c>
      <c r="F280" s="2" t="s">
        <v>34</v>
      </c>
      <c r="G280" s="2" t="s">
        <v>1027</v>
      </c>
      <c r="H280" s="4">
        <v>5117.62</v>
      </c>
      <c r="I280" s="4">
        <v>5117.62</v>
      </c>
      <c r="J280" s="4">
        <v>5117.62</v>
      </c>
      <c r="K280" s="4">
        <v>5117.62</v>
      </c>
      <c r="L280" s="4"/>
      <c r="M280" s="2" t="s">
        <v>1084</v>
      </c>
      <c r="N280" s="2" t="s">
        <v>10</v>
      </c>
      <c r="O280" s="2" t="s">
        <v>10</v>
      </c>
    </row>
    <row r="281" spans="1:15" hidden="1" x14ac:dyDescent="0.25">
      <c r="A281" s="2" t="s">
        <v>935</v>
      </c>
      <c r="B281" s="3">
        <v>45397</v>
      </c>
      <c r="C281" s="5">
        <v>45383</v>
      </c>
      <c r="D281" s="2" t="s">
        <v>35</v>
      </c>
      <c r="E281" s="2">
        <v>4000</v>
      </c>
      <c r="F281" s="2" t="s">
        <v>103</v>
      </c>
      <c r="G281" s="2" t="s">
        <v>1049</v>
      </c>
      <c r="H281" s="4">
        <v>8931.4599999999991</v>
      </c>
      <c r="I281" s="4">
        <v>8931.4599999999991</v>
      </c>
      <c r="J281" s="4">
        <v>8931.4599999999991</v>
      </c>
      <c r="K281" s="4">
        <v>8931.4599999999991</v>
      </c>
      <c r="L281" s="4"/>
      <c r="M281" s="2" t="s">
        <v>1084</v>
      </c>
      <c r="N281" s="2" t="s">
        <v>10</v>
      </c>
      <c r="O281" s="2" t="s">
        <v>10</v>
      </c>
    </row>
    <row r="282" spans="1:15" hidden="1" x14ac:dyDescent="0.25">
      <c r="A282" s="2" t="s">
        <v>364</v>
      </c>
      <c r="B282" s="3">
        <v>45591</v>
      </c>
      <c r="C282" s="5">
        <v>45566</v>
      </c>
      <c r="D282" s="2" t="s">
        <v>52</v>
      </c>
      <c r="E282" s="2">
        <v>6000</v>
      </c>
      <c r="F282" s="2" t="s">
        <v>63</v>
      </c>
      <c r="G282" s="2" t="s">
        <v>1051</v>
      </c>
      <c r="H282" s="4">
        <v>-11446.86</v>
      </c>
      <c r="I282" s="4">
        <v>-11446.86</v>
      </c>
      <c r="J282" s="4">
        <v>-11446.86</v>
      </c>
      <c r="K282" s="4">
        <v>11446.86</v>
      </c>
      <c r="L282" s="4"/>
      <c r="M282" s="2" t="s">
        <v>1084</v>
      </c>
      <c r="N282" s="2" t="s">
        <v>10</v>
      </c>
      <c r="O282" s="2" t="s">
        <v>10</v>
      </c>
    </row>
    <row r="283" spans="1:15" hidden="1" x14ac:dyDescent="0.25">
      <c r="A283" s="2" t="s">
        <v>1007</v>
      </c>
      <c r="B283" s="3">
        <v>45559</v>
      </c>
      <c r="C283" s="5">
        <v>45536</v>
      </c>
      <c r="D283" s="2" t="s">
        <v>24</v>
      </c>
      <c r="E283" s="2">
        <v>6300</v>
      </c>
      <c r="F283" s="2" t="s">
        <v>23</v>
      </c>
      <c r="G283" s="2" t="s">
        <v>1045</v>
      </c>
      <c r="H283" s="4">
        <v>-376.39</v>
      </c>
      <c r="I283" s="4">
        <v>-376.39</v>
      </c>
      <c r="J283" s="4">
        <v>-376.39</v>
      </c>
      <c r="K283" s="4">
        <v>376.39</v>
      </c>
      <c r="L283" s="4"/>
      <c r="M283" s="2" t="s">
        <v>1084</v>
      </c>
      <c r="N283" s="2" t="s">
        <v>10</v>
      </c>
      <c r="O283" s="2" t="s">
        <v>10</v>
      </c>
    </row>
    <row r="284" spans="1:15" hidden="1" x14ac:dyDescent="0.25">
      <c r="A284" s="2" t="s">
        <v>942</v>
      </c>
      <c r="B284" s="3">
        <v>45646</v>
      </c>
      <c r="C284" s="5">
        <v>45627</v>
      </c>
      <c r="D284" s="2" t="s">
        <v>9</v>
      </c>
      <c r="E284" s="2">
        <v>6100</v>
      </c>
      <c r="F284" s="2" t="s">
        <v>44</v>
      </c>
      <c r="G284" s="2" t="s">
        <v>1054</v>
      </c>
      <c r="H284" s="4">
        <v>-5866.97</v>
      </c>
      <c r="I284" s="4">
        <v>-5866.97</v>
      </c>
      <c r="J284" s="4">
        <v>-5866.97</v>
      </c>
      <c r="K284" s="4">
        <v>5866.97</v>
      </c>
      <c r="L284" s="4"/>
      <c r="M284" s="2" t="s">
        <v>1084</v>
      </c>
      <c r="N284" s="2" t="s">
        <v>10</v>
      </c>
      <c r="O284" s="2" t="s">
        <v>10</v>
      </c>
    </row>
    <row r="285" spans="1:15" hidden="1" x14ac:dyDescent="0.25">
      <c r="A285" s="2" t="s">
        <v>452</v>
      </c>
      <c r="B285" s="3">
        <v>45565</v>
      </c>
      <c r="C285" s="5">
        <v>45536</v>
      </c>
      <c r="D285" s="2" t="s">
        <v>24</v>
      </c>
      <c r="E285" s="2">
        <v>6300</v>
      </c>
      <c r="F285" s="2" t="s">
        <v>94</v>
      </c>
      <c r="G285" s="2" t="s">
        <v>1053</v>
      </c>
      <c r="H285" s="4">
        <v>-91.05</v>
      </c>
      <c r="I285" s="4">
        <v>-91.05</v>
      </c>
      <c r="J285" s="4">
        <v>-91.05</v>
      </c>
      <c r="K285" s="4">
        <v>91.05</v>
      </c>
      <c r="L285" s="4"/>
      <c r="M285" s="2" t="s">
        <v>1084</v>
      </c>
      <c r="N285" s="2" t="s">
        <v>10</v>
      </c>
      <c r="O285" s="2" t="s">
        <v>10</v>
      </c>
    </row>
    <row r="286" spans="1:15" hidden="1" x14ac:dyDescent="0.25">
      <c r="A286" s="2" t="s">
        <v>522</v>
      </c>
      <c r="B286" s="3">
        <v>45524</v>
      </c>
      <c r="C286" s="5">
        <v>45505</v>
      </c>
      <c r="D286" s="2" t="s">
        <v>24</v>
      </c>
      <c r="E286" s="2">
        <v>6300</v>
      </c>
      <c r="F286" s="2" t="s">
        <v>127</v>
      </c>
      <c r="G286" s="2" t="s">
        <v>1035</v>
      </c>
      <c r="H286" s="4">
        <v>-786.84</v>
      </c>
      <c r="I286" s="4">
        <v>-786.84</v>
      </c>
      <c r="J286" s="4">
        <v>-786.84</v>
      </c>
      <c r="K286" s="4">
        <v>786.84</v>
      </c>
      <c r="L286" s="4"/>
      <c r="M286" s="2" t="s">
        <v>1084</v>
      </c>
      <c r="N286" s="2" t="s">
        <v>10</v>
      </c>
      <c r="O286" s="2" t="s">
        <v>10</v>
      </c>
    </row>
    <row r="287" spans="1:15" hidden="1" x14ac:dyDescent="0.25">
      <c r="A287" s="2" t="s">
        <v>468</v>
      </c>
      <c r="B287" s="3">
        <v>45418</v>
      </c>
      <c r="C287" s="5">
        <v>45413</v>
      </c>
      <c r="D287" s="2" t="s">
        <v>31</v>
      </c>
      <c r="E287" s="2">
        <v>4900</v>
      </c>
      <c r="F287" s="2" t="s">
        <v>79</v>
      </c>
      <c r="G287" s="2" t="s">
        <v>1026</v>
      </c>
      <c r="H287" s="4">
        <v>255.52</v>
      </c>
      <c r="I287" s="4">
        <v>255.52</v>
      </c>
      <c r="J287" s="4">
        <v>255.52</v>
      </c>
      <c r="K287" s="4">
        <v>255.52</v>
      </c>
      <c r="L287" s="4"/>
      <c r="M287" s="2" t="s">
        <v>1084</v>
      </c>
      <c r="N287" s="2" t="s">
        <v>10</v>
      </c>
      <c r="O287" s="2" t="s">
        <v>10</v>
      </c>
    </row>
    <row r="288" spans="1:15" hidden="1" x14ac:dyDescent="0.25">
      <c r="A288" s="2" t="s">
        <v>155</v>
      </c>
      <c r="B288" s="3">
        <v>45293</v>
      </c>
      <c r="C288" s="5">
        <v>45292</v>
      </c>
      <c r="D288" s="2" t="s">
        <v>18</v>
      </c>
      <c r="E288" s="2">
        <v>5100</v>
      </c>
      <c r="F288" s="2" t="s">
        <v>56</v>
      </c>
      <c r="G288" s="2" t="s">
        <v>1025</v>
      </c>
      <c r="H288" s="4">
        <v>-6579.93</v>
      </c>
      <c r="I288" s="4">
        <v>-6579.93</v>
      </c>
      <c r="J288" s="4">
        <v>-6579.93</v>
      </c>
      <c r="K288" s="4">
        <v>6579.93</v>
      </c>
      <c r="L288" s="4"/>
      <c r="M288" s="2" t="s">
        <v>1084</v>
      </c>
      <c r="N288" s="2" t="s">
        <v>10</v>
      </c>
      <c r="O288" s="2" t="s">
        <v>10</v>
      </c>
    </row>
    <row r="289" spans="1:15" hidden="1" x14ac:dyDescent="0.25">
      <c r="A289" s="2" t="s">
        <v>788</v>
      </c>
      <c r="B289" s="3">
        <v>45337</v>
      </c>
      <c r="C289" s="5">
        <v>45323</v>
      </c>
      <c r="D289" s="2" t="s">
        <v>13</v>
      </c>
      <c r="E289" s="2">
        <v>6400</v>
      </c>
      <c r="F289" s="2" t="s">
        <v>21</v>
      </c>
      <c r="G289" s="2" t="s">
        <v>1030</v>
      </c>
      <c r="H289" s="4">
        <v>-202.77</v>
      </c>
      <c r="I289" s="4">
        <v>-202.77</v>
      </c>
      <c r="J289" s="4">
        <v>-202.77</v>
      </c>
      <c r="K289" s="4">
        <v>202.77</v>
      </c>
      <c r="L289" s="4"/>
      <c r="M289" s="2" t="s">
        <v>1084</v>
      </c>
      <c r="N289" s="2" t="s">
        <v>10</v>
      </c>
      <c r="O289" s="2" t="s">
        <v>10</v>
      </c>
    </row>
    <row r="290" spans="1:15" hidden="1" x14ac:dyDescent="0.25">
      <c r="A290" s="2" t="s">
        <v>927</v>
      </c>
      <c r="B290" s="3">
        <v>45400</v>
      </c>
      <c r="C290" s="5">
        <v>45383</v>
      </c>
      <c r="D290" s="2" t="s">
        <v>13</v>
      </c>
      <c r="E290" s="2">
        <v>6400</v>
      </c>
      <c r="F290" s="2" t="s">
        <v>15</v>
      </c>
      <c r="G290" s="2" t="s">
        <v>1044</v>
      </c>
      <c r="H290" s="4">
        <v>-3477.92</v>
      </c>
      <c r="I290" s="4">
        <v>-3477.92</v>
      </c>
      <c r="J290" s="4">
        <v>-3477.92</v>
      </c>
      <c r="K290" s="4">
        <v>3477.92</v>
      </c>
      <c r="L290" s="4"/>
      <c r="M290" s="2" t="s">
        <v>1084</v>
      </c>
      <c r="N290" s="2" t="s">
        <v>10</v>
      </c>
      <c r="O290" s="2" t="s">
        <v>10</v>
      </c>
    </row>
    <row r="291" spans="1:15" hidden="1" x14ac:dyDescent="0.25">
      <c r="A291" s="2" t="s">
        <v>400</v>
      </c>
      <c r="B291" s="3">
        <v>45306</v>
      </c>
      <c r="C291" s="5">
        <v>45292</v>
      </c>
      <c r="D291" s="2" t="s">
        <v>24</v>
      </c>
      <c r="E291" s="2">
        <v>6300</v>
      </c>
      <c r="F291" s="2" t="s">
        <v>127</v>
      </c>
      <c r="G291" s="2" t="s">
        <v>1035</v>
      </c>
      <c r="H291" s="4">
        <v>-863.66</v>
      </c>
      <c r="I291" s="4">
        <v>-863.66</v>
      </c>
      <c r="J291" s="4">
        <v>-863.66</v>
      </c>
      <c r="K291" s="4">
        <v>863.66</v>
      </c>
      <c r="L291" s="4"/>
      <c r="M291" s="2" t="s">
        <v>1084</v>
      </c>
      <c r="N291" s="2" t="s">
        <v>10</v>
      </c>
      <c r="O291" s="2" t="s">
        <v>10</v>
      </c>
    </row>
    <row r="292" spans="1:15" hidden="1" x14ac:dyDescent="0.25">
      <c r="A292" s="2" t="s">
        <v>758</v>
      </c>
      <c r="B292" s="3">
        <v>45477</v>
      </c>
      <c r="C292" s="5">
        <v>45474</v>
      </c>
      <c r="D292" s="2" t="s">
        <v>28</v>
      </c>
      <c r="E292" s="2">
        <v>6900</v>
      </c>
      <c r="F292" s="2" t="s">
        <v>27</v>
      </c>
      <c r="G292" s="2" t="s">
        <v>1041</v>
      </c>
      <c r="H292" s="4">
        <v>-107.34</v>
      </c>
      <c r="I292" s="4">
        <v>-107.34</v>
      </c>
      <c r="J292" s="4">
        <v>-107.34</v>
      </c>
      <c r="K292" s="4">
        <v>107.34</v>
      </c>
      <c r="L292" s="4"/>
      <c r="M292" s="2" t="s">
        <v>1084</v>
      </c>
      <c r="N292" s="2" t="s">
        <v>10</v>
      </c>
      <c r="O292" s="2" t="s">
        <v>10</v>
      </c>
    </row>
    <row r="293" spans="1:15" hidden="1" x14ac:dyDescent="0.25">
      <c r="A293" s="2" t="s">
        <v>358</v>
      </c>
      <c r="B293" s="3">
        <v>45575</v>
      </c>
      <c r="C293" s="5">
        <v>45566</v>
      </c>
      <c r="D293" s="2" t="s">
        <v>52</v>
      </c>
      <c r="E293" s="2">
        <v>6000</v>
      </c>
      <c r="F293" s="2" t="s">
        <v>63</v>
      </c>
      <c r="G293" s="2" t="s">
        <v>1051</v>
      </c>
      <c r="H293" s="4">
        <v>-4668.53</v>
      </c>
      <c r="I293" s="4">
        <v>-4668.53</v>
      </c>
      <c r="J293" s="4">
        <v>-4668.53</v>
      </c>
      <c r="K293" s="4">
        <v>4668.53</v>
      </c>
      <c r="L293" s="4"/>
      <c r="M293" s="2" t="s">
        <v>1084</v>
      </c>
      <c r="N293" s="2" t="s">
        <v>10</v>
      </c>
      <c r="O293" s="2" t="s">
        <v>10</v>
      </c>
    </row>
    <row r="294" spans="1:15" hidden="1" x14ac:dyDescent="0.25">
      <c r="A294" s="2" t="s">
        <v>633</v>
      </c>
      <c r="B294" s="3">
        <v>45643</v>
      </c>
      <c r="C294" s="5">
        <v>45627</v>
      </c>
      <c r="D294" s="2" t="s">
        <v>31</v>
      </c>
      <c r="E294" s="2">
        <v>4900</v>
      </c>
      <c r="F294" s="2" t="s">
        <v>79</v>
      </c>
      <c r="G294" s="2" t="s">
        <v>1026</v>
      </c>
      <c r="H294" s="4">
        <v>22.82</v>
      </c>
      <c r="I294" s="4">
        <v>22.82</v>
      </c>
      <c r="J294" s="4">
        <v>22.82</v>
      </c>
      <c r="K294" s="4">
        <v>22.82</v>
      </c>
      <c r="L294" s="4"/>
      <c r="M294" s="2" t="s">
        <v>1084</v>
      </c>
      <c r="N294" s="2" t="s">
        <v>10</v>
      </c>
      <c r="O294" s="2" t="s">
        <v>10</v>
      </c>
    </row>
    <row r="295" spans="1:15" hidden="1" x14ac:dyDescent="0.25">
      <c r="A295" s="2" t="s">
        <v>541</v>
      </c>
      <c r="B295" s="3">
        <v>45470</v>
      </c>
      <c r="C295" s="5">
        <v>45444</v>
      </c>
      <c r="D295" s="2" t="s">
        <v>59</v>
      </c>
      <c r="E295" s="2">
        <v>6200</v>
      </c>
      <c r="F295" s="2" t="s">
        <v>67</v>
      </c>
      <c r="G295" s="2" t="s">
        <v>1028</v>
      </c>
      <c r="H295" s="4">
        <v>-1126.26</v>
      </c>
      <c r="I295" s="4">
        <v>-1126.26</v>
      </c>
      <c r="J295" s="4">
        <v>-1126.26</v>
      </c>
      <c r="K295" s="4">
        <v>1126.26</v>
      </c>
      <c r="L295" s="4"/>
      <c r="M295" s="2" t="s">
        <v>1084</v>
      </c>
      <c r="N295" s="2" t="s">
        <v>10</v>
      </c>
      <c r="O295" s="2" t="s">
        <v>10</v>
      </c>
    </row>
    <row r="296" spans="1:15" hidden="1" x14ac:dyDescent="0.25">
      <c r="A296" s="2" t="s">
        <v>373</v>
      </c>
      <c r="B296" s="3">
        <v>45611</v>
      </c>
      <c r="C296" s="5">
        <v>45597</v>
      </c>
      <c r="D296" s="2" t="s">
        <v>13</v>
      </c>
      <c r="E296" s="2">
        <v>6400</v>
      </c>
      <c r="F296" s="2" t="s">
        <v>12</v>
      </c>
      <c r="G296" s="2" t="s">
        <v>1032</v>
      </c>
      <c r="H296" s="4">
        <v>-481.86</v>
      </c>
      <c r="I296" s="4">
        <v>-481.86</v>
      </c>
      <c r="J296" s="4">
        <v>-481.86</v>
      </c>
      <c r="K296" s="4">
        <v>481.86</v>
      </c>
      <c r="L296" s="4"/>
      <c r="M296" s="2" t="s">
        <v>1084</v>
      </c>
      <c r="N296" s="2" t="s">
        <v>10</v>
      </c>
      <c r="O296" s="2" t="s">
        <v>10</v>
      </c>
    </row>
    <row r="297" spans="1:15" hidden="1" x14ac:dyDescent="0.25">
      <c r="A297" s="2" t="s">
        <v>667</v>
      </c>
      <c r="B297" s="3">
        <v>45651</v>
      </c>
      <c r="C297" s="5">
        <v>45627</v>
      </c>
      <c r="D297" s="2" t="s">
        <v>13</v>
      </c>
      <c r="E297" s="2">
        <v>6400</v>
      </c>
      <c r="F297" s="2" t="s">
        <v>12</v>
      </c>
      <c r="G297" s="2" t="s">
        <v>1032</v>
      </c>
      <c r="H297" s="4">
        <v>-284.60000000000002</v>
      </c>
      <c r="I297" s="4">
        <v>-284.60000000000002</v>
      </c>
      <c r="J297" s="4">
        <v>-284.60000000000002</v>
      </c>
      <c r="K297" s="4">
        <v>284.60000000000002</v>
      </c>
      <c r="L297" s="4"/>
      <c r="M297" s="2" t="s">
        <v>1084</v>
      </c>
      <c r="N297" s="2" t="s">
        <v>10</v>
      </c>
      <c r="O297" s="2" t="s">
        <v>10</v>
      </c>
    </row>
    <row r="298" spans="1:15" hidden="1" x14ac:dyDescent="0.25">
      <c r="A298" s="2" t="s">
        <v>817</v>
      </c>
      <c r="B298" s="3">
        <v>45605</v>
      </c>
      <c r="C298" s="5">
        <v>45597</v>
      </c>
      <c r="D298" s="2" t="s">
        <v>28</v>
      </c>
      <c r="E298" s="2">
        <v>6900</v>
      </c>
      <c r="F298" s="2" t="s">
        <v>76</v>
      </c>
      <c r="G298" s="2" t="s">
        <v>1047</v>
      </c>
      <c r="H298" s="4">
        <v>-27.58</v>
      </c>
      <c r="I298" s="4">
        <v>-27.58</v>
      </c>
      <c r="J298" s="4">
        <v>-27.58</v>
      </c>
      <c r="K298" s="4">
        <v>27.58</v>
      </c>
      <c r="L298" s="4"/>
      <c r="M298" s="2" t="s">
        <v>1084</v>
      </c>
      <c r="N298" s="2" t="s">
        <v>10</v>
      </c>
      <c r="O298" s="2" t="s">
        <v>10</v>
      </c>
    </row>
    <row r="299" spans="1:15" hidden="1" x14ac:dyDescent="0.25">
      <c r="A299" s="2" t="s">
        <v>951</v>
      </c>
      <c r="B299" s="3">
        <v>45461</v>
      </c>
      <c r="C299" s="5">
        <v>45444</v>
      </c>
      <c r="D299" s="2" t="s">
        <v>24</v>
      </c>
      <c r="E299" s="2">
        <v>6300</v>
      </c>
      <c r="F299" s="2" t="s">
        <v>94</v>
      </c>
      <c r="G299" s="2" t="s">
        <v>1053</v>
      </c>
      <c r="H299" s="4">
        <v>-490.71</v>
      </c>
      <c r="I299" s="4">
        <v>-490.71</v>
      </c>
      <c r="J299" s="4">
        <v>-490.71</v>
      </c>
      <c r="K299" s="4">
        <v>490.71</v>
      </c>
      <c r="L299" s="4"/>
      <c r="M299" s="2" t="s">
        <v>1084</v>
      </c>
      <c r="N299" s="2" t="s">
        <v>10</v>
      </c>
      <c r="O299" s="2" t="s">
        <v>10</v>
      </c>
    </row>
    <row r="300" spans="1:15" hidden="1" x14ac:dyDescent="0.25">
      <c r="A300" s="2" t="s">
        <v>310</v>
      </c>
      <c r="B300" s="3">
        <v>45410</v>
      </c>
      <c r="C300" s="5">
        <v>45383</v>
      </c>
      <c r="D300" s="2" t="s">
        <v>52</v>
      </c>
      <c r="E300" s="2">
        <v>6000</v>
      </c>
      <c r="F300" s="2" t="s">
        <v>63</v>
      </c>
      <c r="G300" s="2" t="s">
        <v>1051</v>
      </c>
      <c r="H300" s="4">
        <v>-7458.21</v>
      </c>
      <c r="I300" s="4">
        <v>-7458.21</v>
      </c>
      <c r="J300" s="4">
        <v>-7458.21</v>
      </c>
      <c r="K300" s="4">
        <v>7458.21</v>
      </c>
      <c r="L300" s="4"/>
      <c r="M300" s="2" t="s">
        <v>1084</v>
      </c>
      <c r="N300" s="2" t="s">
        <v>10</v>
      </c>
      <c r="O300" s="2" t="s">
        <v>10</v>
      </c>
    </row>
    <row r="301" spans="1:15" hidden="1" x14ac:dyDescent="0.25">
      <c r="A301" s="2" t="s">
        <v>451</v>
      </c>
      <c r="B301" s="3">
        <v>45648</v>
      </c>
      <c r="C301" s="5">
        <v>45627</v>
      </c>
      <c r="D301" s="2" t="s">
        <v>35</v>
      </c>
      <c r="E301" s="2">
        <v>4000</v>
      </c>
      <c r="F301" s="2" t="s">
        <v>116</v>
      </c>
      <c r="G301" s="2" t="s">
        <v>1034</v>
      </c>
      <c r="H301" s="4">
        <v>10232.219999999999</v>
      </c>
      <c r="I301" s="4">
        <v>10232.219999999999</v>
      </c>
      <c r="J301" s="4">
        <v>10232.219999999999</v>
      </c>
      <c r="K301" s="4">
        <v>10232.219999999999</v>
      </c>
      <c r="L301" s="4"/>
      <c r="M301" s="2" t="s">
        <v>1084</v>
      </c>
      <c r="N301" s="2" t="s">
        <v>10</v>
      </c>
      <c r="O301" s="2" t="s">
        <v>123</v>
      </c>
    </row>
    <row r="302" spans="1:15" hidden="1" x14ac:dyDescent="0.25">
      <c r="A302" s="2" t="s">
        <v>727</v>
      </c>
      <c r="B302" s="3">
        <v>45380</v>
      </c>
      <c r="C302" s="5">
        <v>45352</v>
      </c>
      <c r="D302" s="2" t="s">
        <v>59</v>
      </c>
      <c r="E302" s="2">
        <v>6200</v>
      </c>
      <c r="F302" s="2" t="s">
        <v>67</v>
      </c>
      <c r="G302" s="2" t="s">
        <v>1028</v>
      </c>
      <c r="H302" s="4">
        <v>-122.58</v>
      </c>
      <c r="I302" s="4">
        <v>-122.58</v>
      </c>
      <c r="J302" s="4">
        <v>-122.58</v>
      </c>
      <c r="K302" s="4">
        <v>122.58</v>
      </c>
      <c r="L302" s="4"/>
      <c r="M302" s="2" t="s">
        <v>1084</v>
      </c>
      <c r="N302" s="2" t="s">
        <v>10</v>
      </c>
      <c r="O302" s="2" t="s">
        <v>10</v>
      </c>
    </row>
    <row r="303" spans="1:15" hidden="1" x14ac:dyDescent="0.25">
      <c r="A303" s="2" t="s">
        <v>319</v>
      </c>
      <c r="B303" s="3">
        <v>45442</v>
      </c>
      <c r="C303" s="5">
        <v>45413</v>
      </c>
      <c r="D303" s="2" t="s">
        <v>28</v>
      </c>
      <c r="E303" s="2">
        <v>6900</v>
      </c>
      <c r="F303" s="2" t="s">
        <v>27</v>
      </c>
      <c r="G303" s="2" t="s">
        <v>1041</v>
      </c>
      <c r="H303" s="4">
        <v>-145.47</v>
      </c>
      <c r="I303" s="4">
        <v>-145.47</v>
      </c>
      <c r="J303" s="4">
        <v>-145.47</v>
      </c>
      <c r="K303" s="4">
        <v>145.47</v>
      </c>
      <c r="L303" s="4"/>
      <c r="M303" s="2" t="s">
        <v>1084</v>
      </c>
      <c r="N303" s="2" t="s">
        <v>10</v>
      </c>
      <c r="O303" s="2" t="s">
        <v>10</v>
      </c>
    </row>
    <row r="304" spans="1:15" hidden="1" x14ac:dyDescent="0.25">
      <c r="A304" s="2" t="s">
        <v>915</v>
      </c>
      <c r="B304" s="3">
        <v>45319</v>
      </c>
      <c r="C304" s="5">
        <v>45292</v>
      </c>
      <c r="D304" s="2" t="s">
        <v>35</v>
      </c>
      <c r="E304" s="2">
        <v>4000</v>
      </c>
      <c r="F304" s="2" t="s">
        <v>103</v>
      </c>
      <c r="G304" s="2" t="s">
        <v>1049</v>
      </c>
      <c r="H304" s="4">
        <v>5139.41</v>
      </c>
      <c r="I304" s="4">
        <v>5139.41</v>
      </c>
      <c r="J304" s="4">
        <v>5139.41</v>
      </c>
      <c r="K304" s="4">
        <v>5139.41</v>
      </c>
      <c r="L304" s="4"/>
      <c r="M304" s="2" t="s">
        <v>1084</v>
      </c>
      <c r="N304" s="2" t="s">
        <v>10</v>
      </c>
      <c r="O304" s="2" t="s">
        <v>10</v>
      </c>
    </row>
    <row r="305" spans="1:15" hidden="1" x14ac:dyDescent="0.25">
      <c r="A305" s="2" t="s">
        <v>812</v>
      </c>
      <c r="B305" s="3">
        <v>45581</v>
      </c>
      <c r="C305" s="5">
        <v>45566</v>
      </c>
      <c r="D305" s="2" t="s">
        <v>28</v>
      </c>
      <c r="E305" s="2">
        <v>6900</v>
      </c>
      <c r="F305" s="2" t="s">
        <v>76</v>
      </c>
      <c r="G305" s="2" t="s">
        <v>1047</v>
      </c>
      <c r="H305" s="4">
        <v>-46.48</v>
      </c>
      <c r="I305" s="4">
        <v>-46.48</v>
      </c>
      <c r="J305" s="4">
        <v>-46.48</v>
      </c>
      <c r="K305" s="4">
        <v>46.48</v>
      </c>
      <c r="L305" s="4"/>
      <c r="M305" s="2" t="s">
        <v>1084</v>
      </c>
      <c r="N305" s="2" t="s">
        <v>10</v>
      </c>
      <c r="O305" s="2" t="s">
        <v>10</v>
      </c>
    </row>
    <row r="306" spans="1:15" hidden="1" x14ac:dyDescent="0.25">
      <c r="A306" s="2" t="s">
        <v>161</v>
      </c>
      <c r="B306" s="3">
        <v>45529</v>
      </c>
      <c r="C306" s="5">
        <v>45505</v>
      </c>
      <c r="D306" s="2" t="s">
        <v>13</v>
      </c>
      <c r="E306" s="2">
        <v>6400</v>
      </c>
      <c r="F306" s="2" t="s">
        <v>15</v>
      </c>
      <c r="G306" s="2" t="s">
        <v>1044</v>
      </c>
      <c r="H306" s="4">
        <v>-402.46</v>
      </c>
      <c r="I306" s="4">
        <v>-402.46</v>
      </c>
      <c r="J306" s="4">
        <v>-402.46</v>
      </c>
      <c r="K306" s="4">
        <v>402.46</v>
      </c>
      <c r="L306" s="4"/>
      <c r="M306" s="2" t="s">
        <v>1084</v>
      </c>
      <c r="N306" s="2" t="s">
        <v>10</v>
      </c>
      <c r="O306" s="2" t="s">
        <v>10</v>
      </c>
    </row>
    <row r="307" spans="1:15" hidden="1" x14ac:dyDescent="0.25">
      <c r="A307" s="2" t="s">
        <v>463</v>
      </c>
      <c r="B307" s="3">
        <v>45322</v>
      </c>
      <c r="C307" s="5">
        <v>45292</v>
      </c>
      <c r="D307" s="2" t="s">
        <v>18</v>
      </c>
      <c r="E307" s="2">
        <v>5100</v>
      </c>
      <c r="F307" s="2" t="s">
        <v>81</v>
      </c>
      <c r="G307" s="2" t="s">
        <v>1039</v>
      </c>
      <c r="H307" s="4">
        <v>-13036.08</v>
      </c>
      <c r="I307" s="4">
        <v>-13036.08</v>
      </c>
      <c r="J307" s="4">
        <v>-13036.08</v>
      </c>
      <c r="K307" s="4">
        <v>13036.08</v>
      </c>
      <c r="L307" s="4"/>
      <c r="M307" s="2" t="s">
        <v>1084</v>
      </c>
      <c r="N307" s="2" t="s">
        <v>10</v>
      </c>
      <c r="O307" s="2" t="s">
        <v>10</v>
      </c>
    </row>
    <row r="308" spans="1:15" hidden="1" x14ac:dyDescent="0.25">
      <c r="A308" s="2" t="s">
        <v>70</v>
      </c>
      <c r="B308" s="3">
        <v>45373</v>
      </c>
      <c r="C308" s="5">
        <v>45352</v>
      </c>
      <c r="D308" s="2" t="s">
        <v>59</v>
      </c>
      <c r="E308" s="2">
        <v>6200</v>
      </c>
      <c r="F308" s="2" t="s">
        <v>71</v>
      </c>
      <c r="G308" s="2" t="s">
        <v>1050</v>
      </c>
      <c r="H308" s="4">
        <v>-1004.52</v>
      </c>
      <c r="I308" s="4">
        <v>-1004.52</v>
      </c>
      <c r="J308" s="4">
        <v>-1004.52</v>
      </c>
      <c r="K308" s="4">
        <v>1004.52</v>
      </c>
      <c r="L308" s="4"/>
      <c r="M308" s="2" t="s">
        <v>1084</v>
      </c>
      <c r="N308" s="2" t="s">
        <v>10</v>
      </c>
      <c r="O308" s="2" t="s">
        <v>10</v>
      </c>
    </row>
    <row r="309" spans="1:15" hidden="1" x14ac:dyDescent="0.25">
      <c r="A309" s="2" t="s">
        <v>227</v>
      </c>
      <c r="B309" s="3">
        <v>45494</v>
      </c>
      <c r="C309" s="5">
        <v>45474</v>
      </c>
      <c r="D309" s="2" t="s">
        <v>13</v>
      </c>
      <c r="E309" s="2">
        <v>6400</v>
      </c>
      <c r="F309" s="2" t="s">
        <v>12</v>
      </c>
      <c r="G309" s="2" t="s">
        <v>1032</v>
      </c>
      <c r="H309" s="4">
        <v>-3417.57</v>
      </c>
      <c r="I309" s="4">
        <v>-3417.57</v>
      </c>
      <c r="J309" s="4">
        <v>-3417.57</v>
      </c>
      <c r="K309" s="4">
        <v>3417.57</v>
      </c>
      <c r="L309" s="4"/>
      <c r="M309" s="2" t="s">
        <v>1084</v>
      </c>
      <c r="N309" s="2" t="s">
        <v>10</v>
      </c>
      <c r="O309" s="2" t="s">
        <v>10</v>
      </c>
    </row>
    <row r="310" spans="1:15" hidden="1" x14ac:dyDescent="0.25">
      <c r="A310" s="2" t="s">
        <v>680</v>
      </c>
      <c r="B310" s="3">
        <v>45489</v>
      </c>
      <c r="C310" s="5">
        <v>45474</v>
      </c>
      <c r="D310" s="2" t="s">
        <v>59</v>
      </c>
      <c r="E310" s="2">
        <v>6200</v>
      </c>
      <c r="F310" s="2" t="s">
        <v>58</v>
      </c>
      <c r="G310" s="2" t="s">
        <v>1038</v>
      </c>
      <c r="H310" s="4">
        <v>-1134.8900000000001</v>
      </c>
      <c r="I310" s="4">
        <v>-1134.8900000000001</v>
      </c>
      <c r="J310" s="4">
        <v>-1134.8900000000001</v>
      </c>
      <c r="K310" s="4">
        <v>1134.8900000000001</v>
      </c>
      <c r="L310" s="4"/>
      <c r="M310" s="2" t="s">
        <v>1084</v>
      </c>
      <c r="N310" s="2" t="s">
        <v>10</v>
      </c>
      <c r="O310" s="2" t="s">
        <v>10</v>
      </c>
    </row>
    <row r="311" spans="1:15" hidden="1" x14ac:dyDescent="0.25">
      <c r="A311" s="2" t="s">
        <v>288</v>
      </c>
      <c r="B311" s="3">
        <v>45584</v>
      </c>
      <c r="C311" s="5">
        <v>45566</v>
      </c>
      <c r="D311" s="2" t="s">
        <v>18</v>
      </c>
      <c r="E311" s="2">
        <v>5100</v>
      </c>
      <c r="F311" s="2" t="s">
        <v>81</v>
      </c>
      <c r="G311" s="2" t="s">
        <v>1039</v>
      </c>
      <c r="H311" s="4">
        <v>-2078.64</v>
      </c>
      <c r="I311" s="4">
        <v>-2078.64</v>
      </c>
      <c r="J311" s="4">
        <v>-2078.64</v>
      </c>
      <c r="K311" s="4">
        <v>2078.64</v>
      </c>
      <c r="L311" s="4"/>
      <c r="M311" s="2" t="s">
        <v>1084</v>
      </c>
      <c r="N311" s="2" t="s">
        <v>10</v>
      </c>
      <c r="O311" s="2" t="s">
        <v>10</v>
      </c>
    </row>
    <row r="312" spans="1:15" hidden="1" x14ac:dyDescent="0.25">
      <c r="A312" s="2" t="s">
        <v>527</v>
      </c>
      <c r="B312" s="3">
        <v>45389</v>
      </c>
      <c r="C312" s="5">
        <v>45383</v>
      </c>
      <c r="D312" s="2" t="s">
        <v>9</v>
      </c>
      <c r="E312" s="2">
        <v>6100</v>
      </c>
      <c r="F312" s="2" t="s">
        <v>8</v>
      </c>
      <c r="G312" s="2" t="s">
        <v>1042</v>
      </c>
      <c r="H312" s="4">
        <v>-3637.51</v>
      </c>
      <c r="I312" s="4">
        <v>-3637.51</v>
      </c>
      <c r="J312" s="4">
        <v>-3637.51</v>
      </c>
      <c r="K312" s="4">
        <v>3637.51</v>
      </c>
      <c r="L312" s="4"/>
      <c r="M312" s="2" t="s">
        <v>1084</v>
      </c>
      <c r="N312" s="2" t="s">
        <v>10</v>
      </c>
      <c r="O312" s="2" t="s">
        <v>10</v>
      </c>
    </row>
    <row r="313" spans="1:15" hidden="1" x14ac:dyDescent="0.25">
      <c r="A313" s="2" t="s">
        <v>220</v>
      </c>
      <c r="B313" s="3">
        <v>45629</v>
      </c>
      <c r="C313" s="5">
        <v>45627</v>
      </c>
      <c r="D313" s="2" t="s">
        <v>9</v>
      </c>
      <c r="E313" s="2">
        <v>6100</v>
      </c>
      <c r="F313" s="2" t="s">
        <v>8</v>
      </c>
      <c r="G313" s="2" t="s">
        <v>1042</v>
      </c>
      <c r="H313" s="4">
        <v>-3626.18</v>
      </c>
      <c r="I313" s="4">
        <v>-3626.18</v>
      </c>
      <c r="J313" s="4">
        <v>-3626.18</v>
      </c>
      <c r="K313" s="4">
        <v>3626.18</v>
      </c>
      <c r="L313" s="4"/>
      <c r="M313" s="2" t="s">
        <v>1084</v>
      </c>
      <c r="N313" s="2" t="s">
        <v>10</v>
      </c>
      <c r="O313" s="2" t="s">
        <v>10</v>
      </c>
    </row>
    <row r="314" spans="1:15" hidden="1" x14ac:dyDescent="0.25">
      <c r="A314" s="2" t="s">
        <v>583</v>
      </c>
      <c r="B314" s="3">
        <v>45454</v>
      </c>
      <c r="C314" s="5">
        <v>45444</v>
      </c>
      <c r="D314" s="2" t="s">
        <v>18</v>
      </c>
      <c r="E314" s="2">
        <v>5100</v>
      </c>
      <c r="F314" s="2" t="s">
        <v>81</v>
      </c>
      <c r="G314" s="2" t="s">
        <v>1039</v>
      </c>
      <c r="H314" s="4">
        <v>-14582.7</v>
      </c>
      <c r="I314" s="4">
        <v>-14582.7</v>
      </c>
      <c r="J314" s="4">
        <v>-14582.7</v>
      </c>
      <c r="K314" s="4">
        <v>14582.7</v>
      </c>
      <c r="L314" s="4"/>
      <c r="M314" s="2" t="s">
        <v>1084</v>
      </c>
      <c r="N314" s="2" t="s">
        <v>10</v>
      </c>
      <c r="O314" s="2" t="s">
        <v>10</v>
      </c>
    </row>
    <row r="315" spans="1:15" hidden="1" x14ac:dyDescent="0.25">
      <c r="A315" s="2" t="s">
        <v>980</v>
      </c>
      <c r="B315" s="3">
        <v>45592</v>
      </c>
      <c r="C315" s="5">
        <v>45566</v>
      </c>
      <c r="D315" s="2" t="s">
        <v>52</v>
      </c>
      <c r="E315" s="2">
        <v>6000</v>
      </c>
      <c r="F315" s="2" t="s">
        <v>97</v>
      </c>
      <c r="G315" s="2" t="s">
        <v>1046</v>
      </c>
      <c r="H315" s="4">
        <v>-8900.7999999999993</v>
      </c>
      <c r="I315" s="4">
        <v>-8900.7999999999993</v>
      </c>
      <c r="J315" s="4">
        <v>-8900.7999999999993</v>
      </c>
      <c r="K315" s="4">
        <v>8900.7999999999993</v>
      </c>
      <c r="L315" s="4"/>
      <c r="M315" s="2" t="s">
        <v>1084</v>
      </c>
      <c r="N315" s="2" t="s">
        <v>10</v>
      </c>
      <c r="O315" s="2" t="s">
        <v>10</v>
      </c>
    </row>
    <row r="316" spans="1:15" hidden="1" x14ac:dyDescent="0.25">
      <c r="A316" s="2" t="s">
        <v>215</v>
      </c>
      <c r="B316" s="3">
        <v>45379</v>
      </c>
      <c r="C316" s="5">
        <v>45352</v>
      </c>
      <c r="D316" s="2" t="s">
        <v>52</v>
      </c>
      <c r="E316" s="2">
        <v>6000</v>
      </c>
      <c r="F316" s="2" t="s">
        <v>97</v>
      </c>
      <c r="G316" s="2" t="s">
        <v>1046</v>
      </c>
      <c r="H316" s="4">
        <v>-6292.24</v>
      </c>
      <c r="I316" s="4">
        <v>-6292.24</v>
      </c>
      <c r="J316" s="4">
        <v>-6292.24</v>
      </c>
      <c r="K316" s="4">
        <v>6292.24</v>
      </c>
      <c r="L316" s="4"/>
      <c r="M316" s="2" t="s">
        <v>1084</v>
      </c>
      <c r="N316" s="2" t="s">
        <v>10</v>
      </c>
      <c r="O316" s="2" t="s">
        <v>10</v>
      </c>
    </row>
    <row r="317" spans="1:15" hidden="1" x14ac:dyDescent="0.25">
      <c r="A317" s="2" t="s">
        <v>692</v>
      </c>
      <c r="B317" s="3">
        <v>45305</v>
      </c>
      <c r="C317" s="5">
        <v>45292</v>
      </c>
      <c r="D317" s="2" t="s">
        <v>9</v>
      </c>
      <c r="E317" s="2">
        <v>6100</v>
      </c>
      <c r="F317" s="2" t="s">
        <v>48</v>
      </c>
      <c r="G317" s="2" t="s">
        <v>1043</v>
      </c>
      <c r="H317" s="4">
        <v>-2808.98</v>
      </c>
      <c r="I317" s="4">
        <v>-2808.98</v>
      </c>
      <c r="J317" s="4">
        <v>-2808.98</v>
      </c>
      <c r="K317" s="4">
        <v>2808.98</v>
      </c>
      <c r="L317" s="4"/>
      <c r="M317" s="2" t="s">
        <v>1084</v>
      </c>
      <c r="N317" s="2" t="s">
        <v>10</v>
      </c>
      <c r="O317" s="2" t="s">
        <v>10</v>
      </c>
    </row>
    <row r="318" spans="1:15" hidden="1" x14ac:dyDescent="0.25">
      <c r="A318" s="2" t="s">
        <v>977</v>
      </c>
      <c r="B318" s="3">
        <v>45312</v>
      </c>
      <c r="C318" s="5">
        <v>45292</v>
      </c>
      <c r="D318" s="2" t="s">
        <v>39</v>
      </c>
      <c r="E318" s="2">
        <v>6500</v>
      </c>
      <c r="F318" s="2" t="s">
        <v>38</v>
      </c>
      <c r="G318" s="2" t="s">
        <v>1029</v>
      </c>
      <c r="H318" s="4">
        <v>-3223.33</v>
      </c>
      <c r="I318" s="4">
        <v>-3223.33</v>
      </c>
      <c r="J318" s="4">
        <v>-3223.33</v>
      </c>
      <c r="K318" s="4">
        <v>3223.33</v>
      </c>
      <c r="L318" s="4"/>
      <c r="M318" s="2" t="s">
        <v>1084</v>
      </c>
      <c r="N318" s="2" t="s">
        <v>10</v>
      </c>
      <c r="O318" s="2" t="s">
        <v>10</v>
      </c>
    </row>
    <row r="319" spans="1:15" hidden="1" x14ac:dyDescent="0.25">
      <c r="A319" s="2" t="s">
        <v>840</v>
      </c>
      <c r="B319" s="3">
        <v>45428</v>
      </c>
      <c r="C319" s="5">
        <v>45413</v>
      </c>
      <c r="D319" s="2" t="s">
        <v>39</v>
      </c>
      <c r="E319" s="2">
        <v>6500</v>
      </c>
      <c r="F319" s="2" t="s">
        <v>42</v>
      </c>
      <c r="G319" s="2" t="s">
        <v>1036</v>
      </c>
      <c r="H319" s="4">
        <v>-854.56</v>
      </c>
      <c r="I319" s="4">
        <v>-854.56</v>
      </c>
      <c r="J319" s="4">
        <v>-854.56</v>
      </c>
      <c r="K319" s="4">
        <v>854.56</v>
      </c>
      <c r="L319" s="4"/>
      <c r="M319" s="2" t="s">
        <v>1084</v>
      </c>
      <c r="N319" s="2" t="s">
        <v>10</v>
      </c>
      <c r="O319" s="2" t="s">
        <v>10</v>
      </c>
    </row>
    <row r="320" spans="1:15" hidden="1" x14ac:dyDescent="0.25">
      <c r="A320" s="2" t="s">
        <v>145</v>
      </c>
      <c r="B320" s="3">
        <v>45639</v>
      </c>
      <c r="C320" s="5">
        <v>45627</v>
      </c>
      <c r="D320" s="2" t="s">
        <v>31</v>
      </c>
      <c r="E320" s="2">
        <v>4900</v>
      </c>
      <c r="F320" s="2" t="s">
        <v>146</v>
      </c>
      <c r="G320" s="2" t="s">
        <v>1031</v>
      </c>
      <c r="H320" s="4">
        <v>313.05</v>
      </c>
      <c r="I320" s="4">
        <v>313.05</v>
      </c>
      <c r="J320" s="4">
        <v>313.05</v>
      </c>
      <c r="K320" s="4">
        <v>313.05</v>
      </c>
      <c r="L320" s="4"/>
      <c r="M320" s="2" t="s">
        <v>1084</v>
      </c>
      <c r="N320" s="2" t="s">
        <v>10</v>
      </c>
      <c r="O320" s="2" t="s">
        <v>10</v>
      </c>
    </row>
    <row r="321" spans="1:15" hidden="1" x14ac:dyDescent="0.25">
      <c r="A321" s="2" t="s">
        <v>983</v>
      </c>
      <c r="B321" s="3">
        <v>45309</v>
      </c>
      <c r="C321" s="5">
        <v>45292</v>
      </c>
      <c r="D321" s="2" t="s">
        <v>39</v>
      </c>
      <c r="E321" s="2">
        <v>6500</v>
      </c>
      <c r="F321" s="2" t="s">
        <v>38</v>
      </c>
      <c r="G321" s="2" t="s">
        <v>1029</v>
      </c>
      <c r="H321" s="4">
        <v>-3651.67</v>
      </c>
      <c r="I321" s="4">
        <v>-3651.67</v>
      </c>
      <c r="J321" s="4">
        <v>-3651.67</v>
      </c>
      <c r="K321" s="4">
        <v>3651.67</v>
      </c>
      <c r="L321" s="4"/>
      <c r="M321" s="2" t="s">
        <v>1084</v>
      </c>
      <c r="N321" s="2" t="s">
        <v>10</v>
      </c>
      <c r="O321" s="2" t="s">
        <v>10</v>
      </c>
    </row>
    <row r="322" spans="1:15" hidden="1" x14ac:dyDescent="0.25">
      <c r="A322" s="2" t="s">
        <v>219</v>
      </c>
      <c r="B322" s="3">
        <v>45426</v>
      </c>
      <c r="C322" s="5">
        <v>45413</v>
      </c>
      <c r="D322" s="2" t="s">
        <v>59</v>
      </c>
      <c r="E322" s="2">
        <v>6200</v>
      </c>
      <c r="F322" s="2" t="s">
        <v>71</v>
      </c>
      <c r="G322" s="2" t="s">
        <v>1050</v>
      </c>
      <c r="H322" s="4">
        <v>-754.05</v>
      </c>
      <c r="I322" s="4">
        <v>-754.05</v>
      </c>
      <c r="J322" s="4">
        <v>-754.05</v>
      </c>
      <c r="K322" s="4">
        <v>754.05</v>
      </c>
      <c r="L322" s="4"/>
      <c r="M322" s="2" t="s">
        <v>1084</v>
      </c>
      <c r="N322" s="2" t="s">
        <v>10</v>
      </c>
      <c r="O322" s="2" t="s">
        <v>10</v>
      </c>
    </row>
    <row r="323" spans="1:15" hidden="1" x14ac:dyDescent="0.25">
      <c r="A323" s="2" t="s">
        <v>911</v>
      </c>
      <c r="B323" s="3">
        <v>45331</v>
      </c>
      <c r="C323" s="5">
        <v>45323</v>
      </c>
      <c r="D323" s="2" t="s">
        <v>18</v>
      </c>
      <c r="E323" s="2">
        <v>5100</v>
      </c>
      <c r="F323" s="2" t="s">
        <v>81</v>
      </c>
      <c r="G323" s="2" t="s">
        <v>1039</v>
      </c>
      <c r="H323" s="4">
        <v>-720.6</v>
      </c>
      <c r="I323" s="4">
        <v>-720.6</v>
      </c>
      <c r="J323" s="4">
        <v>-720.6</v>
      </c>
      <c r="K323" s="4">
        <v>720.6</v>
      </c>
      <c r="L323" s="4"/>
      <c r="M323" s="2" t="s">
        <v>1084</v>
      </c>
      <c r="N323" s="2" t="s">
        <v>10</v>
      </c>
      <c r="O323" s="2" t="s">
        <v>10</v>
      </c>
    </row>
    <row r="324" spans="1:15" hidden="1" x14ac:dyDescent="0.25">
      <c r="A324" s="2" t="s">
        <v>804</v>
      </c>
      <c r="B324" s="3">
        <v>45632</v>
      </c>
      <c r="C324" s="5">
        <v>45627</v>
      </c>
      <c r="D324" s="2" t="s">
        <v>9</v>
      </c>
      <c r="E324" s="2">
        <v>6100</v>
      </c>
      <c r="F324" s="2" t="s">
        <v>44</v>
      </c>
      <c r="G324" s="2" t="s">
        <v>1054</v>
      </c>
      <c r="H324" s="4">
        <v>-1870.26</v>
      </c>
      <c r="I324" s="4">
        <v>-1870.26</v>
      </c>
      <c r="J324" s="4">
        <v>-1870.26</v>
      </c>
      <c r="K324" s="4">
        <v>1870.26</v>
      </c>
      <c r="L324" s="4"/>
      <c r="M324" s="2" t="s">
        <v>1084</v>
      </c>
      <c r="N324" s="2" t="s">
        <v>10</v>
      </c>
      <c r="O324" s="2" t="s">
        <v>10</v>
      </c>
    </row>
    <row r="325" spans="1:15" hidden="1" x14ac:dyDescent="0.25">
      <c r="A325" s="2" t="s">
        <v>530</v>
      </c>
      <c r="B325" s="3">
        <v>45538</v>
      </c>
      <c r="C325" s="5">
        <v>45536</v>
      </c>
      <c r="D325" s="2" t="s">
        <v>31</v>
      </c>
      <c r="E325" s="2">
        <v>4900</v>
      </c>
      <c r="F325" s="2" t="s">
        <v>30</v>
      </c>
      <c r="G325" s="2" t="s">
        <v>1024</v>
      </c>
      <c r="H325" s="4">
        <v>390.42</v>
      </c>
      <c r="I325" s="4">
        <v>390.42</v>
      </c>
      <c r="J325" s="4">
        <v>390.42</v>
      </c>
      <c r="K325" s="4">
        <v>390.42</v>
      </c>
      <c r="L325" s="4"/>
      <c r="M325" s="2" t="s">
        <v>1084</v>
      </c>
      <c r="N325" s="2" t="s">
        <v>10</v>
      </c>
      <c r="O325" s="2" t="s">
        <v>10</v>
      </c>
    </row>
    <row r="326" spans="1:15" hidden="1" x14ac:dyDescent="0.25">
      <c r="A326" s="2" t="s">
        <v>744</v>
      </c>
      <c r="B326" s="3">
        <v>45570</v>
      </c>
      <c r="C326" s="5">
        <v>45566</v>
      </c>
      <c r="D326" s="2" t="s">
        <v>31</v>
      </c>
      <c r="E326" s="2">
        <v>4900</v>
      </c>
      <c r="F326" s="2" t="s">
        <v>146</v>
      </c>
      <c r="G326" s="2" t="s">
        <v>1031</v>
      </c>
      <c r="H326" s="4">
        <v>208.72</v>
      </c>
      <c r="I326" s="4">
        <v>208.72</v>
      </c>
      <c r="J326" s="4">
        <v>208.72</v>
      </c>
      <c r="K326" s="4">
        <v>208.72</v>
      </c>
      <c r="L326" s="4"/>
      <c r="M326" s="2" t="s">
        <v>1084</v>
      </c>
      <c r="N326" s="2" t="s">
        <v>10</v>
      </c>
      <c r="O326" s="2" t="s">
        <v>10</v>
      </c>
    </row>
    <row r="327" spans="1:15" hidden="1" x14ac:dyDescent="0.25">
      <c r="A327" s="2" t="s">
        <v>821</v>
      </c>
      <c r="B327" s="3">
        <v>45552</v>
      </c>
      <c r="C327" s="5">
        <v>45536</v>
      </c>
      <c r="D327" s="2" t="s">
        <v>52</v>
      </c>
      <c r="E327" s="2">
        <v>6000</v>
      </c>
      <c r="F327" s="2" t="s">
        <v>63</v>
      </c>
      <c r="G327" s="2" t="s">
        <v>1051</v>
      </c>
      <c r="H327" s="4">
        <v>-11329.86</v>
      </c>
      <c r="I327" s="4">
        <v>-11329.86</v>
      </c>
      <c r="J327" s="4">
        <v>-11329.86</v>
      </c>
      <c r="K327" s="4">
        <v>11329.86</v>
      </c>
      <c r="L327" s="4"/>
      <c r="M327" s="2" t="s">
        <v>1084</v>
      </c>
      <c r="N327" s="2" t="s">
        <v>10</v>
      </c>
      <c r="O327" s="2" t="s">
        <v>10</v>
      </c>
    </row>
    <row r="328" spans="1:15" hidden="1" x14ac:dyDescent="0.25">
      <c r="A328" s="2" t="s">
        <v>732</v>
      </c>
      <c r="B328" s="3">
        <v>45531</v>
      </c>
      <c r="C328" s="5">
        <v>45505</v>
      </c>
      <c r="D328" s="2" t="s">
        <v>52</v>
      </c>
      <c r="E328" s="2">
        <v>6000</v>
      </c>
      <c r="F328" s="2" t="s">
        <v>97</v>
      </c>
      <c r="G328" s="2" t="s">
        <v>1046</v>
      </c>
      <c r="H328" s="4">
        <v>-3981.78</v>
      </c>
      <c r="I328" s="4">
        <v>-3981.78</v>
      </c>
      <c r="J328" s="4">
        <v>-3981.78</v>
      </c>
      <c r="K328" s="4">
        <v>3981.78</v>
      </c>
      <c r="L328" s="4"/>
      <c r="M328" s="2" t="s">
        <v>1084</v>
      </c>
      <c r="N328" s="2" t="s">
        <v>10</v>
      </c>
      <c r="O328" s="2" t="s">
        <v>10</v>
      </c>
    </row>
    <row r="329" spans="1:15" hidden="1" x14ac:dyDescent="0.25">
      <c r="A329" s="2" t="s">
        <v>856</v>
      </c>
      <c r="B329" s="3">
        <v>45574</v>
      </c>
      <c r="C329" s="5">
        <v>45566</v>
      </c>
      <c r="D329" s="2" t="s">
        <v>35</v>
      </c>
      <c r="E329" s="2">
        <v>4000</v>
      </c>
      <c r="F329" s="2" t="s">
        <v>116</v>
      </c>
      <c r="G329" s="2" t="s">
        <v>1034</v>
      </c>
      <c r="H329" s="4">
        <v>1703.38</v>
      </c>
      <c r="I329" s="4">
        <v>1703.38</v>
      </c>
      <c r="J329" s="4">
        <v>1703.38</v>
      </c>
      <c r="K329" s="4">
        <v>1703.38</v>
      </c>
      <c r="L329" s="4"/>
      <c r="M329" s="2" t="s">
        <v>1084</v>
      </c>
      <c r="N329" s="2" t="s">
        <v>10</v>
      </c>
      <c r="O329" s="2" t="s">
        <v>10</v>
      </c>
    </row>
    <row r="330" spans="1:15" hidden="1" x14ac:dyDescent="0.25">
      <c r="A330" s="2" t="s">
        <v>637</v>
      </c>
      <c r="B330" s="3">
        <v>45294</v>
      </c>
      <c r="C330" s="5">
        <v>45292</v>
      </c>
      <c r="D330" s="2" t="s">
        <v>18</v>
      </c>
      <c r="E330" s="2">
        <v>5100</v>
      </c>
      <c r="F330" s="2" t="s">
        <v>56</v>
      </c>
      <c r="G330" s="2" t="s">
        <v>1025</v>
      </c>
      <c r="H330" s="4">
        <v>-1137.26</v>
      </c>
      <c r="I330" s="4">
        <v>-1137.26</v>
      </c>
      <c r="J330" s="4">
        <v>-1137.26</v>
      </c>
      <c r="K330" s="4">
        <v>1137.26</v>
      </c>
      <c r="L330" s="4"/>
      <c r="M330" s="2" t="s">
        <v>1084</v>
      </c>
      <c r="N330" s="2" t="s">
        <v>10</v>
      </c>
      <c r="O330" s="2" t="s">
        <v>10</v>
      </c>
    </row>
    <row r="331" spans="1:15" hidden="1" x14ac:dyDescent="0.25">
      <c r="A331" s="2" t="s">
        <v>14</v>
      </c>
      <c r="B331" s="3">
        <v>45607</v>
      </c>
      <c r="C331" s="5">
        <v>45597</v>
      </c>
      <c r="D331" s="2" t="s">
        <v>13</v>
      </c>
      <c r="E331" s="2">
        <v>6400</v>
      </c>
      <c r="F331" s="2" t="s">
        <v>15</v>
      </c>
      <c r="G331" s="2" t="s">
        <v>1044</v>
      </c>
      <c r="H331" s="4">
        <v>-747.32</v>
      </c>
      <c r="I331" s="4">
        <v>-747.32</v>
      </c>
      <c r="J331" s="4">
        <v>-747.32</v>
      </c>
      <c r="K331" s="4">
        <v>747.32</v>
      </c>
      <c r="L331" s="4"/>
      <c r="M331" s="2" t="s">
        <v>1084</v>
      </c>
      <c r="N331" s="2" t="s">
        <v>10</v>
      </c>
      <c r="O331" s="2" t="s">
        <v>10</v>
      </c>
    </row>
    <row r="332" spans="1:15" hidden="1" x14ac:dyDescent="0.25">
      <c r="A332" s="2" t="s">
        <v>785</v>
      </c>
      <c r="B332" s="3">
        <v>45562</v>
      </c>
      <c r="C332" s="5">
        <v>45536</v>
      </c>
      <c r="D332" s="2" t="s">
        <v>13</v>
      </c>
      <c r="E332" s="2">
        <v>6400</v>
      </c>
      <c r="F332" s="2" t="s">
        <v>15</v>
      </c>
      <c r="G332" s="2" t="s">
        <v>1044</v>
      </c>
      <c r="H332" s="4">
        <v>-3200.57</v>
      </c>
      <c r="I332" s="4">
        <v>-3200.57</v>
      </c>
      <c r="J332" s="4">
        <v>-3200.57</v>
      </c>
      <c r="K332" s="4">
        <v>3200.57</v>
      </c>
      <c r="L332" s="4"/>
      <c r="M332" s="2" t="s">
        <v>1084</v>
      </c>
      <c r="N332" s="2" t="s">
        <v>10</v>
      </c>
      <c r="O332" s="2" t="s">
        <v>10</v>
      </c>
    </row>
    <row r="333" spans="1:15" hidden="1" x14ac:dyDescent="0.25">
      <c r="A333" s="2" t="s">
        <v>322</v>
      </c>
      <c r="B333" s="3">
        <v>45561</v>
      </c>
      <c r="C333" s="5">
        <v>45536</v>
      </c>
      <c r="D333" s="2" t="s">
        <v>59</v>
      </c>
      <c r="E333" s="2">
        <v>6200</v>
      </c>
      <c r="F333" s="2" t="s">
        <v>58</v>
      </c>
      <c r="G333" s="2" t="s">
        <v>1038</v>
      </c>
      <c r="H333" s="4">
        <v>-667.8</v>
      </c>
      <c r="I333" s="4">
        <v>-667.8</v>
      </c>
      <c r="J333" s="4">
        <v>-667.8</v>
      </c>
      <c r="K333" s="4">
        <v>667.8</v>
      </c>
      <c r="L333" s="4"/>
      <c r="M333" s="2" t="s">
        <v>1084</v>
      </c>
      <c r="N333" s="2" t="s">
        <v>10</v>
      </c>
      <c r="O333" s="2" t="s">
        <v>10</v>
      </c>
    </row>
    <row r="334" spans="1:15" hidden="1" x14ac:dyDescent="0.25">
      <c r="A334" s="2" t="s">
        <v>893</v>
      </c>
      <c r="B334" s="3">
        <v>45435</v>
      </c>
      <c r="C334" s="5">
        <v>45413</v>
      </c>
      <c r="D334" s="2" t="s">
        <v>59</v>
      </c>
      <c r="E334" s="2">
        <v>6200</v>
      </c>
      <c r="F334" s="2" t="s">
        <v>58</v>
      </c>
      <c r="G334" s="2" t="s">
        <v>1038</v>
      </c>
      <c r="H334" s="4">
        <v>-282.14999999999998</v>
      </c>
      <c r="I334" s="4">
        <v>-282.14999999999998</v>
      </c>
      <c r="J334" s="4">
        <v>-282.14999999999998</v>
      </c>
      <c r="K334" s="4">
        <v>282.14999999999998</v>
      </c>
      <c r="L334" s="4"/>
      <c r="M334" s="2" t="s">
        <v>1084</v>
      </c>
      <c r="N334" s="2" t="s">
        <v>10</v>
      </c>
      <c r="O334" s="2" t="s">
        <v>10</v>
      </c>
    </row>
    <row r="335" spans="1:15" hidden="1" x14ac:dyDescent="0.25">
      <c r="A335" s="2" t="s">
        <v>578</v>
      </c>
      <c r="B335" s="3">
        <v>45584</v>
      </c>
      <c r="C335" s="5">
        <v>45566</v>
      </c>
      <c r="D335" s="2" t="s">
        <v>28</v>
      </c>
      <c r="E335" s="2">
        <v>6900</v>
      </c>
      <c r="F335" s="2" t="s">
        <v>27</v>
      </c>
      <c r="G335" s="2" t="s">
        <v>1041</v>
      </c>
      <c r="H335" s="4">
        <v>-121.08</v>
      </c>
      <c r="I335" s="4">
        <v>-121.08</v>
      </c>
      <c r="J335" s="4">
        <v>-121.08</v>
      </c>
      <c r="K335" s="4">
        <v>121.08</v>
      </c>
      <c r="L335" s="4"/>
      <c r="M335" s="2" t="s">
        <v>1084</v>
      </c>
      <c r="N335" s="2" t="s">
        <v>10</v>
      </c>
      <c r="O335" s="2" t="s">
        <v>10</v>
      </c>
    </row>
    <row r="336" spans="1:15" hidden="1" x14ac:dyDescent="0.25">
      <c r="A336" s="2" t="s">
        <v>558</v>
      </c>
      <c r="B336" s="3">
        <v>45431</v>
      </c>
      <c r="C336" s="5">
        <v>45413</v>
      </c>
      <c r="D336" s="2" t="s">
        <v>24</v>
      </c>
      <c r="E336" s="2">
        <v>6300</v>
      </c>
      <c r="F336" s="2" t="s">
        <v>94</v>
      </c>
      <c r="G336" s="2" t="s">
        <v>1053</v>
      </c>
      <c r="H336" s="4">
        <v>-780.44</v>
      </c>
      <c r="I336" s="4">
        <v>-780.44</v>
      </c>
      <c r="J336" s="4">
        <v>-780.44</v>
      </c>
      <c r="K336" s="4">
        <v>780.44</v>
      </c>
      <c r="L336" s="4"/>
      <c r="M336" s="2" t="s">
        <v>1084</v>
      </c>
      <c r="N336" s="2" t="s">
        <v>10</v>
      </c>
      <c r="O336" s="2" t="s">
        <v>10</v>
      </c>
    </row>
    <row r="337" spans="1:15" hidden="1" x14ac:dyDescent="0.25">
      <c r="A337" s="2" t="s">
        <v>206</v>
      </c>
      <c r="B337" s="3">
        <v>45309</v>
      </c>
      <c r="C337" s="5">
        <v>45292</v>
      </c>
      <c r="D337" s="2" t="s">
        <v>28</v>
      </c>
      <c r="E337" s="2">
        <v>6900</v>
      </c>
      <c r="F337" s="2" t="s">
        <v>27</v>
      </c>
      <c r="G337" s="2" t="s">
        <v>1041</v>
      </c>
      <c r="H337" s="4">
        <v>-142.58000000000001</v>
      </c>
      <c r="I337" s="4">
        <v>-142.58000000000001</v>
      </c>
      <c r="J337" s="4">
        <v>-142.58000000000001</v>
      </c>
      <c r="K337" s="4">
        <v>142.58000000000001</v>
      </c>
      <c r="L337" s="4"/>
      <c r="M337" s="2" t="s">
        <v>1084</v>
      </c>
      <c r="N337" s="2" t="s">
        <v>10</v>
      </c>
      <c r="O337" s="2" t="s">
        <v>10</v>
      </c>
    </row>
    <row r="338" spans="1:15" hidden="1" x14ac:dyDescent="0.25">
      <c r="A338" s="2" t="s">
        <v>954</v>
      </c>
      <c r="B338" s="3">
        <v>45623</v>
      </c>
      <c r="C338" s="5">
        <v>45597</v>
      </c>
      <c r="D338" s="2" t="s">
        <v>31</v>
      </c>
      <c r="E338" s="2">
        <v>4900</v>
      </c>
      <c r="F338" s="2" t="s">
        <v>30</v>
      </c>
      <c r="G338" s="2" t="s">
        <v>1024</v>
      </c>
      <c r="H338" s="4">
        <v>40.78</v>
      </c>
      <c r="I338" s="4">
        <v>40.78</v>
      </c>
      <c r="J338" s="4">
        <v>40.78</v>
      </c>
      <c r="K338" s="4">
        <v>40.78</v>
      </c>
      <c r="L338" s="4"/>
      <c r="M338" s="2" t="s">
        <v>1084</v>
      </c>
      <c r="N338" s="2" t="s">
        <v>10</v>
      </c>
      <c r="O338" s="2" t="s">
        <v>10</v>
      </c>
    </row>
    <row r="339" spans="1:15" hidden="1" x14ac:dyDescent="0.25">
      <c r="A339" s="2" t="s">
        <v>642</v>
      </c>
      <c r="B339" s="3">
        <v>45377</v>
      </c>
      <c r="C339" s="5">
        <v>45352</v>
      </c>
      <c r="D339" s="2" t="s">
        <v>59</v>
      </c>
      <c r="E339" s="2">
        <v>6200</v>
      </c>
      <c r="F339" s="2" t="s">
        <v>58</v>
      </c>
      <c r="G339" s="2" t="s">
        <v>1038</v>
      </c>
      <c r="H339" s="4">
        <v>-309.82</v>
      </c>
      <c r="I339" s="4">
        <v>-309.82</v>
      </c>
      <c r="J339" s="4">
        <v>-309.82</v>
      </c>
      <c r="K339" s="4">
        <v>309.82</v>
      </c>
      <c r="L339" s="4"/>
      <c r="M339" s="2" t="s">
        <v>1084</v>
      </c>
      <c r="N339" s="2" t="s">
        <v>10</v>
      </c>
      <c r="O339" s="2" t="s">
        <v>10</v>
      </c>
    </row>
    <row r="340" spans="1:15" hidden="1" x14ac:dyDescent="0.25">
      <c r="A340" s="2" t="s">
        <v>867</v>
      </c>
      <c r="B340" s="3">
        <v>45329</v>
      </c>
      <c r="C340" s="5">
        <v>45323</v>
      </c>
      <c r="D340" s="2" t="s">
        <v>52</v>
      </c>
      <c r="E340" s="2">
        <v>6000</v>
      </c>
      <c r="F340" s="2" t="s">
        <v>51</v>
      </c>
      <c r="G340" s="2" t="s">
        <v>1033</v>
      </c>
      <c r="H340" s="4">
        <v>-11429.78</v>
      </c>
      <c r="I340" s="4">
        <v>-11429.78</v>
      </c>
      <c r="J340" s="4">
        <v>-11429.78</v>
      </c>
      <c r="K340" s="4">
        <v>11429.78</v>
      </c>
      <c r="L340" s="4"/>
      <c r="M340" s="2" t="s">
        <v>1084</v>
      </c>
      <c r="N340" s="2" t="s">
        <v>10</v>
      </c>
      <c r="O340" s="2" t="s">
        <v>10</v>
      </c>
    </row>
    <row r="341" spans="1:15" hidden="1" x14ac:dyDescent="0.25">
      <c r="A341" s="2" t="s">
        <v>340</v>
      </c>
      <c r="B341" s="3">
        <v>45518</v>
      </c>
      <c r="C341" s="5">
        <v>45505</v>
      </c>
      <c r="D341" s="2" t="s">
        <v>31</v>
      </c>
      <c r="E341" s="2">
        <v>4900</v>
      </c>
      <c r="F341" s="2" t="s">
        <v>79</v>
      </c>
      <c r="G341" s="2" t="s">
        <v>1026</v>
      </c>
      <c r="H341" s="4">
        <v>154.43</v>
      </c>
      <c r="I341" s="4">
        <v>154.43</v>
      </c>
      <c r="J341" s="4">
        <v>154.43</v>
      </c>
      <c r="K341" s="4">
        <v>154.43</v>
      </c>
      <c r="L341" s="4"/>
      <c r="M341" s="2" t="s">
        <v>1084</v>
      </c>
      <c r="N341" s="2" t="s">
        <v>10</v>
      </c>
      <c r="O341" s="2" t="s">
        <v>10</v>
      </c>
    </row>
    <row r="342" spans="1:15" hidden="1" x14ac:dyDescent="0.25">
      <c r="A342" s="2" t="s">
        <v>199</v>
      </c>
      <c r="B342" s="3">
        <v>45377</v>
      </c>
      <c r="C342" s="5">
        <v>45352</v>
      </c>
      <c r="D342" s="2" t="s">
        <v>9</v>
      </c>
      <c r="E342" s="2">
        <v>6100</v>
      </c>
      <c r="F342" s="2" t="s">
        <v>44</v>
      </c>
      <c r="G342" s="2" t="s">
        <v>1054</v>
      </c>
      <c r="H342" s="4">
        <v>-3610.48</v>
      </c>
      <c r="I342" s="4">
        <v>-3610.48</v>
      </c>
      <c r="J342" s="4">
        <v>-3610.48</v>
      </c>
      <c r="K342" s="4">
        <v>3610.48</v>
      </c>
      <c r="L342" s="4"/>
      <c r="M342" s="2" t="s">
        <v>1084</v>
      </c>
      <c r="N342" s="2" t="s">
        <v>10</v>
      </c>
      <c r="O342" s="2" t="s">
        <v>10</v>
      </c>
    </row>
    <row r="343" spans="1:15" hidden="1" x14ac:dyDescent="0.25">
      <c r="A343" s="2" t="s">
        <v>96</v>
      </c>
      <c r="B343" s="3">
        <v>45605</v>
      </c>
      <c r="C343" s="5">
        <v>45597</v>
      </c>
      <c r="D343" s="2" t="s">
        <v>52</v>
      </c>
      <c r="E343" s="2">
        <v>6000</v>
      </c>
      <c r="F343" s="2" t="s">
        <v>97</v>
      </c>
      <c r="G343" s="2" t="s">
        <v>1046</v>
      </c>
      <c r="H343" s="4">
        <v>-3419.49</v>
      </c>
      <c r="I343" s="4">
        <v>-3419.49</v>
      </c>
      <c r="J343" s="4">
        <v>-3419.49</v>
      </c>
      <c r="K343" s="4">
        <v>3419.49</v>
      </c>
      <c r="L343" s="4"/>
      <c r="M343" s="2" t="s">
        <v>1084</v>
      </c>
      <c r="N343" s="2" t="s">
        <v>10</v>
      </c>
      <c r="O343" s="2" t="s">
        <v>10</v>
      </c>
    </row>
    <row r="344" spans="1:15" hidden="1" x14ac:dyDescent="0.25">
      <c r="A344" s="2" t="s">
        <v>723</v>
      </c>
      <c r="B344" s="3">
        <v>45453</v>
      </c>
      <c r="C344" s="5">
        <v>45444</v>
      </c>
      <c r="D344" s="2" t="s">
        <v>9</v>
      </c>
      <c r="E344" s="2">
        <v>6100</v>
      </c>
      <c r="F344" s="2" t="s">
        <v>48</v>
      </c>
      <c r="G344" s="2" t="s">
        <v>1043</v>
      </c>
      <c r="H344" s="4">
        <v>-4196.6000000000004</v>
      </c>
      <c r="I344" s="4">
        <v>-4196.6000000000004</v>
      </c>
      <c r="J344" s="4">
        <v>-4196.6000000000004</v>
      </c>
      <c r="K344" s="4">
        <v>4196.6000000000004</v>
      </c>
      <c r="L344" s="4"/>
      <c r="M344" s="2" t="s">
        <v>1084</v>
      </c>
      <c r="N344" s="2" t="s">
        <v>10</v>
      </c>
      <c r="O344" s="2" t="s">
        <v>10</v>
      </c>
    </row>
    <row r="345" spans="1:15" hidden="1" x14ac:dyDescent="0.25">
      <c r="A345" s="2" t="s">
        <v>609</v>
      </c>
      <c r="B345" s="3">
        <v>45293</v>
      </c>
      <c r="C345" s="5">
        <v>45292</v>
      </c>
      <c r="D345" s="2" t="s">
        <v>13</v>
      </c>
      <c r="E345" s="2">
        <v>6400</v>
      </c>
      <c r="F345" s="2" t="s">
        <v>15</v>
      </c>
      <c r="G345" s="2" t="s">
        <v>1044</v>
      </c>
      <c r="H345" s="4">
        <v>-2381.16</v>
      </c>
      <c r="I345" s="4">
        <v>-2381.16</v>
      </c>
      <c r="J345" s="4">
        <v>-2381.16</v>
      </c>
      <c r="K345" s="4">
        <v>2381.16</v>
      </c>
      <c r="L345" s="4"/>
      <c r="M345" s="2" t="s">
        <v>1084</v>
      </c>
      <c r="N345" s="2" t="s">
        <v>10</v>
      </c>
      <c r="O345" s="2" t="s">
        <v>10</v>
      </c>
    </row>
    <row r="346" spans="1:15" hidden="1" x14ac:dyDescent="0.25">
      <c r="A346" s="2" t="s">
        <v>447</v>
      </c>
      <c r="B346" s="3">
        <v>45639</v>
      </c>
      <c r="C346" s="5">
        <v>45627</v>
      </c>
      <c r="D346" s="2" t="s">
        <v>31</v>
      </c>
      <c r="E346" s="2">
        <v>4900</v>
      </c>
      <c r="F346" s="2" t="s">
        <v>30</v>
      </c>
      <c r="G346" s="2" t="s">
        <v>1024</v>
      </c>
      <c r="H346" s="4">
        <v>95.32</v>
      </c>
      <c r="I346" s="4">
        <v>95.32</v>
      </c>
      <c r="J346" s="4">
        <v>95.32</v>
      </c>
      <c r="K346" s="4">
        <v>95.32</v>
      </c>
      <c r="L346" s="4"/>
      <c r="M346" s="2" t="s">
        <v>1084</v>
      </c>
      <c r="N346" s="2" t="s">
        <v>10</v>
      </c>
      <c r="O346" s="2" t="s">
        <v>10</v>
      </c>
    </row>
    <row r="347" spans="1:15" hidden="1" x14ac:dyDescent="0.25">
      <c r="A347" s="2" t="s">
        <v>193</v>
      </c>
      <c r="B347" s="3">
        <v>45479</v>
      </c>
      <c r="C347" s="5">
        <v>45474</v>
      </c>
      <c r="D347" s="2" t="s">
        <v>52</v>
      </c>
      <c r="E347" s="2">
        <v>6000</v>
      </c>
      <c r="F347" s="2" t="s">
        <v>51</v>
      </c>
      <c r="G347" s="2" t="s">
        <v>1033</v>
      </c>
      <c r="H347" s="4">
        <v>-9080.02</v>
      </c>
      <c r="I347" s="4">
        <v>-9080.02</v>
      </c>
      <c r="J347" s="4">
        <v>-9080.02</v>
      </c>
      <c r="K347" s="4">
        <v>9080.02</v>
      </c>
      <c r="L347" s="4"/>
      <c r="M347" s="2" t="s">
        <v>1084</v>
      </c>
      <c r="N347" s="2" t="s">
        <v>10</v>
      </c>
      <c r="O347" s="2" t="s">
        <v>10</v>
      </c>
    </row>
    <row r="348" spans="1:15" hidden="1" x14ac:dyDescent="0.25">
      <c r="A348" s="2" t="s">
        <v>498</v>
      </c>
      <c r="B348" s="3">
        <v>45387</v>
      </c>
      <c r="C348" s="5">
        <v>45383</v>
      </c>
      <c r="D348" s="2" t="s">
        <v>31</v>
      </c>
      <c r="E348" s="2">
        <v>4900</v>
      </c>
      <c r="F348" s="2" t="s">
        <v>146</v>
      </c>
      <c r="G348" s="2" t="s">
        <v>1031</v>
      </c>
      <c r="H348" s="4">
        <v>374.98</v>
      </c>
      <c r="I348" s="4">
        <v>374.98</v>
      </c>
      <c r="J348" s="4">
        <v>374.98</v>
      </c>
      <c r="K348" s="4">
        <v>374.98</v>
      </c>
      <c r="L348" s="4"/>
      <c r="M348" s="2" t="s">
        <v>1084</v>
      </c>
      <c r="N348" s="2" t="s">
        <v>10</v>
      </c>
      <c r="O348" s="2" t="s">
        <v>10</v>
      </c>
    </row>
    <row r="349" spans="1:15" hidden="1" x14ac:dyDescent="0.25">
      <c r="A349" s="2" t="s">
        <v>300</v>
      </c>
      <c r="B349" s="3">
        <v>45539</v>
      </c>
      <c r="C349" s="5">
        <v>45536</v>
      </c>
      <c r="D349" s="2" t="s">
        <v>31</v>
      </c>
      <c r="E349" s="2">
        <v>4900</v>
      </c>
      <c r="F349" s="2" t="s">
        <v>30</v>
      </c>
      <c r="G349" s="2" t="s">
        <v>1024</v>
      </c>
      <c r="H349" s="4">
        <v>79.22</v>
      </c>
      <c r="I349" s="4">
        <v>79.22</v>
      </c>
      <c r="J349" s="4">
        <v>79.22</v>
      </c>
      <c r="K349" s="4">
        <v>79.22</v>
      </c>
      <c r="L349" s="4"/>
      <c r="M349" s="2" t="s">
        <v>1084</v>
      </c>
      <c r="N349" s="2" t="s">
        <v>10</v>
      </c>
      <c r="O349" s="2" t="s">
        <v>10</v>
      </c>
    </row>
    <row r="350" spans="1:15" hidden="1" x14ac:dyDescent="0.25">
      <c r="A350" s="2" t="s">
        <v>918</v>
      </c>
      <c r="B350" s="3">
        <v>45485</v>
      </c>
      <c r="C350" s="5">
        <v>45474</v>
      </c>
      <c r="D350" s="2" t="s">
        <v>18</v>
      </c>
      <c r="E350" s="2">
        <v>5100</v>
      </c>
      <c r="F350" s="2" t="s">
        <v>81</v>
      </c>
      <c r="G350" s="2" t="s">
        <v>1039</v>
      </c>
      <c r="H350" s="4">
        <v>-7565.19</v>
      </c>
      <c r="I350" s="4">
        <v>-7565.19</v>
      </c>
      <c r="J350" s="4">
        <v>-7565.19</v>
      </c>
      <c r="K350" s="4">
        <v>7565.19</v>
      </c>
      <c r="L350" s="4"/>
      <c r="M350" s="2" t="s">
        <v>1084</v>
      </c>
      <c r="N350" s="2" t="s">
        <v>10</v>
      </c>
      <c r="O350" s="2" t="s">
        <v>10</v>
      </c>
    </row>
    <row r="351" spans="1:15" hidden="1" x14ac:dyDescent="0.25">
      <c r="A351" s="2" t="s">
        <v>16</v>
      </c>
      <c r="B351" s="3">
        <v>45302</v>
      </c>
      <c r="C351" s="5">
        <v>45292</v>
      </c>
      <c r="D351" s="2" t="s">
        <v>18</v>
      </c>
      <c r="E351" s="2">
        <v>5100</v>
      </c>
      <c r="F351" s="2" t="s">
        <v>17</v>
      </c>
      <c r="G351" s="2" t="s">
        <v>1037</v>
      </c>
      <c r="H351" s="4">
        <v>-7889.33</v>
      </c>
      <c r="I351" s="4">
        <v>-7889.33</v>
      </c>
      <c r="J351" s="4">
        <v>-7889.33</v>
      </c>
      <c r="K351" s="4">
        <v>7889.33</v>
      </c>
      <c r="L351" s="4"/>
      <c r="M351" s="2" t="s">
        <v>1084</v>
      </c>
      <c r="N351" s="2" t="s">
        <v>10</v>
      </c>
      <c r="O351" s="2" t="s">
        <v>10</v>
      </c>
    </row>
    <row r="352" spans="1:15" hidden="1" x14ac:dyDescent="0.25">
      <c r="A352" s="2" t="s">
        <v>418</v>
      </c>
      <c r="B352" s="3">
        <v>45569</v>
      </c>
      <c r="C352" s="5">
        <v>45566</v>
      </c>
      <c r="D352" s="2" t="s">
        <v>13</v>
      </c>
      <c r="E352" s="2">
        <v>6400</v>
      </c>
      <c r="F352" s="2" t="s">
        <v>15</v>
      </c>
      <c r="G352" s="2" t="s">
        <v>1044</v>
      </c>
      <c r="H352" s="4">
        <v>-1573.4</v>
      </c>
      <c r="I352" s="4">
        <v>-1573.4</v>
      </c>
      <c r="J352" s="4">
        <v>-1573.4</v>
      </c>
      <c r="K352" s="4">
        <v>1573.4</v>
      </c>
      <c r="L352" s="4"/>
      <c r="M352" s="2" t="s">
        <v>1084</v>
      </c>
      <c r="N352" s="2" t="s">
        <v>10</v>
      </c>
      <c r="O352" s="2" t="s">
        <v>10</v>
      </c>
    </row>
    <row r="353" spans="1:15" hidden="1" x14ac:dyDescent="0.25">
      <c r="A353" s="2" t="s">
        <v>654</v>
      </c>
      <c r="B353" s="3">
        <v>45438</v>
      </c>
      <c r="C353" s="5">
        <v>45413</v>
      </c>
      <c r="D353" s="2" t="s">
        <v>35</v>
      </c>
      <c r="E353" s="2">
        <v>4000</v>
      </c>
      <c r="F353" s="2" t="s">
        <v>34</v>
      </c>
      <c r="G353" s="2" t="s">
        <v>1027</v>
      </c>
      <c r="H353" s="4">
        <v>24872.959999999999</v>
      </c>
      <c r="I353" s="4">
        <v>24872.959999999999</v>
      </c>
      <c r="J353" s="4">
        <v>24872.959999999999</v>
      </c>
      <c r="K353" s="4">
        <v>24872.959999999999</v>
      </c>
      <c r="L353" s="4"/>
      <c r="M353" s="2" t="s">
        <v>1084</v>
      </c>
      <c r="N353" s="2" t="s">
        <v>10</v>
      </c>
      <c r="O353" s="2" t="s">
        <v>10</v>
      </c>
    </row>
    <row r="354" spans="1:15" hidden="1" x14ac:dyDescent="0.25">
      <c r="A354" s="2" t="s">
        <v>574</v>
      </c>
      <c r="B354" s="3">
        <v>45547</v>
      </c>
      <c r="C354" s="5">
        <v>45536</v>
      </c>
      <c r="D354" s="2" t="s">
        <v>52</v>
      </c>
      <c r="E354" s="2">
        <v>6000</v>
      </c>
      <c r="F354" s="2" t="s">
        <v>63</v>
      </c>
      <c r="G354" s="2" t="s">
        <v>1051</v>
      </c>
      <c r="H354" s="4">
        <v>-6518.44</v>
      </c>
      <c r="I354" s="4">
        <v>-6518.44</v>
      </c>
      <c r="J354" s="4">
        <v>-6518.44</v>
      </c>
      <c r="K354" s="4">
        <v>6518.44</v>
      </c>
      <c r="L354" s="4"/>
      <c r="M354" s="2" t="s">
        <v>1084</v>
      </c>
      <c r="N354" s="2" t="s">
        <v>10</v>
      </c>
      <c r="O354" s="2" t="s">
        <v>10</v>
      </c>
    </row>
    <row r="355" spans="1:15" hidden="1" x14ac:dyDescent="0.25">
      <c r="A355" s="2" t="s">
        <v>526</v>
      </c>
      <c r="B355" s="3">
        <v>45618</v>
      </c>
      <c r="C355" s="5">
        <v>45597</v>
      </c>
      <c r="D355" s="2" t="s">
        <v>24</v>
      </c>
      <c r="E355" s="2">
        <v>6300</v>
      </c>
      <c r="F355" s="2" t="s">
        <v>127</v>
      </c>
      <c r="G355" s="2" t="s">
        <v>1035</v>
      </c>
      <c r="H355" s="4">
        <v>-391.15</v>
      </c>
      <c r="I355" s="4">
        <v>-391.15</v>
      </c>
      <c r="J355" s="4">
        <v>-391.15</v>
      </c>
      <c r="K355" s="4">
        <v>391.15</v>
      </c>
      <c r="L355" s="4"/>
      <c r="M355" s="2" t="s">
        <v>1084</v>
      </c>
      <c r="N355" s="2" t="s">
        <v>10</v>
      </c>
      <c r="O355" s="2" t="s">
        <v>10</v>
      </c>
    </row>
    <row r="356" spans="1:15" hidden="1" x14ac:dyDescent="0.25">
      <c r="A356" s="2" t="s">
        <v>398</v>
      </c>
      <c r="B356" s="3">
        <v>45514</v>
      </c>
      <c r="C356" s="5">
        <v>45505</v>
      </c>
      <c r="D356" s="2" t="s">
        <v>31</v>
      </c>
      <c r="E356" s="2">
        <v>4900</v>
      </c>
      <c r="F356" s="2" t="s">
        <v>146</v>
      </c>
      <c r="G356" s="2" t="s">
        <v>1031</v>
      </c>
      <c r="H356" s="4">
        <v>239.22</v>
      </c>
      <c r="I356" s="4">
        <v>239.22</v>
      </c>
      <c r="J356" s="4">
        <v>239.22</v>
      </c>
      <c r="K356" s="4">
        <v>239.22</v>
      </c>
      <c r="L356" s="4"/>
      <c r="M356" s="2" t="s">
        <v>1084</v>
      </c>
      <c r="N356" s="2" t="s">
        <v>10</v>
      </c>
      <c r="O356" s="2" t="s">
        <v>10</v>
      </c>
    </row>
    <row r="357" spans="1:15" hidden="1" x14ac:dyDescent="0.25">
      <c r="A357" s="2" t="s">
        <v>402</v>
      </c>
      <c r="B357" s="3">
        <v>45537</v>
      </c>
      <c r="C357" s="5">
        <v>45536</v>
      </c>
      <c r="D357" s="2" t="s">
        <v>31</v>
      </c>
      <c r="E357" s="2">
        <v>4900</v>
      </c>
      <c r="F357" s="2" t="s">
        <v>30</v>
      </c>
      <c r="G357" s="2" t="s">
        <v>1024</v>
      </c>
      <c r="H357" s="4">
        <v>95.05</v>
      </c>
      <c r="I357" s="4">
        <v>95.05</v>
      </c>
      <c r="J357" s="4">
        <v>95.05</v>
      </c>
      <c r="K357" s="4">
        <v>95.05</v>
      </c>
      <c r="L357" s="4"/>
      <c r="M357" s="2" t="s">
        <v>1084</v>
      </c>
      <c r="N357" s="2" t="s">
        <v>10</v>
      </c>
      <c r="O357" s="2" t="s">
        <v>10</v>
      </c>
    </row>
    <row r="358" spans="1:15" hidden="1" x14ac:dyDescent="0.25">
      <c r="A358" s="2" t="s">
        <v>933</v>
      </c>
      <c r="B358" s="3">
        <v>45384</v>
      </c>
      <c r="C358" s="5">
        <v>45383</v>
      </c>
      <c r="D358" s="2" t="s">
        <v>18</v>
      </c>
      <c r="E358" s="2">
        <v>5100</v>
      </c>
      <c r="F358" s="2" t="s">
        <v>81</v>
      </c>
      <c r="G358" s="2" t="s">
        <v>1039</v>
      </c>
      <c r="H358" s="4">
        <v>-952.34</v>
      </c>
      <c r="I358" s="4">
        <v>-952.34</v>
      </c>
      <c r="J358" s="4">
        <v>-952.34</v>
      </c>
      <c r="K358" s="4">
        <v>952.34</v>
      </c>
      <c r="L358" s="4"/>
      <c r="M358" s="2" t="s">
        <v>1084</v>
      </c>
      <c r="N358" s="2" t="s">
        <v>10</v>
      </c>
      <c r="O358" s="2" t="s">
        <v>10</v>
      </c>
    </row>
    <row r="359" spans="1:15" hidden="1" x14ac:dyDescent="0.25">
      <c r="A359" s="2" t="s">
        <v>1003</v>
      </c>
      <c r="B359" s="3">
        <v>45378</v>
      </c>
      <c r="C359" s="5">
        <v>45352</v>
      </c>
      <c r="D359" s="2" t="s">
        <v>28</v>
      </c>
      <c r="E359" s="2">
        <v>6900</v>
      </c>
      <c r="F359" s="2" t="s">
        <v>27</v>
      </c>
      <c r="G359" s="2" t="s">
        <v>1041</v>
      </c>
      <c r="H359" s="4">
        <v>-147.30000000000001</v>
      </c>
      <c r="I359" s="4">
        <v>-147.30000000000001</v>
      </c>
      <c r="J359" s="4">
        <v>-147.30000000000001</v>
      </c>
      <c r="K359" s="4">
        <v>147.30000000000001</v>
      </c>
      <c r="L359" s="4"/>
      <c r="M359" s="2" t="s">
        <v>1084</v>
      </c>
      <c r="N359" s="2" t="s">
        <v>10</v>
      </c>
      <c r="O359" s="2" t="s">
        <v>10</v>
      </c>
    </row>
    <row r="360" spans="1:15" hidden="1" x14ac:dyDescent="0.25">
      <c r="A360" s="2" t="s">
        <v>556</v>
      </c>
      <c r="B360" s="3">
        <v>45443</v>
      </c>
      <c r="C360" s="5">
        <v>45413</v>
      </c>
      <c r="D360" s="2" t="s">
        <v>35</v>
      </c>
      <c r="E360" s="2">
        <v>4000</v>
      </c>
      <c r="F360" s="2" t="s">
        <v>103</v>
      </c>
      <c r="G360" s="2" t="s">
        <v>1049</v>
      </c>
      <c r="H360" s="4">
        <v>22470.51</v>
      </c>
      <c r="I360" s="4">
        <v>22470.51</v>
      </c>
      <c r="J360" s="4">
        <v>22470.51</v>
      </c>
      <c r="K360" s="4">
        <v>22470.51</v>
      </c>
      <c r="L360" s="4"/>
      <c r="M360" s="2" t="s">
        <v>1084</v>
      </c>
      <c r="N360" s="2" t="s">
        <v>10</v>
      </c>
      <c r="O360" s="2" t="s">
        <v>10</v>
      </c>
    </row>
    <row r="361" spans="1:15" hidden="1" x14ac:dyDescent="0.25">
      <c r="A361" s="2" t="s">
        <v>516</v>
      </c>
      <c r="B361" s="3">
        <v>45603</v>
      </c>
      <c r="C361" s="5">
        <v>45597</v>
      </c>
      <c r="D361" s="2" t="s">
        <v>39</v>
      </c>
      <c r="E361" s="2">
        <v>6500</v>
      </c>
      <c r="F361" s="2" t="s">
        <v>42</v>
      </c>
      <c r="G361" s="2" t="s">
        <v>1036</v>
      </c>
      <c r="H361" s="4">
        <v>-3883.16</v>
      </c>
      <c r="I361" s="4">
        <v>-3883.16</v>
      </c>
      <c r="J361" s="4">
        <v>-3883.16</v>
      </c>
      <c r="K361" s="4">
        <v>3883.16</v>
      </c>
      <c r="L361" s="4"/>
      <c r="M361" s="2" t="s">
        <v>1084</v>
      </c>
      <c r="N361" s="2" t="s">
        <v>10</v>
      </c>
      <c r="O361" s="2" t="s">
        <v>10</v>
      </c>
    </row>
    <row r="362" spans="1:15" hidden="1" x14ac:dyDescent="0.25">
      <c r="A362" s="2" t="s">
        <v>626</v>
      </c>
      <c r="B362" s="3">
        <v>45483</v>
      </c>
      <c r="C362" s="5">
        <v>45474</v>
      </c>
      <c r="D362" s="2" t="s">
        <v>28</v>
      </c>
      <c r="E362" s="2">
        <v>6900</v>
      </c>
      <c r="F362" s="2" t="s">
        <v>195</v>
      </c>
      <c r="G362" s="2" t="s">
        <v>1048</v>
      </c>
      <c r="H362" s="4">
        <v>-124.22</v>
      </c>
      <c r="I362" s="4">
        <v>-124.22</v>
      </c>
      <c r="J362" s="4">
        <v>-124.22</v>
      </c>
      <c r="K362" s="4">
        <v>124.22</v>
      </c>
      <c r="L362" s="4"/>
      <c r="M362" s="2" t="s">
        <v>1084</v>
      </c>
      <c r="N362" s="2" t="s">
        <v>10</v>
      </c>
      <c r="O362" s="2" t="s">
        <v>10</v>
      </c>
    </row>
    <row r="363" spans="1:15" hidden="1" x14ac:dyDescent="0.25">
      <c r="A363" s="2" t="s">
        <v>540</v>
      </c>
      <c r="B363" s="3">
        <v>45419</v>
      </c>
      <c r="C363" s="5">
        <v>45413</v>
      </c>
      <c r="D363" s="2" t="s">
        <v>28</v>
      </c>
      <c r="E363" s="2">
        <v>6900</v>
      </c>
      <c r="F363" s="2" t="s">
        <v>76</v>
      </c>
      <c r="G363" s="2" t="s">
        <v>1047</v>
      </c>
      <c r="H363" s="4">
        <v>-98.99</v>
      </c>
      <c r="I363" s="4">
        <v>-98.99</v>
      </c>
      <c r="J363" s="4">
        <v>-98.99</v>
      </c>
      <c r="K363" s="4">
        <v>98.99</v>
      </c>
      <c r="L363" s="4"/>
      <c r="M363" s="2" t="s">
        <v>1084</v>
      </c>
      <c r="N363" s="2" t="s">
        <v>10</v>
      </c>
      <c r="O363" s="2" t="s">
        <v>10</v>
      </c>
    </row>
    <row r="364" spans="1:15" hidden="1" x14ac:dyDescent="0.25">
      <c r="A364" s="2" t="s">
        <v>650</v>
      </c>
      <c r="B364" s="3">
        <v>45576</v>
      </c>
      <c r="C364" s="5">
        <v>45566</v>
      </c>
      <c r="D364" s="2" t="s">
        <v>52</v>
      </c>
      <c r="E364" s="2">
        <v>6000</v>
      </c>
      <c r="F364" s="2" t="s">
        <v>97</v>
      </c>
      <c r="G364" s="2" t="s">
        <v>1046</v>
      </c>
      <c r="H364" s="4">
        <v>-5995.78</v>
      </c>
      <c r="I364" s="4">
        <v>-5995.78</v>
      </c>
      <c r="J364" s="4">
        <v>-5995.78</v>
      </c>
      <c r="K364" s="4">
        <v>5995.78</v>
      </c>
      <c r="L364" s="4"/>
      <c r="M364" s="2" t="s">
        <v>1084</v>
      </c>
      <c r="N364" s="2" t="s">
        <v>10</v>
      </c>
      <c r="O364" s="2" t="s">
        <v>10</v>
      </c>
    </row>
    <row r="365" spans="1:15" hidden="1" x14ac:dyDescent="0.25">
      <c r="A365" s="2" t="s">
        <v>431</v>
      </c>
      <c r="B365" s="3">
        <v>45603</v>
      </c>
      <c r="C365" s="5">
        <v>45597</v>
      </c>
      <c r="D365" s="2" t="s">
        <v>28</v>
      </c>
      <c r="E365" s="2">
        <v>6900</v>
      </c>
      <c r="F365" s="2" t="s">
        <v>195</v>
      </c>
      <c r="G365" s="2" t="s">
        <v>1048</v>
      </c>
      <c r="H365" s="4">
        <v>-97.5</v>
      </c>
      <c r="I365" s="4">
        <v>-97.5</v>
      </c>
      <c r="J365" s="4">
        <v>-97.5</v>
      </c>
      <c r="K365" s="4">
        <v>97.5</v>
      </c>
      <c r="L365" s="4"/>
      <c r="M365" s="2" t="s">
        <v>1084</v>
      </c>
      <c r="N365" s="2" t="s">
        <v>10</v>
      </c>
      <c r="O365" s="2" t="s">
        <v>10</v>
      </c>
    </row>
    <row r="366" spans="1:15" hidden="1" x14ac:dyDescent="0.25">
      <c r="A366" s="2" t="s">
        <v>323</v>
      </c>
      <c r="B366" s="3">
        <v>45621</v>
      </c>
      <c r="C366" s="5">
        <v>45597</v>
      </c>
      <c r="D366" s="2" t="s">
        <v>18</v>
      </c>
      <c r="E366" s="2">
        <v>5100</v>
      </c>
      <c r="F366" s="2" t="s">
        <v>17</v>
      </c>
      <c r="G366" s="2" t="s">
        <v>1037</v>
      </c>
      <c r="H366" s="4">
        <v>-9539.77</v>
      </c>
      <c r="I366" s="4">
        <v>-9539.77</v>
      </c>
      <c r="J366" s="4">
        <v>-9539.77</v>
      </c>
      <c r="K366" s="4">
        <v>9539.77</v>
      </c>
      <c r="L366" s="4"/>
      <c r="M366" s="2" t="s">
        <v>1084</v>
      </c>
      <c r="N366" s="2" t="s">
        <v>10</v>
      </c>
      <c r="O366" s="2" t="s">
        <v>10</v>
      </c>
    </row>
    <row r="367" spans="1:15" hidden="1" x14ac:dyDescent="0.25">
      <c r="A367" s="2" t="s">
        <v>651</v>
      </c>
      <c r="B367" s="3">
        <v>45401</v>
      </c>
      <c r="C367" s="5">
        <v>45383</v>
      </c>
      <c r="D367" s="2" t="s">
        <v>13</v>
      </c>
      <c r="E367" s="2">
        <v>6400</v>
      </c>
      <c r="F367" s="2" t="s">
        <v>12</v>
      </c>
      <c r="G367" s="2" t="s">
        <v>1032</v>
      </c>
      <c r="H367" s="4">
        <v>-1269.04</v>
      </c>
      <c r="I367" s="4">
        <v>-1269.04</v>
      </c>
      <c r="J367" s="4">
        <v>-1269.04</v>
      </c>
      <c r="K367" s="4">
        <v>1269.04</v>
      </c>
      <c r="L367" s="4"/>
      <c r="M367" s="2" t="s">
        <v>1084</v>
      </c>
      <c r="N367" s="2" t="s">
        <v>10</v>
      </c>
      <c r="O367" s="2" t="s">
        <v>10</v>
      </c>
    </row>
    <row r="368" spans="1:15" hidden="1" x14ac:dyDescent="0.25">
      <c r="A368" s="2" t="s">
        <v>395</v>
      </c>
      <c r="B368" s="3">
        <v>45551</v>
      </c>
      <c r="C368" s="5">
        <v>45536</v>
      </c>
      <c r="D368" s="2" t="s">
        <v>24</v>
      </c>
      <c r="E368" s="2">
        <v>6300</v>
      </c>
      <c r="F368" s="2" t="s">
        <v>127</v>
      </c>
      <c r="G368" s="2" t="s">
        <v>1035</v>
      </c>
      <c r="H368" s="4">
        <v>-611.23</v>
      </c>
      <c r="I368" s="4">
        <v>-611.23</v>
      </c>
      <c r="J368" s="4">
        <v>-611.23</v>
      </c>
      <c r="K368" s="4">
        <v>611.23</v>
      </c>
      <c r="L368" s="4"/>
      <c r="M368" s="2" t="s">
        <v>1084</v>
      </c>
      <c r="N368" s="2" t="s">
        <v>10</v>
      </c>
      <c r="O368" s="2" t="s">
        <v>10</v>
      </c>
    </row>
    <row r="369" spans="1:15" hidden="1" x14ac:dyDescent="0.25">
      <c r="A369" s="2" t="s">
        <v>945</v>
      </c>
      <c r="B369" s="3">
        <v>45507</v>
      </c>
      <c r="C369" s="5">
        <v>45505</v>
      </c>
      <c r="D369" s="2" t="s">
        <v>59</v>
      </c>
      <c r="E369" s="2">
        <v>6200</v>
      </c>
      <c r="F369" s="2" t="s">
        <v>58</v>
      </c>
      <c r="G369" s="2" t="s">
        <v>1038</v>
      </c>
      <c r="H369" s="4">
        <v>-1154.68</v>
      </c>
      <c r="I369" s="4">
        <v>-1154.68</v>
      </c>
      <c r="J369" s="4">
        <v>-1154.68</v>
      </c>
      <c r="K369" s="4">
        <v>1154.68</v>
      </c>
      <c r="L369" s="4"/>
      <c r="M369" s="2" t="s">
        <v>1084</v>
      </c>
      <c r="N369" s="2" t="s">
        <v>10</v>
      </c>
      <c r="O369" s="2" t="s">
        <v>10</v>
      </c>
    </row>
    <row r="370" spans="1:15" hidden="1" x14ac:dyDescent="0.25">
      <c r="A370" s="2" t="s">
        <v>115</v>
      </c>
      <c r="B370" s="3">
        <v>45455</v>
      </c>
      <c r="C370" s="5">
        <v>45444</v>
      </c>
      <c r="D370" s="2" t="s">
        <v>35</v>
      </c>
      <c r="E370" s="2">
        <v>4000</v>
      </c>
      <c r="F370" s="2" t="s">
        <v>116</v>
      </c>
      <c r="G370" s="2" t="s">
        <v>1034</v>
      </c>
      <c r="H370" s="4">
        <v>10914.5</v>
      </c>
      <c r="I370" s="4">
        <v>10914.5</v>
      </c>
      <c r="J370" s="4">
        <v>10914.5</v>
      </c>
      <c r="K370" s="4">
        <v>10914.5</v>
      </c>
      <c r="L370" s="4"/>
      <c r="M370" s="2" t="s">
        <v>1084</v>
      </c>
      <c r="N370" s="2" t="s">
        <v>10</v>
      </c>
      <c r="O370" s="2" t="s">
        <v>10</v>
      </c>
    </row>
    <row r="371" spans="1:15" hidden="1" x14ac:dyDescent="0.25">
      <c r="A371" s="2" t="s">
        <v>910</v>
      </c>
      <c r="B371" s="3">
        <v>45436</v>
      </c>
      <c r="C371" s="5">
        <v>45413</v>
      </c>
      <c r="D371" s="2" t="s">
        <v>39</v>
      </c>
      <c r="E371" s="2">
        <v>6500</v>
      </c>
      <c r="F371" s="2" t="s">
        <v>42</v>
      </c>
      <c r="G371" s="2" t="s">
        <v>1036</v>
      </c>
      <c r="H371" s="4">
        <v>-6525.17</v>
      </c>
      <c r="I371" s="4">
        <v>-6525.17</v>
      </c>
      <c r="J371" s="4">
        <v>-6525.17</v>
      </c>
      <c r="K371" s="4">
        <v>6525.17</v>
      </c>
      <c r="L371" s="4"/>
      <c r="M371" s="2" t="s">
        <v>1084</v>
      </c>
      <c r="N371" s="2" t="s">
        <v>10</v>
      </c>
      <c r="O371" s="2" t="s">
        <v>10</v>
      </c>
    </row>
    <row r="372" spans="1:15" hidden="1" x14ac:dyDescent="0.25">
      <c r="A372" s="2" t="s">
        <v>120</v>
      </c>
      <c r="B372" s="3">
        <v>45333</v>
      </c>
      <c r="C372" s="5">
        <v>45323</v>
      </c>
      <c r="D372" s="2" t="s">
        <v>59</v>
      </c>
      <c r="E372" s="2">
        <v>6200</v>
      </c>
      <c r="F372" s="2" t="s">
        <v>58</v>
      </c>
      <c r="G372" s="2" t="s">
        <v>1038</v>
      </c>
      <c r="H372" s="4">
        <v>-897.06</v>
      </c>
      <c r="I372" s="4">
        <v>-897.06</v>
      </c>
      <c r="J372" s="4">
        <v>-897.06</v>
      </c>
      <c r="K372" s="4">
        <v>897.06</v>
      </c>
      <c r="L372" s="4"/>
      <c r="M372" s="2" t="s">
        <v>1084</v>
      </c>
      <c r="N372" s="2" t="s">
        <v>10</v>
      </c>
      <c r="O372" s="2" t="s">
        <v>10</v>
      </c>
    </row>
    <row r="373" spans="1:15" hidden="1" x14ac:dyDescent="0.25">
      <c r="A373" s="2" t="s">
        <v>438</v>
      </c>
      <c r="B373" s="3">
        <v>45392</v>
      </c>
      <c r="C373" s="5">
        <v>45383</v>
      </c>
      <c r="D373" s="2" t="s">
        <v>9</v>
      </c>
      <c r="E373" s="2">
        <v>6100</v>
      </c>
      <c r="F373" s="2" t="s">
        <v>48</v>
      </c>
      <c r="G373" s="2" t="s">
        <v>1043</v>
      </c>
      <c r="H373" s="4">
        <v>-3190.49</v>
      </c>
      <c r="I373" s="4">
        <v>-3190.49</v>
      </c>
      <c r="J373" s="4">
        <v>-3190.49</v>
      </c>
      <c r="K373" s="4">
        <v>3190.49</v>
      </c>
      <c r="L373" s="4"/>
      <c r="M373" s="2" t="s">
        <v>1084</v>
      </c>
      <c r="N373" s="2" t="s">
        <v>10</v>
      </c>
      <c r="O373" s="2" t="s">
        <v>10</v>
      </c>
    </row>
    <row r="374" spans="1:15" hidden="1" x14ac:dyDescent="0.25">
      <c r="A374" s="2" t="s">
        <v>177</v>
      </c>
      <c r="B374" s="3">
        <v>45492</v>
      </c>
      <c r="C374" s="5">
        <v>45474</v>
      </c>
      <c r="D374" s="2" t="s">
        <v>24</v>
      </c>
      <c r="E374" s="2">
        <v>6300</v>
      </c>
      <c r="F374" s="2" t="s">
        <v>127</v>
      </c>
      <c r="G374" s="2" t="s">
        <v>1035</v>
      </c>
      <c r="H374" s="4">
        <v>-675.78</v>
      </c>
      <c r="I374" s="4">
        <v>-675.78</v>
      </c>
      <c r="J374" s="4">
        <v>-675.78</v>
      </c>
      <c r="K374" s="4">
        <v>675.78</v>
      </c>
      <c r="L374" s="4"/>
      <c r="M374" s="2" t="s">
        <v>1084</v>
      </c>
      <c r="N374" s="2" t="s">
        <v>10</v>
      </c>
      <c r="O374" s="2" t="s">
        <v>10</v>
      </c>
    </row>
    <row r="375" spans="1:15" hidden="1" x14ac:dyDescent="0.25">
      <c r="A375" s="2" t="s">
        <v>582</v>
      </c>
      <c r="B375" s="3">
        <v>45615</v>
      </c>
      <c r="C375" s="5">
        <v>45597</v>
      </c>
      <c r="D375" s="2" t="s">
        <v>59</v>
      </c>
      <c r="E375" s="2">
        <v>6200</v>
      </c>
      <c r="F375" s="2" t="s">
        <v>71</v>
      </c>
      <c r="G375" s="2" t="s">
        <v>1050</v>
      </c>
      <c r="H375" s="4">
        <v>-200.83</v>
      </c>
      <c r="I375" s="4">
        <v>-200.83</v>
      </c>
      <c r="J375" s="4">
        <v>-200.83</v>
      </c>
      <c r="K375" s="4">
        <v>200.83</v>
      </c>
      <c r="L375" s="4"/>
      <c r="M375" s="2" t="s">
        <v>1084</v>
      </c>
      <c r="N375" s="2" t="s">
        <v>10</v>
      </c>
      <c r="O375" s="2" t="s">
        <v>10</v>
      </c>
    </row>
    <row r="376" spans="1:15" hidden="1" x14ac:dyDescent="0.25">
      <c r="A376" s="2" t="s">
        <v>274</v>
      </c>
      <c r="B376" s="3">
        <v>45608</v>
      </c>
      <c r="C376" s="5">
        <v>45597</v>
      </c>
      <c r="D376" s="2" t="s">
        <v>28</v>
      </c>
      <c r="E376" s="2">
        <v>6900</v>
      </c>
      <c r="F376" s="2" t="s">
        <v>27</v>
      </c>
      <c r="G376" s="2" t="s">
        <v>1041</v>
      </c>
      <c r="H376" s="4">
        <v>-95.89</v>
      </c>
      <c r="I376" s="4">
        <v>-95.89</v>
      </c>
      <c r="J376" s="4">
        <v>-95.89</v>
      </c>
      <c r="K376" s="4">
        <v>95.89</v>
      </c>
      <c r="L376" s="4"/>
      <c r="M376" s="2" t="s">
        <v>1084</v>
      </c>
      <c r="N376" s="2" t="s">
        <v>10</v>
      </c>
      <c r="O376" s="2" t="s">
        <v>10</v>
      </c>
    </row>
    <row r="377" spans="1:15" x14ac:dyDescent="0.25">
      <c r="A377" s="2" t="s">
        <v>425</v>
      </c>
      <c r="B377" s="3">
        <v>45360</v>
      </c>
      <c r="C377" s="5">
        <v>45352</v>
      </c>
      <c r="D377" s="2" t="s">
        <v>35</v>
      </c>
      <c r="E377" s="2">
        <v>4000</v>
      </c>
      <c r="F377" s="2" t="s">
        <v>103</v>
      </c>
      <c r="G377" s="2" t="s">
        <v>1049</v>
      </c>
      <c r="H377" s="4">
        <v>18808.11</v>
      </c>
      <c r="I377" s="4">
        <v>188081.1</v>
      </c>
      <c r="J377" s="4">
        <v>18808.11</v>
      </c>
      <c r="K377" s="4">
        <v>18808.11</v>
      </c>
      <c r="L377" s="4">
        <v>-169272.99</v>
      </c>
      <c r="M377" s="2" t="s">
        <v>1085</v>
      </c>
      <c r="N377" s="2" t="s">
        <v>123</v>
      </c>
      <c r="O377" s="2" t="s">
        <v>10</v>
      </c>
    </row>
    <row r="378" spans="1:15" hidden="1" x14ac:dyDescent="0.25">
      <c r="A378" s="2" t="s">
        <v>693</v>
      </c>
      <c r="B378" s="3">
        <v>45539</v>
      </c>
      <c r="C378" s="5">
        <v>45536</v>
      </c>
      <c r="D378" s="2" t="s">
        <v>39</v>
      </c>
      <c r="E378" s="2">
        <v>6500</v>
      </c>
      <c r="F378" s="2" t="s">
        <v>38</v>
      </c>
      <c r="G378" s="2" t="s">
        <v>1029</v>
      </c>
      <c r="H378" s="4">
        <v>-2289.8000000000002</v>
      </c>
      <c r="I378" s="4">
        <v>-2289.8000000000002</v>
      </c>
      <c r="J378" s="4">
        <v>-2289.8000000000002</v>
      </c>
      <c r="K378" s="4">
        <v>2289.8000000000002</v>
      </c>
      <c r="L378" s="4"/>
      <c r="M378" s="2" t="s">
        <v>1084</v>
      </c>
      <c r="N378" s="2" t="s">
        <v>10</v>
      </c>
      <c r="O378" s="2" t="s">
        <v>10</v>
      </c>
    </row>
    <row r="379" spans="1:15" hidden="1" x14ac:dyDescent="0.25">
      <c r="A379" s="2" t="s">
        <v>600</v>
      </c>
      <c r="B379" s="3">
        <v>45322</v>
      </c>
      <c r="C379" s="5">
        <v>45292</v>
      </c>
      <c r="D379" s="2" t="s">
        <v>39</v>
      </c>
      <c r="E379" s="2">
        <v>6500</v>
      </c>
      <c r="F379" s="2" t="s">
        <v>69</v>
      </c>
      <c r="G379" s="2" t="s">
        <v>1052</v>
      </c>
      <c r="H379" s="4">
        <v>-1019.19</v>
      </c>
      <c r="I379" s="4">
        <v>-1019.19</v>
      </c>
      <c r="J379" s="4">
        <v>-1019.19</v>
      </c>
      <c r="K379" s="4">
        <v>1019.19</v>
      </c>
      <c r="L379" s="4"/>
      <c r="M379" s="2" t="s">
        <v>1084</v>
      </c>
      <c r="N379" s="2" t="s">
        <v>10</v>
      </c>
      <c r="O379" s="2" t="s">
        <v>10</v>
      </c>
    </row>
    <row r="380" spans="1:15" hidden="1" x14ac:dyDescent="0.25">
      <c r="A380" s="2" t="s">
        <v>554</v>
      </c>
      <c r="B380" s="3">
        <v>45538</v>
      </c>
      <c r="C380" s="5">
        <v>45536</v>
      </c>
      <c r="D380" s="2" t="s">
        <v>59</v>
      </c>
      <c r="E380" s="2">
        <v>6200</v>
      </c>
      <c r="F380" s="2" t="s">
        <v>71</v>
      </c>
      <c r="G380" s="2" t="s">
        <v>1050</v>
      </c>
      <c r="H380" s="4">
        <v>-227.59</v>
      </c>
      <c r="I380" s="4">
        <v>-227.59</v>
      </c>
      <c r="J380" s="4">
        <v>-227.59</v>
      </c>
      <c r="K380" s="4">
        <v>227.59</v>
      </c>
      <c r="L380" s="4"/>
      <c r="M380" s="2" t="s">
        <v>1084</v>
      </c>
      <c r="N380" s="2" t="s">
        <v>10</v>
      </c>
      <c r="O380" s="2" t="s">
        <v>10</v>
      </c>
    </row>
    <row r="381" spans="1:15" hidden="1" x14ac:dyDescent="0.25">
      <c r="A381" s="2" t="s">
        <v>607</v>
      </c>
      <c r="B381" s="3">
        <v>45416</v>
      </c>
      <c r="C381" s="5">
        <v>45413</v>
      </c>
      <c r="D381" s="2" t="s">
        <v>52</v>
      </c>
      <c r="E381" s="2">
        <v>6000</v>
      </c>
      <c r="F381" s="2" t="s">
        <v>97</v>
      </c>
      <c r="G381" s="2" t="s">
        <v>1046</v>
      </c>
      <c r="H381" s="4">
        <v>-3575.5</v>
      </c>
      <c r="I381" s="4">
        <v>-3575.5</v>
      </c>
      <c r="J381" s="4">
        <v>-3575.5</v>
      </c>
      <c r="K381" s="4">
        <v>3575.5</v>
      </c>
      <c r="L381" s="4"/>
      <c r="M381" s="2" t="s">
        <v>1084</v>
      </c>
      <c r="N381" s="2" t="s">
        <v>10</v>
      </c>
      <c r="O381" s="2" t="s">
        <v>10</v>
      </c>
    </row>
    <row r="382" spans="1:15" hidden="1" x14ac:dyDescent="0.25">
      <c r="A382" s="2" t="s">
        <v>711</v>
      </c>
      <c r="B382" s="3">
        <v>45456</v>
      </c>
      <c r="C382" s="5">
        <v>45444</v>
      </c>
      <c r="D382" s="2" t="s">
        <v>35</v>
      </c>
      <c r="E382" s="2">
        <v>4000</v>
      </c>
      <c r="F382" s="2" t="s">
        <v>34</v>
      </c>
      <c r="G382" s="2" t="s">
        <v>1027</v>
      </c>
      <c r="H382" s="4">
        <v>13470.09</v>
      </c>
      <c r="I382" s="4">
        <v>13470.09</v>
      </c>
      <c r="J382" s="4">
        <v>13470.09</v>
      </c>
      <c r="K382" s="4">
        <v>13470.09</v>
      </c>
      <c r="L382" s="4"/>
      <c r="M382" s="2" t="s">
        <v>1084</v>
      </c>
      <c r="N382" s="2" t="s">
        <v>10</v>
      </c>
      <c r="O382" s="2" t="s">
        <v>10</v>
      </c>
    </row>
    <row r="383" spans="1:15" hidden="1" x14ac:dyDescent="0.25">
      <c r="A383" s="2" t="s">
        <v>934</v>
      </c>
      <c r="B383" s="3">
        <v>45553</v>
      </c>
      <c r="C383" s="5">
        <v>45536</v>
      </c>
      <c r="D383" s="2" t="s">
        <v>31</v>
      </c>
      <c r="E383" s="2">
        <v>4900</v>
      </c>
      <c r="F383" s="2" t="s">
        <v>30</v>
      </c>
      <c r="G383" s="2" t="s">
        <v>1024</v>
      </c>
      <c r="H383" s="4">
        <v>353.72</v>
      </c>
      <c r="I383" s="4">
        <v>353.72</v>
      </c>
      <c r="J383" s="4">
        <v>353.72</v>
      </c>
      <c r="K383" s="4">
        <v>353.72</v>
      </c>
      <c r="L383" s="4"/>
      <c r="M383" s="2" t="s">
        <v>1084</v>
      </c>
      <c r="N383" s="2" t="s">
        <v>10</v>
      </c>
      <c r="O383" s="2" t="s">
        <v>10</v>
      </c>
    </row>
    <row r="384" spans="1:15" hidden="1" x14ac:dyDescent="0.25">
      <c r="A384" s="2" t="s">
        <v>189</v>
      </c>
      <c r="B384" s="3">
        <v>45447</v>
      </c>
      <c r="C384" s="5">
        <v>45444</v>
      </c>
      <c r="D384" s="2" t="s">
        <v>31</v>
      </c>
      <c r="E384" s="2">
        <v>4900</v>
      </c>
      <c r="F384" s="2" t="s">
        <v>146</v>
      </c>
      <c r="G384" s="2" t="s">
        <v>1031</v>
      </c>
      <c r="H384" s="4">
        <v>284.72000000000003</v>
      </c>
      <c r="I384" s="4">
        <v>284.72000000000003</v>
      </c>
      <c r="J384" s="4">
        <v>284.72000000000003</v>
      </c>
      <c r="K384" s="4">
        <v>284.72000000000003</v>
      </c>
      <c r="L384" s="4"/>
      <c r="M384" s="2" t="s">
        <v>1084</v>
      </c>
      <c r="N384" s="2" t="s">
        <v>10</v>
      </c>
      <c r="O384" s="2" t="s">
        <v>10</v>
      </c>
    </row>
    <row r="385" spans="1:15" hidden="1" x14ac:dyDescent="0.25">
      <c r="A385" s="2" t="s">
        <v>410</v>
      </c>
      <c r="B385" s="3">
        <v>45586</v>
      </c>
      <c r="C385" s="5">
        <v>45566</v>
      </c>
      <c r="D385" s="2" t="s">
        <v>52</v>
      </c>
      <c r="E385" s="2">
        <v>6000</v>
      </c>
      <c r="F385" s="2" t="s">
        <v>97</v>
      </c>
      <c r="G385" s="2" t="s">
        <v>1046</v>
      </c>
      <c r="H385" s="4">
        <v>-3339.4</v>
      </c>
      <c r="I385" s="4">
        <v>-3339.4</v>
      </c>
      <c r="J385" s="4">
        <v>-3339.4</v>
      </c>
      <c r="K385" s="4">
        <v>3339.4</v>
      </c>
      <c r="L385" s="4"/>
      <c r="M385" s="2" t="s">
        <v>1084</v>
      </c>
      <c r="N385" s="2" t="s">
        <v>10</v>
      </c>
      <c r="O385" s="2" t="s">
        <v>10</v>
      </c>
    </row>
    <row r="386" spans="1:15" hidden="1" x14ac:dyDescent="0.25">
      <c r="A386" s="2" t="s">
        <v>802</v>
      </c>
      <c r="B386" s="3">
        <v>45486</v>
      </c>
      <c r="C386" s="5">
        <v>45474</v>
      </c>
      <c r="D386" s="2" t="s">
        <v>35</v>
      </c>
      <c r="E386" s="2">
        <v>4000</v>
      </c>
      <c r="F386" s="2" t="s">
        <v>116</v>
      </c>
      <c r="G386" s="2" t="s">
        <v>1034</v>
      </c>
      <c r="H386" s="4">
        <v>12220.92</v>
      </c>
      <c r="I386" s="4">
        <v>12220.92</v>
      </c>
      <c r="J386" s="4">
        <v>12220.92</v>
      </c>
      <c r="K386" s="4">
        <v>12220.92</v>
      </c>
      <c r="L386" s="4"/>
      <c r="M386" s="2" t="s">
        <v>1084</v>
      </c>
      <c r="N386" s="2" t="s">
        <v>10</v>
      </c>
      <c r="O386" s="2" t="s">
        <v>10</v>
      </c>
    </row>
    <row r="387" spans="1:15" hidden="1" x14ac:dyDescent="0.25">
      <c r="A387" s="2" t="s">
        <v>160</v>
      </c>
      <c r="B387" s="3">
        <v>45656</v>
      </c>
      <c r="C387" s="5">
        <v>45627</v>
      </c>
      <c r="D387" s="2" t="s">
        <v>18</v>
      </c>
      <c r="E387" s="2">
        <v>5100</v>
      </c>
      <c r="F387" s="2" t="s">
        <v>56</v>
      </c>
      <c r="G387" s="2" t="s">
        <v>1025</v>
      </c>
      <c r="H387" s="4">
        <v>-2381.9</v>
      </c>
      <c r="I387" s="4">
        <v>-2381.9</v>
      </c>
      <c r="J387" s="4">
        <v>-2381.9</v>
      </c>
      <c r="K387" s="4">
        <v>2381.9</v>
      </c>
      <c r="L387" s="4"/>
      <c r="M387" s="2" t="s">
        <v>1084</v>
      </c>
      <c r="N387" s="2" t="s">
        <v>10</v>
      </c>
      <c r="O387" s="2" t="s">
        <v>10</v>
      </c>
    </row>
    <row r="388" spans="1:15" hidden="1" x14ac:dyDescent="0.25">
      <c r="A388" s="2" t="s">
        <v>83</v>
      </c>
      <c r="B388" s="3">
        <v>45524</v>
      </c>
      <c r="C388" s="5">
        <v>45505</v>
      </c>
      <c r="D388" s="2" t="s">
        <v>35</v>
      </c>
      <c r="E388" s="2">
        <v>4000</v>
      </c>
      <c r="F388" s="2" t="s">
        <v>34</v>
      </c>
      <c r="G388" s="2" t="s">
        <v>1027</v>
      </c>
      <c r="H388" s="4">
        <v>8054.16</v>
      </c>
      <c r="I388" s="4">
        <v>8054.16</v>
      </c>
      <c r="J388" s="4">
        <v>8054.16</v>
      </c>
      <c r="K388" s="4">
        <v>8054.16</v>
      </c>
      <c r="L388" s="4"/>
      <c r="M388" s="2" t="s">
        <v>1084</v>
      </c>
      <c r="N388" s="2" t="s">
        <v>10</v>
      </c>
      <c r="O388" s="2" t="s">
        <v>10</v>
      </c>
    </row>
    <row r="389" spans="1:15" hidden="1" x14ac:dyDescent="0.25">
      <c r="A389" s="2" t="s">
        <v>966</v>
      </c>
      <c r="B389" s="3">
        <v>45400</v>
      </c>
      <c r="C389" s="5">
        <v>45383</v>
      </c>
      <c r="D389" s="2" t="s">
        <v>28</v>
      </c>
      <c r="E389" s="2">
        <v>6900</v>
      </c>
      <c r="F389" s="2" t="s">
        <v>76</v>
      </c>
      <c r="G389" s="2" t="s">
        <v>1047</v>
      </c>
      <c r="H389" s="4">
        <v>-23.46</v>
      </c>
      <c r="I389" s="4">
        <v>-23.46</v>
      </c>
      <c r="J389" s="4">
        <v>-23.46</v>
      </c>
      <c r="K389" s="4">
        <v>23.46</v>
      </c>
      <c r="L389" s="4"/>
      <c r="M389" s="2" t="s">
        <v>1084</v>
      </c>
      <c r="N389" s="2" t="s">
        <v>10</v>
      </c>
      <c r="O389" s="2" t="s">
        <v>10</v>
      </c>
    </row>
    <row r="390" spans="1:15" hidden="1" x14ac:dyDescent="0.25">
      <c r="A390" s="2" t="s">
        <v>194</v>
      </c>
      <c r="B390" s="3">
        <v>45574</v>
      </c>
      <c r="C390" s="5">
        <v>45566</v>
      </c>
      <c r="D390" s="2" t="s">
        <v>28</v>
      </c>
      <c r="E390" s="2">
        <v>6900</v>
      </c>
      <c r="F390" s="2" t="s">
        <v>195</v>
      </c>
      <c r="G390" s="2" t="s">
        <v>1048</v>
      </c>
      <c r="H390" s="4">
        <v>-107.23</v>
      </c>
      <c r="I390" s="4">
        <v>-107.23</v>
      </c>
      <c r="J390" s="4">
        <v>-107.23</v>
      </c>
      <c r="K390" s="4">
        <v>107.23</v>
      </c>
      <c r="L390" s="4"/>
      <c r="M390" s="2" t="s">
        <v>1084</v>
      </c>
      <c r="N390" s="2" t="s">
        <v>10</v>
      </c>
      <c r="O390" s="2" t="s">
        <v>10</v>
      </c>
    </row>
    <row r="391" spans="1:15" hidden="1" x14ac:dyDescent="0.25">
      <c r="A391" s="2" t="s">
        <v>74</v>
      </c>
      <c r="B391" s="3">
        <v>45440</v>
      </c>
      <c r="C391" s="5">
        <v>45413</v>
      </c>
      <c r="D391" s="2" t="s">
        <v>18</v>
      </c>
      <c r="E391" s="2">
        <v>5100</v>
      </c>
      <c r="F391" s="2" t="s">
        <v>56</v>
      </c>
      <c r="G391" s="2" t="s">
        <v>1025</v>
      </c>
      <c r="H391" s="4">
        <v>-1234.99</v>
      </c>
      <c r="I391" s="4">
        <v>-1234.99</v>
      </c>
      <c r="J391" s="4">
        <v>-1234.99</v>
      </c>
      <c r="K391" s="4">
        <v>1234.99</v>
      </c>
      <c r="L391" s="4"/>
      <c r="M391" s="2" t="s">
        <v>1084</v>
      </c>
      <c r="N391" s="2" t="s">
        <v>10</v>
      </c>
      <c r="O391" s="2" t="s">
        <v>10</v>
      </c>
    </row>
    <row r="392" spans="1:15" hidden="1" x14ac:dyDescent="0.25">
      <c r="A392" s="2" t="s">
        <v>1008</v>
      </c>
      <c r="B392" s="3">
        <v>45486</v>
      </c>
      <c r="C392" s="5">
        <v>45474</v>
      </c>
      <c r="D392" s="2" t="s">
        <v>39</v>
      </c>
      <c r="E392" s="2">
        <v>6500</v>
      </c>
      <c r="F392" s="2" t="s">
        <v>42</v>
      </c>
      <c r="G392" s="2" t="s">
        <v>1036</v>
      </c>
      <c r="H392" s="4">
        <v>-6290.36</v>
      </c>
      <c r="I392" s="4">
        <v>-6290.36</v>
      </c>
      <c r="J392" s="4">
        <v>-6290.36</v>
      </c>
      <c r="K392" s="4">
        <v>6290.36</v>
      </c>
      <c r="L392" s="4"/>
      <c r="M392" s="2" t="s">
        <v>1084</v>
      </c>
      <c r="N392" s="2" t="s">
        <v>10</v>
      </c>
      <c r="O392" s="2" t="s">
        <v>10</v>
      </c>
    </row>
    <row r="393" spans="1:15" hidden="1" x14ac:dyDescent="0.25">
      <c r="A393" s="2" t="s">
        <v>762</v>
      </c>
      <c r="B393" s="3">
        <v>45341</v>
      </c>
      <c r="C393" s="5">
        <v>45323</v>
      </c>
      <c r="D393" s="2" t="s">
        <v>18</v>
      </c>
      <c r="E393" s="2">
        <v>5100</v>
      </c>
      <c r="F393" s="2" t="s">
        <v>56</v>
      </c>
      <c r="G393" s="2" t="s">
        <v>1025</v>
      </c>
      <c r="H393" s="4">
        <v>-11270.25</v>
      </c>
      <c r="I393" s="4">
        <v>-11270.25</v>
      </c>
      <c r="J393" s="4">
        <v>-11270.25</v>
      </c>
      <c r="K393" s="4">
        <v>11270.25</v>
      </c>
      <c r="L393" s="4"/>
      <c r="M393" s="2" t="s">
        <v>1084</v>
      </c>
      <c r="N393" s="2" t="s">
        <v>10</v>
      </c>
      <c r="O393" s="2" t="s">
        <v>10</v>
      </c>
    </row>
    <row r="394" spans="1:15" hidden="1" x14ac:dyDescent="0.25">
      <c r="A394" s="2" t="s">
        <v>547</v>
      </c>
      <c r="B394" s="3">
        <v>45335</v>
      </c>
      <c r="C394" s="5">
        <v>45323</v>
      </c>
      <c r="D394" s="2" t="s">
        <v>59</v>
      </c>
      <c r="E394" s="2">
        <v>6200</v>
      </c>
      <c r="F394" s="2" t="s">
        <v>71</v>
      </c>
      <c r="G394" s="2" t="s">
        <v>1050</v>
      </c>
      <c r="H394" s="4">
        <v>-565.48</v>
      </c>
      <c r="I394" s="4">
        <v>-565.48</v>
      </c>
      <c r="J394" s="4">
        <v>-565.48</v>
      </c>
      <c r="K394" s="4">
        <v>565.48</v>
      </c>
      <c r="L394" s="4"/>
      <c r="M394" s="2" t="s">
        <v>1084</v>
      </c>
      <c r="N394" s="2" t="s">
        <v>10</v>
      </c>
      <c r="O394" s="2" t="s">
        <v>10</v>
      </c>
    </row>
    <row r="395" spans="1:15" hidden="1" x14ac:dyDescent="0.25">
      <c r="A395" s="2" t="s">
        <v>985</v>
      </c>
      <c r="B395" s="3">
        <v>45501</v>
      </c>
      <c r="C395" s="5">
        <v>45474</v>
      </c>
      <c r="D395" s="2" t="s">
        <v>13</v>
      </c>
      <c r="E395" s="2">
        <v>6400</v>
      </c>
      <c r="F395" s="2" t="s">
        <v>12</v>
      </c>
      <c r="G395" s="2" t="s">
        <v>1032</v>
      </c>
      <c r="H395" s="4">
        <v>-2886.31</v>
      </c>
      <c r="I395" s="4">
        <v>-2886.31</v>
      </c>
      <c r="J395" s="4">
        <v>-2886.31</v>
      </c>
      <c r="K395" s="4">
        <v>2886.31</v>
      </c>
      <c r="L395" s="4"/>
      <c r="M395" s="2" t="s">
        <v>1084</v>
      </c>
      <c r="N395" s="2" t="s">
        <v>10</v>
      </c>
      <c r="O395" s="2" t="s">
        <v>10</v>
      </c>
    </row>
    <row r="396" spans="1:15" hidden="1" x14ac:dyDescent="0.25">
      <c r="A396" s="2" t="s">
        <v>513</v>
      </c>
      <c r="B396" s="3">
        <v>45360</v>
      </c>
      <c r="C396" s="5">
        <v>45352</v>
      </c>
      <c r="D396" s="2" t="s">
        <v>39</v>
      </c>
      <c r="E396" s="2">
        <v>6500</v>
      </c>
      <c r="F396" s="2" t="s">
        <v>38</v>
      </c>
      <c r="G396" s="2" t="s">
        <v>1029</v>
      </c>
      <c r="H396" s="4">
        <v>-2982.36</v>
      </c>
      <c r="I396" s="4">
        <v>-2982.36</v>
      </c>
      <c r="J396" s="4">
        <v>-2982.36</v>
      </c>
      <c r="K396" s="4">
        <v>2982.36</v>
      </c>
      <c r="L396" s="4"/>
      <c r="M396" s="2" t="s">
        <v>1084</v>
      </c>
      <c r="N396" s="2" t="s">
        <v>10</v>
      </c>
      <c r="O396" s="2" t="s">
        <v>10</v>
      </c>
    </row>
    <row r="397" spans="1:15" hidden="1" x14ac:dyDescent="0.25">
      <c r="A397" s="2" t="s">
        <v>75</v>
      </c>
      <c r="B397" s="3">
        <v>45656</v>
      </c>
      <c r="C397" s="5">
        <v>45627</v>
      </c>
      <c r="D397" s="2" t="s">
        <v>28</v>
      </c>
      <c r="E397" s="2">
        <v>6900</v>
      </c>
      <c r="F397" s="2" t="s">
        <v>76</v>
      </c>
      <c r="G397" s="2" t="s">
        <v>1047</v>
      </c>
      <c r="H397" s="4">
        <v>-30.57</v>
      </c>
      <c r="I397" s="4">
        <v>-30.57</v>
      </c>
      <c r="J397" s="4">
        <v>-30.57</v>
      </c>
      <c r="K397" s="4">
        <v>30.57</v>
      </c>
      <c r="L397" s="4"/>
      <c r="M397" s="2" t="s">
        <v>1084</v>
      </c>
      <c r="N397" s="2" t="s">
        <v>10</v>
      </c>
      <c r="O397" s="2" t="s">
        <v>10</v>
      </c>
    </row>
    <row r="398" spans="1:15" hidden="1" x14ac:dyDescent="0.25">
      <c r="A398" s="2" t="s">
        <v>580</v>
      </c>
      <c r="B398" s="3">
        <v>45604</v>
      </c>
      <c r="C398" s="5">
        <v>45597</v>
      </c>
      <c r="D398" s="2" t="s">
        <v>35</v>
      </c>
      <c r="E398" s="2">
        <v>4000</v>
      </c>
      <c r="F398" s="2" t="s">
        <v>103</v>
      </c>
      <c r="G398" s="2" t="s">
        <v>1049</v>
      </c>
      <c r="H398" s="4">
        <v>10105.469999999999</v>
      </c>
      <c r="I398" s="4">
        <v>10105.469999999999</v>
      </c>
      <c r="J398" s="4">
        <v>10105.469999999999</v>
      </c>
      <c r="K398" s="4">
        <v>10105.469999999999</v>
      </c>
      <c r="L398" s="4"/>
      <c r="M398" s="2" t="s">
        <v>1084</v>
      </c>
      <c r="N398" s="2" t="s">
        <v>10</v>
      </c>
      <c r="O398" s="2" t="s">
        <v>10</v>
      </c>
    </row>
    <row r="399" spans="1:15" hidden="1" x14ac:dyDescent="0.25">
      <c r="A399" s="2" t="s">
        <v>635</v>
      </c>
      <c r="B399" s="3">
        <v>45547</v>
      </c>
      <c r="C399" s="5">
        <v>45536</v>
      </c>
      <c r="D399" s="2" t="s">
        <v>18</v>
      </c>
      <c r="E399" s="2">
        <v>5100</v>
      </c>
      <c r="F399" s="2" t="s">
        <v>56</v>
      </c>
      <c r="G399" s="2" t="s">
        <v>1025</v>
      </c>
      <c r="H399" s="4">
        <v>-3765.72</v>
      </c>
      <c r="I399" s="4">
        <v>-3765.72</v>
      </c>
      <c r="J399" s="4">
        <v>-3765.72</v>
      </c>
      <c r="K399" s="4">
        <v>3765.72</v>
      </c>
      <c r="L399" s="4"/>
      <c r="M399" s="2" t="s">
        <v>1084</v>
      </c>
      <c r="N399" s="2" t="s">
        <v>10</v>
      </c>
      <c r="O399" s="2" t="s">
        <v>10</v>
      </c>
    </row>
    <row r="400" spans="1:15" hidden="1" x14ac:dyDescent="0.25">
      <c r="A400" s="2" t="s">
        <v>995</v>
      </c>
      <c r="B400" s="3">
        <v>45560</v>
      </c>
      <c r="C400" s="5">
        <v>45536</v>
      </c>
      <c r="D400" s="2" t="s">
        <v>52</v>
      </c>
      <c r="E400" s="2">
        <v>6000</v>
      </c>
      <c r="F400" s="2" t="s">
        <v>97</v>
      </c>
      <c r="G400" s="2" t="s">
        <v>1046</v>
      </c>
      <c r="H400" s="4">
        <v>-4795.3900000000003</v>
      </c>
      <c r="I400" s="4">
        <v>-4795.3900000000003</v>
      </c>
      <c r="J400" s="4">
        <v>-4795.3900000000003</v>
      </c>
      <c r="K400" s="4">
        <v>4795.3900000000003</v>
      </c>
      <c r="L400" s="4"/>
      <c r="M400" s="2" t="s">
        <v>1084</v>
      </c>
      <c r="N400" s="2" t="s">
        <v>10</v>
      </c>
      <c r="O400" s="2" t="s">
        <v>10</v>
      </c>
    </row>
    <row r="401" spans="1:15" hidden="1" x14ac:dyDescent="0.25">
      <c r="A401" s="2" t="s">
        <v>572</v>
      </c>
      <c r="B401" s="3">
        <v>45509</v>
      </c>
      <c r="C401" s="5">
        <v>45505</v>
      </c>
      <c r="D401" s="2" t="s">
        <v>59</v>
      </c>
      <c r="E401" s="2">
        <v>6200</v>
      </c>
      <c r="F401" s="2" t="s">
        <v>67</v>
      </c>
      <c r="G401" s="2" t="s">
        <v>1028</v>
      </c>
      <c r="H401" s="4">
        <v>-363.72</v>
      </c>
      <c r="I401" s="4">
        <v>-363.72</v>
      </c>
      <c r="J401" s="4">
        <v>-363.72</v>
      </c>
      <c r="K401" s="4">
        <v>363.72</v>
      </c>
      <c r="L401" s="4"/>
      <c r="M401" s="2" t="s">
        <v>1084</v>
      </c>
      <c r="N401" s="2" t="s">
        <v>10</v>
      </c>
      <c r="O401" s="2" t="s">
        <v>10</v>
      </c>
    </row>
    <row r="402" spans="1:15" hidden="1" x14ac:dyDescent="0.25">
      <c r="A402" s="2" t="s">
        <v>617</v>
      </c>
      <c r="B402" s="3">
        <v>45314</v>
      </c>
      <c r="C402" s="5">
        <v>45292</v>
      </c>
      <c r="D402" s="2" t="s">
        <v>31</v>
      </c>
      <c r="E402" s="2">
        <v>4900</v>
      </c>
      <c r="F402" s="2" t="s">
        <v>79</v>
      </c>
      <c r="G402" s="2" t="s">
        <v>1026</v>
      </c>
      <c r="H402" s="4">
        <v>178.33</v>
      </c>
      <c r="I402" s="4">
        <v>178.33</v>
      </c>
      <c r="J402" s="4">
        <v>178.33</v>
      </c>
      <c r="K402" s="4">
        <v>178.33</v>
      </c>
      <c r="L402" s="4"/>
      <c r="M402" s="2" t="s">
        <v>1084</v>
      </c>
      <c r="N402" s="2" t="s">
        <v>10</v>
      </c>
      <c r="O402" s="2" t="s">
        <v>10</v>
      </c>
    </row>
    <row r="403" spans="1:15" hidden="1" x14ac:dyDescent="0.25">
      <c r="A403" s="2" t="s">
        <v>852</v>
      </c>
      <c r="B403" s="3">
        <v>45435</v>
      </c>
      <c r="C403" s="5">
        <v>45413</v>
      </c>
      <c r="D403" s="2" t="s">
        <v>39</v>
      </c>
      <c r="E403" s="2">
        <v>6500</v>
      </c>
      <c r="F403" s="2" t="s">
        <v>38</v>
      </c>
      <c r="G403" s="2" t="s">
        <v>1029</v>
      </c>
      <c r="H403" s="4">
        <v>-2528.27</v>
      </c>
      <c r="I403" s="4">
        <v>-2528.27</v>
      </c>
      <c r="J403" s="4">
        <v>-2528.27</v>
      </c>
      <c r="K403" s="4">
        <v>2528.27</v>
      </c>
      <c r="L403" s="4"/>
      <c r="M403" s="2" t="s">
        <v>1084</v>
      </c>
      <c r="N403" s="2" t="s">
        <v>10</v>
      </c>
      <c r="O403" s="2" t="s">
        <v>10</v>
      </c>
    </row>
    <row r="404" spans="1:15" hidden="1" x14ac:dyDescent="0.25">
      <c r="A404" s="2" t="s">
        <v>518</v>
      </c>
      <c r="B404" s="3">
        <v>45472</v>
      </c>
      <c r="C404" s="5">
        <v>45444</v>
      </c>
      <c r="D404" s="2" t="s">
        <v>59</v>
      </c>
      <c r="E404" s="2">
        <v>6200</v>
      </c>
      <c r="F404" s="2" t="s">
        <v>67</v>
      </c>
      <c r="G404" s="2" t="s">
        <v>1028</v>
      </c>
      <c r="H404" s="4">
        <v>-321.39999999999998</v>
      </c>
      <c r="I404" s="4">
        <v>-321.39999999999998</v>
      </c>
      <c r="J404" s="4">
        <v>-321.39999999999998</v>
      </c>
      <c r="K404" s="4">
        <v>321.39999999999998</v>
      </c>
      <c r="L404" s="4"/>
      <c r="M404" s="2" t="s">
        <v>1084</v>
      </c>
      <c r="N404" s="2" t="s">
        <v>10</v>
      </c>
      <c r="O404" s="2" t="s">
        <v>10</v>
      </c>
    </row>
    <row r="405" spans="1:15" hidden="1" x14ac:dyDescent="0.25">
      <c r="A405" s="2" t="s">
        <v>252</v>
      </c>
      <c r="B405" s="3">
        <v>45626</v>
      </c>
      <c r="C405" s="5">
        <v>45597</v>
      </c>
      <c r="D405" s="2" t="s">
        <v>31</v>
      </c>
      <c r="E405" s="2">
        <v>4900</v>
      </c>
      <c r="F405" s="2" t="s">
        <v>79</v>
      </c>
      <c r="G405" s="2" t="s">
        <v>1026</v>
      </c>
      <c r="H405" s="4">
        <v>306.45</v>
      </c>
      <c r="I405" s="4">
        <v>306.45</v>
      </c>
      <c r="J405" s="4">
        <v>306.45</v>
      </c>
      <c r="K405" s="4">
        <v>306.45</v>
      </c>
      <c r="L405" s="4"/>
      <c r="M405" s="2" t="s">
        <v>1084</v>
      </c>
      <c r="N405" s="2" t="s">
        <v>10</v>
      </c>
      <c r="O405" s="2" t="s">
        <v>10</v>
      </c>
    </row>
    <row r="406" spans="1:15" hidden="1" x14ac:dyDescent="0.25">
      <c r="A406" s="2" t="s">
        <v>190</v>
      </c>
      <c r="B406" s="3">
        <v>45372</v>
      </c>
      <c r="C406" s="5">
        <v>45352</v>
      </c>
      <c r="D406" s="2" t="s">
        <v>24</v>
      </c>
      <c r="E406" s="2">
        <v>6300</v>
      </c>
      <c r="F406" s="2" t="s">
        <v>23</v>
      </c>
      <c r="G406" s="2" t="s">
        <v>1045</v>
      </c>
      <c r="H406" s="4">
        <v>-458.18</v>
      </c>
      <c r="I406" s="4">
        <v>-458.18</v>
      </c>
      <c r="J406" s="4">
        <v>-458.18</v>
      </c>
      <c r="K406" s="4">
        <v>458.18</v>
      </c>
      <c r="L406" s="4"/>
      <c r="M406" s="2" t="s">
        <v>1084</v>
      </c>
      <c r="N406" s="2" t="s">
        <v>10</v>
      </c>
      <c r="O406" s="2" t="s">
        <v>10</v>
      </c>
    </row>
    <row r="407" spans="1:15" hidden="1" x14ac:dyDescent="0.25">
      <c r="A407" s="2" t="s">
        <v>837</v>
      </c>
      <c r="B407" s="3">
        <v>45473</v>
      </c>
      <c r="C407" s="5">
        <v>45444</v>
      </c>
      <c r="D407" s="2" t="s">
        <v>13</v>
      </c>
      <c r="E407" s="2">
        <v>6400</v>
      </c>
      <c r="F407" s="2" t="s">
        <v>12</v>
      </c>
      <c r="G407" s="2" t="s">
        <v>1032</v>
      </c>
      <c r="H407" s="4">
        <v>-2279.0500000000002</v>
      </c>
      <c r="I407" s="4">
        <v>-2279.0500000000002</v>
      </c>
      <c r="J407" s="4">
        <v>-2279.0500000000002</v>
      </c>
      <c r="K407" s="4">
        <v>2279.0500000000002</v>
      </c>
      <c r="L407" s="4"/>
      <c r="M407" s="2" t="s">
        <v>1084</v>
      </c>
      <c r="N407" s="2" t="s">
        <v>10</v>
      </c>
      <c r="O407" s="2" t="s">
        <v>10</v>
      </c>
    </row>
    <row r="408" spans="1:15" hidden="1" x14ac:dyDescent="0.25">
      <c r="A408" s="2" t="s">
        <v>659</v>
      </c>
      <c r="B408" s="3">
        <v>45417</v>
      </c>
      <c r="C408" s="5">
        <v>45413</v>
      </c>
      <c r="D408" s="2" t="s">
        <v>24</v>
      </c>
      <c r="E408" s="2">
        <v>6300</v>
      </c>
      <c r="F408" s="2" t="s">
        <v>23</v>
      </c>
      <c r="G408" s="2" t="s">
        <v>1045</v>
      </c>
      <c r="H408" s="4">
        <v>-898.97</v>
      </c>
      <c r="I408" s="4">
        <v>-898.97</v>
      </c>
      <c r="J408" s="4">
        <v>-898.97</v>
      </c>
      <c r="K408" s="4">
        <v>898.97</v>
      </c>
      <c r="L408" s="4"/>
      <c r="M408" s="2" t="s">
        <v>1084</v>
      </c>
      <c r="N408" s="2" t="s">
        <v>10</v>
      </c>
      <c r="O408" s="2" t="s">
        <v>10</v>
      </c>
    </row>
    <row r="409" spans="1:15" hidden="1" x14ac:dyDescent="0.25">
      <c r="A409" s="2" t="s">
        <v>715</v>
      </c>
      <c r="B409" s="3">
        <v>45341</v>
      </c>
      <c r="C409" s="5">
        <v>45323</v>
      </c>
      <c r="D409" s="2" t="s">
        <v>18</v>
      </c>
      <c r="E409" s="2">
        <v>5100</v>
      </c>
      <c r="F409" s="2" t="s">
        <v>81</v>
      </c>
      <c r="G409" s="2" t="s">
        <v>1039</v>
      </c>
      <c r="H409" s="4">
        <v>-9280.0400000000009</v>
      </c>
      <c r="I409" s="4">
        <v>-9280.0400000000009</v>
      </c>
      <c r="J409" s="4">
        <v>-9280.0400000000009</v>
      </c>
      <c r="K409" s="4">
        <v>9280.0400000000009</v>
      </c>
      <c r="L409" s="4"/>
      <c r="M409" s="2" t="s">
        <v>1084</v>
      </c>
      <c r="N409" s="2" t="s">
        <v>10</v>
      </c>
      <c r="O409" s="2" t="s">
        <v>10</v>
      </c>
    </row>
    <row r="410" spans="1:15" hidden="1" x14ac:dyDescent="0.25">
      <c r="A410" s="2" t="s">
        <v>442</v>
      </c>
      <c r="B410" s="3">
        <v>45329</v>
      </c>
      <c r="C410" s="5">
        <v>45323</v>
      </c>
      <c r="D410" s="2" t="s">
        <v>31</v>
      </c>
      <c r="E410" s="2">
        <v>4900</v>
      </c>
      <c r="F410" s="2" t="s">
        <v>79</v>
      </c>
      <c r="G410" s="2" t="s">
        <v>1026</v>
      </c>
      <c r="H410" s="4">
        <v>363.9</v>
      </c>
      <c r="I410" s="4">
        <v>363.9</v>
      </c>
      <c r="J410" s="4">
        <v>363.9</v>
      </c>
      <c r="K410" s="4">
        <v>363.9</v>
      </c>
      <c r="L410" s="4"/>
      <c r="M410" s="2" t="s">
        <v>1084</v>
      </c>
      <c r="N410" s="2" t="s">
        <v>10</v>
      </c>
      <c r="O410" s="2" t="s">
        <v>10</v>
      </c>
    </row>
    <row r="411" spans="1:15" hidden="1" x14ac:dyDescent="0.25">
      <c r="A411" s="2" t="s">
        <v>703</v>
      </c>
      <c r="B411" s="3">
        <v>45425</v>
      </c>
      <c r="C411" s="5">
        <v>45413</v>
      </c>
      <c r="D411" s="2" t="s">
        <v>35</v>
      </c>
      <c r="E411" s="2">
        <v>4000</v>
      </c>
      <c r="F411" s="2" t="s">
        <v>116</v>
      </c>
      <c r="G411" s="2" t="s">
        <v>1034</v>
      </c>
      <c r="H411" s="4">
        <v>19890.560000000001</v>
      </c>
      <c r="I411" s="4">
        <v>19890.560000000001</v>
      </c>
      <c r="J411" s="4">
        <v>19890.560000000001</v>
      </c>
      <c r="K411" s="4">
        <v>19890.560000000001</v>
      </c>
      <c r="L411" s="4"/>
      <c r="M411" s="2" t="s">
        <v>1084</v>
      </c>
      <c r="N411" s="2" t="s">
        <v>10</v>
      </c>
      <c r="O411" s="2" t="s">
        <v>10</v>
      </c>
    </row>
    <row r="412" spans="1:15" hidden="1" x14ac:dyDescent="0.25">
      <c r="A412" s="2" t="s">
        <v>682</v>
      </c>
      <c r="B412" s="3">
        <v>45322</v>
      </c>
      <c r="C412" s="5">
        <v>45292</v>
      </c>
      <c r="D412" s="2" t="s">
        <v>18</v>
      </c>
      <c r="E412" s="2">
        <v>5100</v>
      </c>
      <c r="F412" s="2" t="s">
        <v>56</v>
      </c>
      <c r="G412" s="2" t="s">
        <v>1025</v>
      </c>
      <c r="H412" s="4">
        <v>-1401.08</v>
      </c>
      <c r="I412" s="4">
        <v>-1401.08</v>
      </c>
      <c r="J412" s="4">
        <v>-1401.08</v>
      </c>
      <c r="K412" s="4">
        <v>1401.08</v>
      </c>
      <c r="L412" s="4"/>
      <c r="M412" s="2" t="s">
        <v>1084</v>
      </c>
      <c r="N412" s="2" t="s">
        <v>10</v>
      </c>
      <c r="O412" s="2" t="s">
        <v>10</v>
      </c>
    </row>
    <row r="413" spans="1:15" hidden="1" x14ac:dyDescent="0.25">
      <c r="A413" s="2" t="s">
        <v>497</v>
      </c>
      <c r="B413" s="3">
        <v>45316</v>
      </c>
      <c r="C413" s="5">
        <v>45292</v>
      </c>
      <c r="D413" s="2" t="s">
        <v>52</v>
      </c>
      <c r="E413" s="2">
        <v>6000</v>
      </c>
      <c r="F413" s="2" t="s">
        <v>51</v>
      </c>
      <c r="G413" s="2" t="s">
        <v>1033</v>
      </c>
      <c r="H413" s="4">
        <v>-1665.96</v>
      </c>
      <c r="I413" s="4">
        <v>-1665.96</v>
      </c>
      <c r="J413" s="4">
        <v>-1665.96</v>
      </c>
      <c r="K413" s="4">
        <v>1665.96</v>
      </c>
      <c r="L413" s="4"/>
      <c r="M413" s="2" t="s">
        <v>1084</v>
      </c>
      <c r="N413" s="2" t="s">
        <v>10</v>
      </c>
      <c r="O413" s="2" t="s">
        <v>10</v>
      </c>
    </row>
    <row r="414" spans="1:15" hidden="1" x14ac:dyDescent="0.25">
      <c r="A414" s="2" t="s">
        <v>89</v>
      </c>
      <c r="B414" s="3">
        <v>45420</v>
      </c>
      <c r="C414" s="5">
        <v>45413</v>
      </c>
      <c r="D414" s="2" t="s">
        <v>52</v>
      </c>
      <c r="E414" s="2">
        <v>6000</v>
      </c>
      <c r="F414" s="2" t="s">
        <v>51</v>
      </c>
      <c r="G414" s="2" t="s">
        <v>1033</v>
      </c>
      <c r="H414" s="4">
        <v>-6690.3</v>
      </c>
      <c r="I414" s="4">
        <v>-6690.3</v>
      </c>
      <c r="J414" s="4">
        <v>-6690.3</v>
      </c>
      <c r="K414" s="4">
        <v>6690.3</v>
      </c>
      <c r="L414" s="4"/>
      <c r="M414" s="2" t="s">
        <v>1084</v>
      </c>
      <c r="N414" s="2" t="s">
        <v>10</v>
      </c>
      <c r="O414" s="2" t="s">
        <v>10</v>
      </c>
    </row>
    <row r="415" spans="1:15" hidden="1" x14ac:dyDescent="0.25">
      <c r="A415" s="2" t="s">
        <v>801</v>
      </c>
      <c r="B415" s="3">
        <v>45365</v>
      </c>
      <c r="C415" s="5">
        <v>45352</v>
      </c>
      <c r="D415" s="2" t="s">
        <v>18</v>
      </c>
      <c r="E415" s="2">
        <v>5100</v>
      </c>
      <c r="F415" s="2" t="s">
        <v>56</v>
      </c>
      <c r="G415" s="2" t="s">
        <v>1025</v>
      </c>
      <c r="H415" s="4">
        <v>-6228.96</v>
      </c>
      <c r="I415" s="4">
        <v>-6228.96</v>
      </c>
      <c r="J415" s="4">
        <v>-6228.96</v>
      </c>
      <c r="K415" s="4">
        <v>6228.96</v>
      </c>
      <c r="L415" s="4"/>
      <c r="M415" s="2" t="s">
        <v>1084</v>
      </c>
      <c r="N415" s="2" t="s">
        <v>10</v>
      </c>
      <c r="O415" s="2" t="s">
        <v>10</v>
      </c>
    </row>
    <row r="416" spans="1:15" hidden="1" x14ac:dyDescent="0.25">
      <c r="A416" s="2" t="s">
        <v>217</v>
      </c>
      <c r="B416" s="3">
        <v>45494</v>
      </c>
      <c r="C416" s="5">
        <v>45474</v>
      </c>
      <c r="D416" s="2" t="s">
        <v>35</v>
      </c>
      <c r="E416" s="2">
        <v>4000</v>
      </c>
      <c r="F416" s="2" t="s">
        <v>34</v>
      </c>
      <c r="G416" s="2" t="s">
        <v>1027</v>
      </c>
      <c r="H416" s="4">
        <v>14027.99</v>
      </c>
      <c r="I416" s="4">
        <v>14027.99</v>
      </c>
      <c r="J416" s="4">
        <v>14027.99</v>
      </c>
      <c r="K416" s="4">
        <v>14027.99</v>
      </c>
      <c r="L416" s="4"/>
      <c r="M416" s="2" t="s">
        <v>1084</v>
      </c>
      <c r="N416" s="2" t="s">
        <v>10</v>
      </c>
      <c r="O416" s="2" t="s">
        <v>10</v>
      </c>
    </row>
    <row r="417" spans="1:15" hidden="1" x14ac:dyDescent="0.25">
      <c r="A417" s="2" t="s">
        <v>182</v>
      </c>
      <c r="B417" s="3">
        <v>45298</v>
      </c>
      <c r="C417" s="5">
        <v>45292</v>
      </c>
      <c r="D417" s="2" t="s">
        <v>9</v>
      </c>
      <c r="E417" s="2">
        <v>6100</v>
      </c>
      <c r="F417" s="2" t="s">
        <v>48</v>
      </c>
      <c r="G417" s="2" t="s">
        <v>1043</v>
      </c>
      <c r="H417" s="4">
        <v>-5150.3900000000003</v>
      </c>
      <c r="I417" s="4">
        <v>-5150.3900000000003</v>
      </c>
      <c r="J417" s="4">
        <v>-5150.3900000000003</v>
      </c>
      <c r="K417" s="4">
        <v>5150.3900000000003</v>
      </c>
      <c r="L417" s="4"/>
      <c r="M417" s="2" t="s">
        <v>1084</v>
      </c>
      <c r="N417" s="2" t="s">
        <v>10</v>
      </c>
      <c r="O417" s="2" t="s">
        <v>10</v>
      </c>
    </row>
    <row r="418" spans="1:15" hidden="1" x14ac:dyDescent="0.25">
      <c r="A418" s="2" t="s">
        <v>874</v>
      </c>
      <c r="B418" s="3">
        <v>45402</v>
      </c>
      <c r="C418" s="5">
        <v>45383</v>
      </c>
      <c r="D418" s="2" t="s">
        <v>31</v>
      </c>
      <c r="E418" s="2">
        <v>4900</v>
      </c>
      <c r="F418" s="2" t="s">
        <v>146</v>
      </c>
      <c r="G418" s="2" t="s">
        <v>1031</v>
      </c>
      <c r="H418" s="4">
        <v>93.95</v>
      </c>
      <c r="I418" s="4">
        <v>93.95</v>
      </c>
      <c r="J418" s="4">
        <v>93.95</v>
      </c>
      <c r="K418" s="4">
        <v>93.95</v>
      </c>
      <c r="L418" s="4"/>
      <c r="M418" s="2" t="s">
        <v>1084</v>
      </c>
      <c r="N418" s="2" t="s">
        <v>10</v>
      </c>
      <c r="O418" s="2" t="s">
        <v>10</v>
      </c>
    </row>
    <row r="419" spans="1:15" hidden="1" x14ac:dyDescent="0.25">
      <c r="A419" s="2" t="s">
        <v>684</v>
      </c>
      <c r="B419" s="3">
        <v>45457</v>
      </c>
      <c r="C419" s="5">
        <v>45444</v>
      </c>
      <c r="D419" s="2" t="s">
        <v>18</v>
      </c>
      <c r="E419" s="2">
        <v>5100</v>
      </c>
      <c r="F419" s="2" t="s">
        <v>17</v>
      </c>
      <c r="G419" s="2" t="s">
        <v>1037</v>
      </c>
      <c r="H419" s="4">
        <v>-11936.47</v>
      </c>
      <c r="I419" s="4">
        <v>-11936.47</v>
      </c>
      <c r="J419" s="4">
        <v>-11936.47</v>
      </c>
      <c r="K419" s="4">
        <v>11936.47</v>
      </c>
      <c r="L419" s="4"/>
      <c r="M419" s="2" t="s">
        <v>1084</v>
      </c>
      <c r="N419" s="2" t="s">
        <v>10</v>
      </c>
      <c r="O419" s="2" t="s">
        <v>10</v>
      </c>
    </row>
    <row r="420" spans="1:15" hidden="1" x14ac:dyDescent="0.25">
      <c r="A420" s="2" t="s">
        <v>926</v>
      </c>
      <c r="B420" s="3">
        <v>45643</v>
      </c>
      <c r="C420" s="5">
        <v>45627</v>
      </c>
      <c r="D420" s="2" t="s">
        <v>52</v>
      </c>
      <c r="E420" s="2">
        <v>6000</v>
      </c>
      <c r="F420" s="2" t="s">
        <v>63</v>
      </c>
      <c r="G420" s="2" t="s">
        <v>1051</v>
      </c>
      <c r="H420" s="4">
        <v>-11945.65</v>
      </c>
      <c r="I420" s="4">
        <v>-11945.65</v>
      </c>
      <c r="J420" s="4">
        <v>-11945.65</v>
      </c>
      <c r="K420" s="4">
        <v>11945.65</v>
      </c>
      <c r="L420" s="4"/>
      <c r="M420" s="2" t="s">
        <v>1084</v>
      </c>
      <c r="N420" s="2" t="s">
        <v>10</v>
      </c>
      <c r="O420" s="2" t="s">
        <v>10</v>
      </c>
    </row>
    <row r="421" spans="1:15" hidden="1" x14ac:dyDescent="0.25">
      <c r="A421" s="2" t="s">
        <v>237</v>
      </c>
      <c r="B421" s="3">
        <v>45523</v>
      </c>
      <c r="C421" s="5">
        <v>45505</v>
      </c>
      <c r="D421" s="2" t="s">
        <v>13</v>
      </c>
      <c r="E421" s="2">
        <v>6400</v>
      </c>
      <c r="F421" s="2" t="s">
        <v>12</v>
      </c>
      <c r="G421" s="2" t="s">
        <v>1032</v>
      </c>
      <c r="H421" s="4">
        <v>-3065.36</v>
      </c>
      <c r="I421" s="4">
        <v>-3065.36</v>
      </c>
      <c r="J421" s="4">
        <v>-3065.36</v>
      </c>
      <c r="K421" s="4">
        <v>3065.36</v>
      </c>
      <c r="L421" s="4"/>
      <c r="M421" s="2" t="s">
        <v>1084</v>
      </c>
      <c r="N421" s="2" t="s">
        <v>10</v>
      </c>
      <c r="O421" s="2" t="s">
        <v>10</v>
      </c>
    </row>
    <row r="422" spans="1:15" hidden="1" x14ac:dyDescent="0.25">
      <c r="A422" s="2" t="s">
        <v>820</v>
      </c>
      <c r="B422" s="3">
        <v>45613</v>
      </c>
      <c r="C422" s="5">
        <v>45597</v>
      </c>
      <c r="D422" s="2" t="s">
        <v>31</v>
      </c>
      <c r="E422" s="2">
        <v>4900</v>
      </c>
      <c r="F422" s="2" t="s">
        <v>30</v>
      </c>
      <c r="G422" s="2" t="s">
        <v>1024</v>
      </c>
      <c r="H422" s="4">
        <v>129.16999999999999</v>
      </c>
      <c r="I422" s="4">
        <v>129.16999999999999</v>
      </c>
      <c r="J422" s="4">
        <v>129.16999999999999</v>
      </c>
      <c r="K422" s="4">
        <v>129.16999999999999</v>
      </c>
      <c r="L422" s="4"/>
      <c r="M422" s="2" t="s">
        <v>1084</v>
      </c>
      <c r="N422" s="2" t="s">
        <v>10</v>
      </c>
      <c r="O422" s="2" t="s">
        <v>10</v>
      </c>
    </row>
    <row r="423" spans="1:15" hidden="1" x14ac:dyDescent="0.25">
      <c r="A423" s="2" t="s">
        <v>519</v>
      </c>
      <c r="B423" s="3">
        <v>45417</v>
      </c>
      <c r="C423" s="5">
        <v>45413</v>
      </c>
      <c r="D423" s="2" t="s">
        <v>9</v>
      </c>
      <c r="E423" s="2">
        <v>6100</v>
      </c>
      <c r="F423" s="2" t="s">
        <v>8</v>
      </c>
      <c r="G423" s="2" t="s">
        <v>1042</v>
      </c>
      <c r="H423" s="4">
        <v>-2888.64</v>
      </c>
      <c r="I423" s="4">
        <v>-2888.64</v>
      </c>
      <c r="J423" s="4">
        <v>-2888.64</v>
      </c>
      <c r="K423" s="4">
        <v>2888.64</v>
      </c>
      <c r="L423" s="4"/>
      <c r="M423" s="2" t="s">
        <v>1084</v>
      </c>
      <c r="N423" s="2" t="s">
        <v>10</v>
      </c>
      <c r="O423" s="2" t="s">
        <v>10</v>
      </c>
    </row>
    <row r="424" spans="1:15" hidden="1" x14ac:dyDescent="0.25">
      <c r="A424" s="2" t="s">
        <v>136</v>
      </c>
      <c r="B424" s="3">
        <v>45456</v>
      </c>
      <c r="C424" s="5">
        <v>45444</v>
      </c>
      <c r="D424" s="2" t="s">
        <v>39</v>
      </c>
      <c r="E424" s="2">
        <v>6500</v>
      </c>
      <c r="F424" s="2" t="s">
        <v>69</v>
      </c>
      <c r="G424" s="2" t="s">
        <v>1052</v>
      </c>
      <c r="H424" s="4">
        <v>-4909.45</v>
      </c>
      <c r="I424" s="4">
        <v>-4909.45</v>
      </c>
      <c r="J424" s="4">
        <v>-4909.45</v>
      </c>
      <c r="K424" s="4">
        <v>4909.45</v>
      </c>
      <c r="L424" s="4"/>
      <c r="M424" s="2" t="s">
        <v>1084</v>
      </c>
      <c r="N424" s="2" t="s">
        <v>10</v>
      </c>
      <c r="O424" s="2" t="s">
        <v>10</v>
      </c>
    </row>
    <row r="425" spans="1:15" hidden="1" x14ac:dyDescent="0.25">
      <c r="A425" s="2" t="s">
        <v>691</v>
      </c>
      <c r="B425" s="3">
        <v>45445</v>
      </c>
      <c r="C425" s="5">
        <v>45444</v>
      </c>
      <c r="D425" s="2" t="s">
        <v>13</v>
      </c>
      <c r="E425" s="2">
        <v>6400</v>
      </c>
      <c r="F425" s="2" t="s">
        <v>15</v>
      </c>
      <c r="G425" s="2" t="s">
        <v>1044</v>
      </c>
      <c r="H425" s="4">
        <v>-3290.71</v>
      </c>
      <c r="I425" s="4">
        <v>-3290.71</v>
      </c>
      <c r="J425" s="4">
        <v>-3290.71</v>
      </c>
      <c r="K425" s="4">
        <v>3290.71</v>
      </c>
      <c r="L425" s="4"/>
      <c r="M425" s="2" t="s">
        <v>1084</v>
      </c>
      <c r="N425" s="2" t="s">
        <v>10</v>
      </c>
      <c r="O425" s="2" t="s">
        <v>10</v>
      </c>
    </row>
    <row r="426" spans="1:15" hidden="1" x14ac:dyDescent="0.25">
      <c r="A426" s="2" t="s">
        <v>810</v>
      </c>
      <c r="B426" s="3">
        <v>45615</v>
      </c>
      <c r="C426" s="5">
        <v>45597</v>
      </c>
      <c r="D426" s="2" t="s">
        <v>24</v>
      </c>
      <c r="E426" s="2">
        <v>6300</v>
      </c>
      <c r="F426" s="2" t="s">
        <v>127</v>
      </c>
      <c r="G426" s="2" t="s">
        <v>1035</v>
      </c>
      <c r="H426" s="4">
        <v>-510.16</v>
      </c>
      <c r="I426" s="4">
        <v>-510.16</v>
      </c>
      <c r="J426" s="4">
        <v>-510.16</v>
      </c>
      <c r="K426" s="4">
        <v>510.16</v>
      </c>
      <c r="L426" s="4"/>
      <c r="M426" s="2" t="s">
        <v>1084</v>
      </c>
      <c r="N426" s="2" t="s">
        <v>10</v>
      </c>
      <c r="O426" s="2" t="s">
        <v>10</v>
      </c>
    </row>
    <row r="427" spans="1:15" hidden="1" x14ac:dyDescent="0.25">
      <c r="A427" s="2" t="s">
        <v>151</v>
      </c>
      <c r="B427" s="3">
        <v>45642</v>
      </c>
      <c r="C427" s="5">
        <v>45627</v>
      </c>
      <c r="D427" s="2" t="s">
        <v>18</v>
      </c>
      <c r="E427" s="2">
        <v>5100</v>
      </c>
      <c r="F427" s="2" t="s">
        <v>56</v>
      </c>
      <c r="G427" s="2" t="s">
        <v>1025</v>
      </c>
      <c r="H427" s="4">
        <v>-4585.2299999999996</v>
      </c>
      <c r="I427" s="4">
        <v>-4585.2299999999996</v>
      </c>
      <c r="J427" s="4">
        <v>-4585.2299999999996</v>
      </c>
      <c r="K427" s="4">
        <v>4585.2299999999996</v>
      </c>
      <c r="L427" s="4"/>
      <c r="M427" s="2" t="s">
        <v>1084</v>
      </c>
      <c r="N427" s="2" t="s">
        <v>10</v>
      </c>
      <c r="O427" s="2" t="s">
        <v>123</v>
      </c>
    </row>
    <row r="428" spans="1:15" hidden="1" x14ac:dyDescent="0.25">
      <c r="A428" s="2" t="s">
        <v>240</v>
      </c>
      <c r="B428" s="3">
        <v>45643</v>
      </c>
      <c r="C428" s="5">
        <v>45627</v>
      </c>
      <c r="D428" s="2" t="s">
        <v>28</v>
      </c>
      <c r="E428" s="2">
        <v>6900</v>
      </c>
      <c r="F428" s="2" t="s">
        <v>76</v>
      </c>
      <c r="G428" s="2" t="s">
        <v>1047</v>
      </c>
      <c r="H428" s="4">
        <v>-33.299999999999997</v>
      </c>
      <c r="I428" s="4">
        <v>-33.299999999999997</v>
      </c>
      <c r="J428" s="4">
        <v>-33.299999999999997</v>
      </c>
      <c r="K428" s="4">
        <v>33.299999999999997</v>
      </c>
      <c r="L428" s="4"/>
      <c r="M428" s="2" t="s">
        <v>1084</v>
      </c>
      <c r="N428" s="2" t="s">
        <v>10</v>
      </c>
      <c r="O428" s="2" t="s">
        <v>10</v>
      </c>
    </row>
    <row r="429" spans="1:15" hidden="1" x14ac:dyDescent="0.25">
      <c r="A429" s="2" t="s">
        <v>567</v>
      </c>
      <c r="B429" s="3">
        <v>45566</v>
      </c>
      <c r="C429" s="5">
        <v>45566</v>
      </c>
      <c r="D429" s="2" t="s">
        <v>28</v>
      </c>
      <c r="E429" s="2">
        <v>6900</v>
      </c>
      <c r="F429" s="2" t="s">
        <v>76</v>
      </c>
      <c r="G429" s="2" t="s">
        <v>1047</v>
      </c>
      <c r="H429" s="4">
        <v>-13.4</v>
      </c>
      <c r="I429" s="4">
        <v>-13.4</v>
      </c>
      <c r="J429" s="4">
        <v>-13.4</v>
      </c>
      <c r="K429" s="4">
        <v>13.4</v>
      </c>
      <c r="L429" s="4"/>
      <c r="M429" s="2" t="s">
        <v>1084</v>
      </c>
      <c r="N429" s="2" t="s">
        <v>10</v>
      </c>
      <c r="O429" s="2" t="s">
        <v>10</v>
      </c>
    </row>
    <row r="430" spans="1:15" hidden="1" x14ac:dyDescent="0.25">
      <c r="A430" s="2" t="s">
        <v>92</v>
      </c>
      <c r="B430" s="3">
        <v>45475</v>
      </c>
      <c r="C430" s="5">
        <v>45474</v>
      </c>
      <c r="D430" s="2" t="s">
        <v>35</v>
      </c>
      <c r="E430" s="2">
        <v>4000</v>
      </c>
      <c r="F430" s="2" t="s">
        <v>34</v>
      </c>
      <c r="G430" s="2" t="s">
        <v>1027</v>
      </c>
      <c r="H430" s="4">
        <v>10370.549999999999</v>
      </c>
      <c r="I430" s="4">
        <v>10370.549999999999</v>
      </c>
      <c r="J430" s="4">
        <v>10370.549999999999</v>
      </c>
      <c r="K430" s="4">
        <v>10370.549999999999</v>
      </c>
      <c r="L430" s="4"/>
      <c r="M430" s="2" t="s">
        <v>1084</v>
      </c>
      <c r="N430" s="2" t="s">
        <v>10</v>
      </c>
      <c r="O430" s="2" t="s">
        <v>10</v>
      </c>
    </row>
    <row r="431" spans="1:15" hidden="1" x14ac:dyDescent="0.25">
      <c r="A431" s="2" t="s">
        <v>318</v>
      </c>
      <c r="B431" s="3">
        <v>45489</v>
      </c>
      <c r="C431" s="5">
        <v>45474</v>
      </c>
      <c r="D431" s="2" t="s">
        <v>39</v>
      </c>
      <c r="E431" s="2">
        <v>6500</v>
      </c>
      <c r="F431" s="2" t="s">
        <v>69</v>
      </c>
      <c r="G431" s="2" t="s">
        <v>1052</v>
      </c>
      <c r="H431" s="4">
        <v>-6697.85</v>
      </c>
      <c r="I431" s="4">
        <v>-6697.85</v>
      </c>
      <c r="J431" s="4">
        <v>-6697.85</v>
      </c>
      <c r="K431" s="4">
        <v>6697.85</v>
      </c>
      <c r="L431" s="4"/>
      <c r="M431" s="2" t="s">
        <v>1084</v>
      </c>
      <c r="N431" s="2" t="s">
        <v>10</v>
      </c>
      <c r="O431" s="2" t="s">
        <v>10</v>
      </c>
    </row>
    <row r="432" spans="1:15" hidden="1" x14ac:dyDescent="0.25">
      <c r="A432" s="2" t="s">
        <v>366</v>
      </c>
      <c r="B432" s="3">
        <v>45649</v>
      </c>
      <c r="C432" s="5">
        <v>45627</v>
      </c>
      <c r="D432" s="2" t="s">
        <v>35</v>
      </c>
      <c r="E432" s="2">
        <v>4000</v>
      </c>
      <c r="F432" s="2" t="s">
        <v>103</v>
      </c>
      <c r="G432" s="2" t="s">
        <v>1049</v>
      </c>
      <c r="H432" s="4">
        <v>5202.07</v>
      </c>
      <c r="I432" s="4">
        <v>5202.07</v>
      </c>
      <c r="J432" s="4">
        <v>5202.07</v>
      </c>
      <c r="K432" s="4">
        <v>5202.07</v>
      </c>
      <c r="L432" s="4"/>
      <c r="M432" s="2" t="s">
        <v>1084</v>
      </c>
      <c r="N432" s="2" t="s">
        <v>10</v>
      </c>
      <c r="O432" s="2" t="s">
        <v>10</v>
      </c>
    </row>
    <row r="433" spans="1:15" hidden="1" x14ac:dyDescent="0.25">
      <c r="A433" s="2" t="s">
        <v>971</v>
      </c>
      <c r="B433" s="3">
        <v>45395</v>
      </c>
      <c r="C433" s="5">
        <v>45383</v>
      </c>
      <c r="D433" s="2" t="s">
        <v>39</v>
      </c>
      <c r="E433" s="2">
        <v>6500</v>
      </c>
      <c r="F433" s="2" t="s">
        <v>69</v>
      </c>
      <c r="G433" s="2" t="s">
        <v>1052</v>
      </c>
      <c r="H433" s="4">
        <v>-1527.38</v>
      </c>
      <c r="I433" s="4">
        <v>-1527.38</v>
      </c>
      <c r="J433" s="4">
        <v>-1527.38</v>
      </c>
      <c r="K433" s="4">
        <v>1527.38</v>
      </c>
      <c r="L433" s="4"/>
      <c r="M433" s="2" t="s">
        <v>1084</v>
      </c>
      <c r="N433" s="2" t="s">
        <v>10</v>
      </c>
      <c r="O433" s="2" t="s">
        <v>10</v>
      </c>
    </row>
    <row r="434" spans="1:15" hidden="1" x14ac:dyDescent="0.25">
      <c r="A434" s="2" t="s">
        <v>216</v>
      </c>
      <c r="B434" s="3">
        <v>45418</v>
      </c>
      <c r="C434" s="5">
        <v>45413</v>
      </c>
      <c r="D434" s="2" t="s">
        <v>28</v>
      </c>
      <c r="E434" s="2">
        <v>6900</v>
      </c>
      <c r="F434" s="2" t="s">
        <v>76</v>
      </c>
      <c r="G434" s="2" t="s">
        <v>1047</v>
      </c>
      <c r="H434" s="4">
        <v>-43.38</v>
      </c>
      <c r="I434" s="4">
        <v>-43.38</v>
      </c>
      <c r="J434" s="4">
        <v>-43.38</v>
      </c>
      <c r="K434" s="4">
        <v>43.38</v>
      </c>
      <c r="L434" s="4"/>
      <c r="M434" s="2" t="s">
        <v>1084</v>
      </c>
      <c r="N434" s="2" t="s">
        <v>10</v>
      </c>
      <c r="O434" s="2" t="s">
        <v>10</v>
      </c>
    </row>
    <row r="435" spans="1:15" hidden="1" x14ac:dyDescent="0.25">
      <c r="A435" s="2" t="s">
        <v>337</v>
      </c>
      <c r="B435" s="3">
        <v>45619</v>
      </c>
      <c r="C435" s="5">
        <v>45597</v>
      </c>
      <c r="D435" s="2" t="s">
        <v>18</v>
      </c>
      <c r="E435" s="2">
        <v>5100</v>
      </c>
      <c r="F435" s="2" t="s">
        <v>81</v>
      </c>
      <c r="G435" s="2" t="s">
        <v>1039</v>
      </c>
      <c r="H435" s="4">
        <v>-13716.62</v>
      </c>
      <c r="I435" s="4">
        <v>-13716.62</v>
      </c>
      <c r="J435" s="4">
        <v>-13716.62</v>
      </c>
      <c r="K435" s="4">
        <v>13716.62</v>
      </c>
      <c r="L435" s="4"/>
      <c r="M435" s="2" t="s">
        <v>1084</v>
      </c>
      <c r="N435" s="2" t="s">
        <v>10</v>
      </c>
      <c r="O435" s="2" t="s">
        <v>10</v>
      </c>
    </row>
    <row r="436" spans="1:15" hidden="1" x14ac:dyDescent="0.25">
      <c r="A436" s="2" t="s">
        <v>441</v>
      </c>
      <c r="B436" s="3">
        <v>45433</v>
      </c>
      <c r="C436" s="5">
        <v>45413</v>
      </c>
      <c r="D436" s="2" t="s">
        <v>24</v>
      </c>
      <c r="E436" s="2">
        <v>6300</v>
      </c>
      <c r="F436" s="2" t="s">
        <v>94</v>
      </c>
      <c r="G436" s="2" t="s">
        <v>1053</v>
      </c>
      <c r="H436" s="4">
        <v>-616.38</v>
      </c>
      <c r="I436" s="4">
        <v>-616.38</v>
      </c>
      <c r="J436" s="4">
        <v>-616.38</v>
      </c>
      <c r="K436" s="4">
        <v>616.38</v>
      </c>
      <c r="L436" s="4"/>
      <c r="M436" s="2" t="s">
        <v>1084</v>
      </c>
      <c r="N436" s="2" t="s">
        <v>10</v>
      </c>
      <c r="O436" s="2" t="s">
        <v>10</v>
      </c>
    </row>
    <row r="437" spans="1:15" hidden="1" x14ac:dyDescent="0.25">
      <c r="A437" s="2" t="s">
        <v>25</v>
      </c>
      <c r="B437" s="3">
        <v>45377</v>
      </c>
      <c r="C437" s="5">
        <v>45352</v>
      </c>
      <c r="D437" s="2" t="s">
        <v>18</v>
      </c>
      <c r="E437" s="2">
        <v>5100</v>
      </c>
      <c r="F437" s="2" t="s">
        <v>17</v>
      </c>
      <c r="G437" s="2" t="s">
        <v>1037</v>
      </c>
      <c r="H437" s="4">
        <v>-12254.21</v>
      </c>
      <c r="I437" s="4">
        <v>-12254.21</v>
      </c>
      <c r="J437" s="4">
        <v>-12254.21</v>
      </c>
      <c r="K437" s="4">
        <v>12254.21</v>
      </c>
      <c r="L437" s="4"/>
      <c r="M437" s="2" t="s">
        <v>1084</v>
      </c>
      <c r="N437" s="2" t="s">
        <v>10</v>
      </c>
      <c r="O437" s="2" t="s">
        <v>10</v>
      </c>
    </row>
    <row r="438" spans="1:15" hidden="1" x14ac:dyDescent="0.25">
      <c r="A438" s="2" t="s">
        <v>167</v>
      </c>
      <c r="B438" s="3">
        <v>45496</v>
      </c>
      <c r="C438" s="5">
        <v>45474</v>
      </c>
      <c r="D438" s="2" t="s">
        <v>13</v>
      </c>
      <c r="E438" s="2">
        <v>6400</v>
      </c>
      <c r="F438" s="2" t="s">
        <v>21</v>
      </c>
      <c r="G438" s="2" t="s">
        <v>1030</v>
      </c>
      <c r="H438" s="4">
        <v>-1024.6300000000001</v>
      </c>
      <c r="I438" s="4">
        <v>-1024.6300000000001</v>
      </c>
      <c r="J438" s="4">
        <v>-1024.6300000000001</v>
      </c>
      <c r="K438" s="4">
        <v>1024.6300000000001</v>
      </c>
      <c r="L438" s="4"/>
      <c r="M438" s="2" t="s">
        <v>1084</v>
      </c>
      <c r="N438" s="2" t="s">
        <v>10</v>
      </c>
      <c r="O438" s="2" t="s">
        <v>10</v>
      </c>
    </row>
    <row r="439" spans="1:15" hidden="1" x14ac:dyDescent="0.25">
      <c r="A439" s="2" t="s">
        <v>474</v>
      </c>
      <c r="B439" s="3">
        <v>45410</v>
      </c>
      <c r="C439" s="5">
        <v>45383</v>
      </c>
      <c r="D439" s="2" t="s">
        <v>31</v>
      </c>
      <c r="E439" s="2">
        <v>4900</v>
      </c>
      <c r="F439" s="2" t="s">
        <v>30</v>
      </c>
      <c r="G439" s="2" t="s">
        <v>1024</v>
      </c>
      <c r="H439" s="4">
        <v>385.98</v>
      </c>
      <c r="I439" s="4">
        <v>385.98</v>
      </c>
      <c r="J439" s="4">
        <v>385.98</v>
      </c>
      <c r="K439" s="4">
        <v>385.98</v>
      </c>
      <c r="L439" s="4"/>
      <c r="M439" s="2" t="s">
        <v>1084</v>
      </c>
      <c r="N439" s="2" t="s">
        <v>10</v>
      </c>
      <c r="O439" s="2" t="s">
        <v>10</v>
      </c>
    </row>
    <row r="440" spans="1:15" hidden="1" x14ac:dyDescent="0.25">
      <c r="A440" s="2" t="s">
        <v>696</v>
      </c>
      <c r="B440" s="3">
        <v>45617</v>
      </c>
      <c r="C440" s="5">
        <v>45597</v>
      </c>
      <c r="D440" s="2" t="s">
        <v>35</v>
      </c>
      <c r="E440" s="2">
        <v>4000</v>
      </c>
      <c r="F440" s="2" t="s">
        <v>34</v>
      </c>
      <c r="G440" s="2" t="s">
        <v>1027</v>
      </c>
      <c r="H440" s="4">
        <v>11033.95</v>
      </c>
      <c r="I440" s="4">
        <v>11033.95</v>
      </c>
      <c r="J440" s="4">
        <v>11033.95</v>
      </c>
      <c r="K440" s="4">
        <v>11033.95</v>
      </c>
      <c r="L440" s="4"/>
      <c r="M440" s="2" t="s">
        <v>1084</v>
      </c>
      <c r="N440" s="2" t="s">
        <v>10</v>
      </c>
      <c r="O440" s="2" t="s">
        <v>10</v>
      </c>
    </row>
    <row r="441" spans="1:15" hidden="1" x14ac:dyDescent="0.25">
      <c r="A441" s="2" t="s">
        <v>172</v>
      </c>
      <c r="B441" s="3">
        <v>45623</v>
      </c>
      <c r="C441" s="5">
        <v>45597</v>
      </c>
      <c r="D441" s="2" t="s">
        <v>59</v>
      </c>
      <c r="E441" s="2">
        <v>6200</v>
      </c>
      <c r="F441" s="2" t="s">
        <v>71</v>
      </c>
      <c r="G441" s="2" t="s">
        <v>1050</v>
      </c>
      <c r="H441" s="4">
        <v>-547.39</v>
      </c>
      <c r="I441" s="4">
        <v>-547.39</v>
      </c>
      <c r="J441" s="4">
        <v>-547.39</v>
      </c>
      <c r="K441" s="4">
        <v>547.39</v>
      </c>
      <c r="L441" s="4"/>
      <c r="M441" s="2" t="s">
        <v>1084</v>
      </c>
      <c r="N441" s="2" t="s">
        <v>10</v>
      </c>
      <c r="O441" s="2" t="s">
        <v>10</v>
      </c>
    </row>
    <row r="442" spans="1:15" hidden="1" x14ac:dyDescent="0.25">
      <c r="A442" s="2" t="s">
        <v>709</v>
      </c>
      <c r="B442" s="3">
        <v>45403</v>
      </c>
      <c r="C442" s="5">
        <v>45383</v>
      </c>
      <c r="D442" s="2" t="s">
        <v>31</v>
      </c>
      <c r="E442" s="2">
        <v>4900</v>
      </c>
      <c r="F442" s="2" t="s">
        <v>146</v>
      </c>
      <c r="G442" s="2" t="s">
        <v>1031</v>
      </c>
      <c r="H442" s="4">
        <v>311.44</v>
      </c>
      <c r="I442" s="4">
        <v>311.44</v>
      </c>
      <c r="J442" s="4">
        <v>311.44</v>
      </c>
      <c r="K442" s="4">
        <v>311.44</v>
      </c>
      <c r="L442" s="4"/>
      <c r="M442" s="2" t="s">
        <v>1084</v>
      </c>
      <c r="N442" s="2" t="s">
        <v>10</v>
      </c>
      <c r="O442" s="2" t="s">
        <v>10</v>
      </c>
    </row>
    <row r="443" spans="1:15" hidden="1" x14ac:dyDescent="0.25">
      <c r="A443" s="2" t="s">
        <v>652</v>
      </c>
      <c r="B443" s="3">
        <v>45485</v>
      </c>
      <c r="C443" s="5">
        <v>45474</v>
      </c>
      <c r="D443" s="2" t="s">
        <v>59</v>
      </c>
      <c r="E443" s="2">
        <v>6200</v>
      </c>
      <c r="F443" s="2" t="s">
        <v>71</v>
      </c>
      <c r="G443" s="2" t="s">
        <v>1050</v>
      </c>
      <c r="H443" s="4">
        <v>-937.63</v>
      </c>
      <c r="I443" s="4">
        <v>-937.63</v>
      </c>
      <c r="J443" s="4">
        <v>-937.63</v>
      </c>
      <c r="K443" s="4">
        <v>937.63</v>
      </c>
      <c r="L443" s="4"/>
      <c r="M443" s="2" t="s">
        <v>1084</v>
      </c>
      <c r="N443" s="2" t="s">
        <v>10</v>
      </c>
      <c r="O443" s="2" t="s">
        <v>10</v>
      </c>
    </row>
    <row r="444" spans="1:15" hidden="1" x14ac:dyDescent="0.25">
      <c r="A444" s="2" t="s">
        <v>619</v>
      </c>
      <c r="B444" s="3">
        <v>45651</v>
      </c>
      <c r="C444" s="5">
        <v>45627</v>
      </c>
      <c r="D444" s="2" t="s">
        <v>18</v>
      </c>
      <c r="E444" s="2">
        <v>5100</v>
      </c>
      <c r="F444" s="2" t="s">
        <v>56</v>
      </c>
      <c r="G444" s="2" t="s">
        <v>1025</v>
      </c>
      <c r="H444" s="4">
        <v>-12559.86</v>
      </c>
      <c r="I444" s="4">
        <v>-12559.86</v>
      </c>
      <c r="J444" s="4">
        <v>-12559.86</v>
      </c>
      <c r="K444" s="4">
        <v>12559.86</v>
      </c>
      <c r="L444" s="4"/>
      <c r="M444" s="2" t="s">
        <v>1084</v>
      </c>
      <c r="N444" s="2" t="s">
        <v>10</v>
      </c>
      <c r="O444" s="2" t="s">
        <v>10</v>
      </c>
    </row>
    <row r="445" spans="1:15" hidden="1" x14ac:dyDescent="0.25">
      <c r="A445" s="2" t="s">
        <v>150</v>
      </c>
      <c r="B445" s="3">
        <v>45562</v>
      </c>
      <c r="C445" s="5">
        <v>45536</v>
      </c>
      <c r="D445" s="2" t="s">
        <v>24</v>
      </c>
      <c r="E445" s="2">
        <v>6300</v>
      </c>
      <c r="F445" s="2" t="s">
        <v>127</v>
      </c>
      <c r="G445" s="2" t="s">
        <v>1035</v>
      </c>
      <c r="H445" s="4">
        <v>-207.51</v>
      </c>
      <c r="I445" s="4">
        <v>-207.51</v>
      </c>
      <c r="J445" s="4">
        <v>-207.51</v>
      </c>
      <c r="K445" s="4">
        <v>207.51</v>
      </c>
      <c r="L445" s="4"/>
      <c r="M445" s="2" t="s">
        <v>1084</v>
      </c>
      <c r="N445" s="2" t="s">
        <v>10</v>
      </c>
      <c r="O445" s="2" t="s">
        <v>10</v>
      </c>
    </row>
    <row r="446" spans="1:15" hidden="1" x14ac:dyDescent="0.25">
      <c r="A446" s="2" t="s">
        <v>759</v>
      </c>
      <c r="B446" s="3">
        <v>45370</v>
      </c>
      <c r="C446" s="5">
        <v>45352</v>
      </c>
      <c r="D446" s="2" t="s">
        <v>13</v>
      </c>
      <c r="E446" s="2">
        <v>6400</v>
      </c>
      <c r="F446" s="2" t="s">
        <v>12</v>
      </c>
      <c r="G446" s="2" t="s">
        <v>1032</v>
      </c>
      <c r="H446" s="4">
        <v>-2033.39</v>
      </c>
      <c r="I446" s="4">
        <v>-2033.39</v>
      </c>
      <c r="J446" s="4">
        <v>-2033.39</v>
      </c>
      <c r="K446" s="4">
        <v>2033.39</v>
      </c>
      <c r="L446" s="4"/>
      <c r="M446" s="2" t="s">
        <v>1084</v>
      </c>
      <c r="N446" s="2" t="s">
        <v>10</v>
      </c>
      <c r="O446" s="2" t="s">
        <v>10</v>
      </c>
    </row>
    <row r="447" spans="1:15" hidden="1" x14ac:dyDescent="0.25">
      <c r="A447" s="2" t="s">
        <v>596</v>
      </c>
      <c r="B447" s="3">
        <v>45507</v>
      </c>
      <c r="C447" s="5">
        <v>45505</v>
      </c>
      <c r="D447" s="2" t="s">
        <v>9</v>
      </c>
      <c r="E447" s="2">
        <v>6100</v>
      </c>
      <c r="F447" s="2" t="s">
        <v>44</v>
      </c>
      <c r="G447" s="2" t="s">
        <v>1054</v>
      </c>
      <c r="H447" s="4">
        <v>-5969.2</v>
      </c>
      <c r="I447" s="4">
        <v>-5969.2</v>
      </c>
      <c r="J447" s="4">
        <v>-5969.2</v>
      </c>
      <c r="K447" s="4">
        <v>5969.2</v>
      </c>
      <c r="L447" s="4"/>
      <c r="M447" s="2" t="s">
        <v>1084</v>
      </c>
      <c r="N447" s="2" t="s">
        <v>10</v>
      </c>
      <c r="O447" s="2" t="s">
        <v>10</v>
      </c>
    </row>
    <row r="448" spans="1:15" hidden="1" x14ac:dyDescent="0.25">
      <c r="A448" s="2" t="s">
        <v>66</v>
      </c>
      <c r="B448" s="3">
        <v>45518</v>
      </c>
      <c r="C448" s="5">
        <v>45505</v>
      </c>
      <c r="D448" s="2" t="s">
        <v>59</v>
      </c>
      <c r="E448" s="2">
        <v>6200</v>
      </c>
      <c r="F448" s="2" t="s">
        <v>67</v>
      </c>
      <c r="G448" s="2" t="s">
        <v>1028</v>
      </c>
      <c r="H448" s="4">
        <v>-289.2</v>
      </c>
      <c r="I448" s="4">
        <v>-289.2</v>
      </c>
      <c r="J448" s="4">
        <v>-289.2</v>
      </c>
      <c r="K448" s="4">
        <v>289.2</v>
      </c>
      <c r="L448" s="4"/>
      <c r="M448" s="2" t="s">
        <v>1084</v>
      </c>
      <c r="N448" s="2" t="s">
        <v>10</v>
      </c>
      <c r="O448" s="2" t="s">
        <v>10</v>
      </c>
    </row>
    <row r="449" spans="1:15" hidden="1" x14ac:dyDescent="0.25">
      <c r="A449" s="2" t="s">
        <v>525</v>
      </c>
      <c r="B449" s="3">
        <v>45530</v>
      </c>
      <c r="C449" s="5">
        <v>45505</v>
      </c>
      <c r="D449" s="2" t="s">
        <v>31</v>
      </c>
      <c r="E449" s="2">
        <v>4900</v>
      </c>
      <c r="F449" s="2" t="s">
        <v>30</v>
      </c>
      <c r="G449" s="2" t="s">
        <v>1024</v>
      </c>
      <c r="H449" s="4">
        <v>209.97</v>
      </c>
      <c r="I449" s="4">
        <v>209.97</v>
      </c>
      <c r="J449" s="4">
        <v>209.97</v>
      </c>
      <c r="K449" s="4">
        <v>209.97</v>
      </c>
      <c r="L449" s="4"/>
      <c r="M449" s="2" t="s">
        <v>1084</v>
      </c>
      <c r="N449" s="2" t="s">
        <v>10</v>
      </c>
      <c r="O449" s="2" t="s">
        <v>10</v>
      </c>
    </row>
    <row r="450" spans="1:15" hidden="1" x14ac:dyDescent="0.25">
      <c r="A450" s="2" t="s">
        <v>520</v>
      </c>
      <c r="B450" s="3">
        <v>45301</v>
      </c>
      <c r="C450" s="5">
        <v>45292</v>
      </c>
      <c r="D450" s="2" t="s">
        <v>13</v>
      </c>
      <c r="E450" s="2">
        <v>6400</v>
      </c>
      <c r="F450" s="2" t="s">
        <v>12</v>
      </c>
      <c r="G450" s="2" t="s">
        <v>1032</v>
      </c>
      <c r="H450" s="4">
        <v>-384.52</v>
      </c>
      <c r="I450" s="4">
        <v>-384.52</v>
      </c>
      <c r="J450" s="4">
        <v>-384.52</v>
      </c>
      <c r="K450" s="4">
        <v>384.52</v>
      </c>
      <c r="L450" s="4"/>
      <c r="M450" s="2" t="s">
        <v>1084</v>
      </c>
      <c r="N450" s="2" t="s">
        <v>10</v>
      </c>
      <c r="O450" s="2" t="s">
        <v>10</v>
      </c>
    </row>
    <row r="451" spans="1:15" hidden="1" x14ac:dyDescent="0.25">
      <c r="A451" s="2" t="s">
        <v>407</v>
      </c>
      <c r="B451" s="3">
        <v>45401</v>
      </c>
      <c r="C451" s="5">
        <v>45383</v>
      </c>
      <c r="D451" s="2" t="s">
        <v>52</v>
      </c>
      <c r="E451" s="2">
        <v>6000</v>
      </c>
      <c r="F451" s="2" t="s">
        <v>97</v>
      </c>
      <c r="G451" s="2" t="s">
        <v>1046</v>
      </c>
      <c r="H451" s="4">
        <v>-5649.96</v>
      </c>
      <c r="I451" s="4">
        <v>-5649.96</v>
      </c>
      <c r="J451" s="4">
        <v>-5649.96</v>
      </c>
      <c r="K451" s="4">
        <v>5649.96</v>
      </c>
      <c r="L451" s="4"/>
      <c r="M451" s="2" t="s">
        <v>1084</v>
      </c>
      <c r="N451" s="2" t="s">
        <v>10</v>
      </c>
      <c r="O451" s="2" t="s">
        <v>10</v>
      </c>
    </row>
    <row r="452" spans="1:15" hidden="1" x14ac:dyDescent="0.25">
      <c r="A452" s="2" t="s">
        <v>823</v>
      </c>
      <c r="B452" s="3">
        <v>45603</v>
      </c>
      <c r="C452" s="5">
        <v>45597</v>
      </c>
      <c r="D452" s="2" t="s">
        <v>31</v>
      </c>
      <c r="E452" s="2">
        <v>4900</v>
      </c>
      <c r="F452" s="2" t="s">
        <v>79</v>
      </c>
      <c r="G452" s="2" t="s">
        <v>1026</v>
      </c>
      <c r="H452" s="4">
        <v>151.76</v>
      </c>
      <c r="I452" s="4">
        <v>151.76</v>
      </c>
      <c r="J452" s="4">
        <v>151.76</v>
      </c>
      <c r="K452" s="4">
        <v>151.76</v>
      </c>
      <c r="L452" s="4"/>
      <c r="M452" s="2" t="s">
        <v>1084</v>
      </c>
      <c r="N452" s="2" t="s">
        <v>10</v>
      </c>
      <c r="O452" s="2" t="s">
        <v>10</v>
      </c>
    </row>
    <row r="453" spans="1:15" hidden="1" x14ac:dyDescent="0.25">
      <c r="A453" s="2" t="s">
        <v>805</v>
      </c>
      <c r="B453" s="3">
        <v>45380</v>
      </c>
      <c r="C453" s="5">
        <v>45352</v>
      </c>
      <c r="D453" s="2" t="s">
        <v>31</v>
      </c>
      <c r="E453" s="2">
        <v>4900</v>
      </c>
      <c r="F453" s="2" t="s">
        <v>146</v>
      </c>
      <c r="G453" s="2" t="s">
        <v>1031</v>
      </c>
      <c r="H453" s="4">
        <v>79.59</v>
      </c>
      <c r="I453" s="4">
        <v>79.59</v>
      </c>
      <c r="J453" s="4">
        <v>79.59</v>
      </c>
      <c r="K453" s="4">
        <v>79.59</v>
      </c>
      <c r="L453" s="4"/>
      <c r="M453" s="2" t="s">
        <v>1084</v>
      </c>
      <c r="N453" s="2" t="s">
        <v>10</v>
      </c>
      <c r="O453" s="2" t="s">
        <v>10</v>
      </c>
    </row>
    <row r="454" spans="1:15" hidden="1" x14ac:dyDescent="0.25">
      <c r="A454" s="2" t="s">
        <v>117</v>
      </c>
      <c r="B454" s="3">
        <v>45401</v>
      </c>
      <c r="C454" s="5">
        <v>45383</v>
      </c>
      <c r="D454" s="2" t="s">
        <v>24</v>
      </c>
      <c r="E454" s="2">
        <v>6300</v>
      </c>
      <c r="F454" s="2" t="s">
        <v>23</v>
      </c>
      <c r="G454" s="2" t="s">
        <v>1045</v>
      </c>
      <c r="H454" s="4">
        <v>-380.84</v>
      </c>
      <c r="I454" s="4">
        <v>-380.84</v>
      </c>
      <c r="J454" s="4">
        <v>-380.84</v>
      </c>
      <c r="K454" s="4">
        <v>380.84</v>
      </c>
      <c r="L454" s="4"/>
      <c r="M454" s="2" t="s">
        <v>1084</v>
      </c>
      <c r="N454" s="2" t="s">
        <v>10</v>
      </c>
      <c r="O454" s="2" t="s">
        <v>10</v>
      </c>
    </row>
    <row r="455" spans="1:15" hidden="1" x14ac:dyDescent="0.25">
      <c r="A455" s="2" t="s">
        <v>102</v>
      </c>
      <c r="B455" s="3">
        <v>45409</v>
      </c>
      <c r="C455" s="5">
        <v>45383</v>
      </c>
      <c r="D455" s="2" t="s">
        <v>35</v>
      </c>
      <c r="E455" s="2">
        <v>4000</v>
      </c>
      <c r="F455" s="2" t="s">
        <v>103</v>
      </c>
      <c r="G455" s="2" t="s">
        <v>1049</v>
      </c>
      <c r="H455" s="4">
        <v>12245.72</v>
      </c>
      <c r="I455" s="4">
        <v>12245.72</v>
      </c>
      <c r="J455" s="4">
        <v>12245.72</v>
      </c>
      <c r="K455" s="4">
        <v>12245.72</v>
      </c>
      <c r="L455" s="4"/>
      <c r="M455" s="2" t="s">
        <v>1084</v>
      </c>
      <c r="N455" s="2" t="s">
        <v>10</v>
      </c>
      <c r="O455" s="2" t="s">
        <v>10</v>
      </c>
    </row>
    <row r="456" spans="1:15" hidden="1" x14ac:dyDescent="0.25">
      <c r="A456" s="2" t="s">
        <v>965</v>
      </c>
      <c r="B456" s="3">
        <v>45356</v>
      </c>
      <c r="C456" s="5">
        <v>45352</v>
      </c>
      <c r="D456" s="2" t="s">
        <v>13</v>
      </c>
      <c r="E456" s="2">
        <v>6400</v>
      </c>
      <c r="F456" s="2" t="s">
        <v>12</v>
      </c>
      <c r="G456" s="2" t="s">
        <v>1032</v>
      </c>
      <c r="H456" s="4">
        <v>-2276.5</v>
      </c>
      <c r="I456" s="4">
        <v>-2276.5</v>
      </c>
      <c r="J456" s="4">
        <v>-2276.5</v>
      </c>
      <c r="K456" s="4">
        <v>2276.5</v>
      </c>
      <c r="L456" s="4"/>
      <c r="M456" s="2" t="s">
        <v>1084</v>
      </c>
      <c r="N456" s="2" t="s">
        <v>10</v>
      </c>
      <c r="O456" s="2" t="s">
        <v>10</v>
      </c>
    </row>
    <row r="457" spans="1:15" hidden="1" x14ac:dyDescent="0.25">
      <c r="A457" s="2" t="s">
        <v>32</v>
      </c>
      <c r="B457" s="3">
        <v>45348</v>
      </c>
      <c r="C457" s="5">
        <v>45323</v>
      </c>
      <c r="D457" s="2" t="s">
        <v>13</v>
      </c>
      <c r="E457" s="2">
        <v>6400</v>
      </c>
      <c r="F457" s="2" t="s">
        <v>12</v>
      </c>
      <c r="G457" s="2" t="s">
        <v>1032</v>
      </c>
      <c r="H457" s="4">
        <v>-2441.17</v>
      </c>
      <c r="I457" s="4">
        <v>-2441.17</v>
      </c>
      <c r="J457" s="4">
        <v>-2441.17</v>
      </c>
      <c r="K457" s="4">
        <v>2441.17</v>
      </c>
      <c r="L457" s="4"/>
      <c r="M457" s="2" t="s">
        <v>1084</v>
      </c>
      <c r="N457" s="2" t="s">
        <v>10</v>
      </c>
      <c r="O457" s="2" t="s">
        <v>10</v>
      </c>
    </row>
    <row r="458" spans="1:15" hidden="1" x14ac:dyDescent="0.25">
      <c r="A458" s="2" t="s">
        <v>969</v>
      </c>
      <c r="B458" s="3">
        <v>45418</v>
      </c>
      <c r="C458" s="5">
        <v>45413</v>
      </c>
      <c r="D458" s="2" t="s">
        <v>18</v>
      </c>
      <c r="E458" s="2">
        <v>5100</v>
      </c>
      <c r="F458" s="2" t="s">
        <v>17</v>
      </c>
      <c r="G458" s="2" t="s">
        <v>1037</v>
      </c>
      <c r="H458" s="4">
        <v>-6295.28</v>
      </c>
      <c r="I458" s="4">
        <v>-6295.28</v>
      </c>
      <c r="J458" s="4">
        <v>-6295.28</v>
      </c>
      <c r="K458" s="4">
        <v>6295.28</v>
      </c>
      <c r="L458" s="4"/>
      <c r="M458" s="2" t="s">
        <v>1084</v>
      </c>
      <c r="N458" s="2" t="s">
        <v>10</v>
      </c>
      <c r="O458" s="2" t="s">
        <v>10</v>
      </c>
    </row>
    <row r="459" spans="1:15" hidden="1" x14ac:dyDescent="0.25">
      <c r="A459" s="2" t="s">
        <v>7</v>
      </c>
      <c r="B459" s="3">
        <v>45611</v>
      </c>
      <c r="C459" s="5">
        <v>45597</v>
      </c>
      <c r="D459" s="2" t="s">
        <v>9</v>
      </c>
      <c r="E459" s="2">
        <v>6100</v>
      </c>
      <c r="F459" s="2" t="s">
        <v>8</v>
      </c>
      <c r="G459" s="2" t="s">
        <v>1042</v>
      </c>
      <c r="H459" s="4">
        <v>-2897.44</v>
      </c>
      <c r="I459" s="4">
        <v>-2897.44</v>
      </c>
      <c r="J459" s="4">
        <v>-2897.44</v>
      </c>
      <c r="K459" s="4">
        <v>2897.44</v>
      </c>
      <c r="L459" s="4"/>
      <c r="M459" s="2" t="s">
        <v>1084</v>
      </c>
      <c r="N459" s="2" t="s">
        <v>10</v>
      </c>
      <c r="O459" s="2" t="s">
        <v>10</v>
      </c>
    </row>
    <row r="460" spans="1:15" hidden="1" x14ac:dyDescent="0.25">
      <c r="A460" s="2" t="s">
        <v>733</v>
      </c>
      <c r="B460" s="3">
        <v>45292</v>
      </c>
      <c r="C460" s="5">
        <v>45292</v>
      </c>
      <c r="D460" s="2" t="s">
        <v>28</v>
      </c>
      <c r="E460" s="2">
        <v>6900</v>
      </c>
      <c r="F460" s="2" t="s">
        <v>76</v>
      </c>
      <c r="G460" s="2" t="s">
        <v>1047</v>
      </c>
      <c r="H460" s="4">
        <v>-40.65</v>
      </c>
      <c r="I460" s="4">
        <v>-40.65</v>
      </c>
      <c r="J460" s="4">
        <v>-40.65</v>
      </c>
      <c r="K460" s="4">
        <v>40.65</v>
      </c>
      <c r="L460" s="4"/>
      <c r="M460" s="2" t="s">
        <v>1084</v>
      </c>
      <c r="N460" s="2" t="s">
        <v>10</v>
      </c>
      <c r="O460" s="2" t="s">
        <v>10</v>
      </c>
    </row>
    <row r="461" spans="1:15" hidden="1" x14ac:dyDescent="0.25">
      <c r="A461" s="2" t="s">
        <v>413</v>
      </c>
      <c r="B461" s="3">
        <v>45395</v>
      </c>
      <c r="C461" s="5">
        <v>45383</v>
      </c>
      <c r="D461" s="2" t="s">
        <v>18</v>
      </c>
      <c r="E461" s="2">
        <v>5100</v>
      </c>
      <c r="F461" s="2" t="s">
        <v>81</v>
      </c>
      <c r="G461" s="2" t="s">
        <v>1039</v>
      </c>
      <c r="H461" s="4">
        <v>-11001.27</v>
      </c>
      <c r="I461" s="4">
        <v>-11001.27</v>
      </c>
      <c r="J461" s="4">
        <v>-11001.27</v>
      </c>
      <c r="K461" s="4">
        <v>11001.27</v>
      </c>
      <c r="L461" s="4"/>
      <c r="M461" s="2" t="s">
        <v>1084</v>
      </c>
      <c r="N461" s="2" t="s">
        <v>10</v>
      </c>
      <c r="O461" s="2" t="s">
        <v>10</v>
      </c>
    </row>
    <row r="462" spans="1:15" hidden="1" x14ac:dyDescent="0.25">
      <c r="A462" s="2" t="s">
        <v>688</v>
      </c>
      <c r="B462" s="3">
        <v>45314</v>
      </c>
      <c r="C462" s="5">
        <v>45292</v>
      </c>
      <c r="D462" s="2" t="s">
        <v>39</v>
      </c>
      <c r="E462" s="2">
        <v>6500</v>
      </c>
      <c r="F462" s="2" t="s">
        <v>38</v>
      </c>
      <c r="G462" s="2" t="s">
        <v>1029</v>
      </c>
      <c r="H462" s="4">
        <v>-917.64</v>
      </c>
      <c r="I462" s="4">
        <v>-917.64</v>
      </c>
      <c r="J462" s="4">
        <v>-917.64</v>
      </c>
      <c r="K462" s="4">
        <v>917.64</v>
      </c>
      <c r="L462" s="4"/>
      <c r="M462" s="2" t="s">
        <v>1084</v>
      </c>
      <c r="N462" s="2" t="s">
        <v>10</v>
      </c>
      <c r="O462" s="2" t="s">
        <v>10</v>
      </c>
    </row>
    <row r="463" spans="1:15" hidden="1" x14ac:dyDescent="0.25">
      <c r="A463" s="2" t="s">
        <v>906</v>
      </c>
      <c r="B463" s="3">
        <v>45496</v>
      </c>
      <c r="C463" s="5">
        <v>45474</v>
      </c>
      <c r="D463" s="2" t="s">
        <v>18</v>
      </c>
      <c r="E463" s="2">
        <v>5100</v>
      </c>
      <c r="F463" s="2" t="s">
        <v>81</v>
      </c>
      <c r="G463" s="2" t="s">
        <v>1039</v>
      </c>
      <c r="H463" s="4">
        <v>-7129.82</v>
      </c>
      <c r="I463" s="4">
        <v>-7129.82</v>
      </c>
      <c r="J463" s="4">
        <v>-7129.82</v>
      </c>
      <c r="K463" s="4">
        <v>7129.82</v>
      </c>
      <c r="L463" s="4"/>
      <c r="M463" s="2" t="s">
        <v>1084</v>
      </c>
      <c r="N463" s="2" t="s">
        <v>10</v>
      </c>
      <c r="O463" s="2" t="s">
        <v>10</v>
      </c>
    </row>
    <row r="464" spans="1:15" hidden="1" x14ac:dyDescent="0.25">
      <c r="A464" s="2" t="s">
        <v>292</v>
      </c>
      <c r="B464" s="3">
        <v>45383</v>
      </c>
      <c r="C464" s="5">
        <v>45383</v>
      </c>
      <c r="D464" s="2" t="s">
        <v>39</v>
      </c>
      <c r="E464" s="2">
        <v>6500</v>
      </c>
      <c r="F464" s="2" t="s">
        <v>38</v>
      </c>
      <c r="G464" s="2" t="s">
        <v>1029</v>
      </c>
      <c r="H464" s="4">
        <v>-1605.2</v>
      </c>
      <c r="I464" s="4">
        <v>-1605.2</v>
      </c>
      <c r="J464" s="4">
        <v>-1605.2</v>
      </c>
      <c r="K464" s="4">
        <v>1605.2</v>
      </c>
      <c r="L464" s="4"/>
      <c r="M464" s="2" t="s">
        <v>1084</v>
      </c>
      <c r="N464" s="2" t="s">
        <v>10</v>
      </c>
      <c r="O464" s="2" t="s">
        <v>123</v>
      </c>
    </row>
    <row r="465" spans="1:15" hidden="1" x14ac:dyDescent="0.25">
      <c r="A465" s="2" t="s">
        <v>333</v>
      </c>
      <c r="B465" s="3">
        <v>45581</v>
      </c>
      <c r="C465" s="5">
        <v>45566</v>
      </c>
      <c r="D465" s="2" t="s">
        <v>24</v>
      </c>
      <c r="E465" s="2">
        <v>6300</v>
      </c>
      <c r="F465" s="2" t="s">
        <v>23</v>
      </c>
      <c r="G465" s="2" t="s">
        <v>1045</v>
      </c>
      <c r="H465" s="4">
        <v>-428.17</v>
      </c>
      <c r="I465" s="4">
        <v>-428.17</v>
      </c>
      <c r="J465" s="4">
        <v>-428.17</v>
      </c>
      <c r="K465" s="4">
        <v>428.17</v>
      </c>
      <c r="L465" s="4"/>
      <c r="M465" s="2" t="s">
        <v>1084</v>
      </c>
      <c r="N465" s="2" t="s">
        <v>10</v>
      </c>
      <c r="O465" s="2" t="s">
        <v>10</v>
      </c>
    </row>
    <row r="466" spans="1:15" hidden="1" x14ac:dyDescent="0.25">
      <c r="A466" s="2" t="s">
        <v>486</v>
      </c>
      <c r="B466" s="3">
        <v>45505</v>
      </c>
      <c r="C466" s="5">
        <v>45505</v>
      </c>
      <c r="D466" s="2" t="s">
        <v>35</v>
      </c>
      <c r="E466" s="2">
        <v>4000</v>
      </c>
      <c r="F466" s="2" t="s">
        <v>103</v>
      </c>
      <c r="G466" s="2" t="s">
        <v>1049</v>
      </c>
      <c r="H466" s="4">
        <v>20003.48</v>
      </c>
      <c r="I466" s="4">
        <v>20003.48</v>
      </c>
      <c r="J466" s="4">
        <v>20003.48</v>
      </c>
      <c r="K466" s="4">
        <v>20003.48</v>
      </c>
      <c r="L466" s="4"/>
      <c r="M466" s="2" t="s">
        <v>1084</v>
      </c>
      <c r="N466" s="2" t="s">
        <v>10</v>
      </c>
      <c r="O466" s="2" t="s">
        <v>10</v>
      </c>
    </row>
    <row r="467" spans="1:15" hidden="1" x14ac:dyDescent="0.25">
      <c r="A467" s="2" t="s">
        <v>737</v>
      </c>
      <c r="B467" s="3">
        <v>45578</v>
      </c>
      <c r="C467" s="5">
        <v>45566</v>
      </c>
      <c r="D467" s="2" t="s">
        <v>31</v>
      </c>
      <c r="E467" s="2">
        <v>4900</v>
      </c>
      <c r="F467" s="2" t="s">
        <v>30</v>
      </c>
      <c r="G467" s="2" t="s">
        <v>1024</v>
      </c>
      <c r="H467" s="4">
        <v>363.5</v>
      </c>
      <c r="I467" s="4">
        <v>363.5</v>
      </c>
      <c r="J467" s="4">
        <v>363.5</v>
      </c>
      <c r="K467" s="4">
        <v>363.5</v>
      </c>
      <c r="L467" s="4"/>
      <c r="M467" s="2" t="s">
        <v>1084</v>
      </c>
      <c r="N467" s="2" t="s">
        <v>10</v>
      </c>
      <c r="O467" s="2" t="s">
        <v>10</v>
      </c>
    </row>
    <row r="468" spans="1:15" hidden="1" x14ac:dyDescent="0.25">
      <c r="A468" s="2" t="s">
        <v>950</v>
      </c>
      <c r="B468" s="3">
        <v>45523</v>
      </c>
      <c r="C468" s="5">
        <v>45505</v>
      </c>
      <c r="D468" s="2" t="s">
        <v>18</v>
      </c>
      <c r="E468" s="2">
        <v>5100</v>
      </c>
      <c r="F468" s="2" t="s">
        <v>56</v>
      </c>
      <c r="G468" s="2" t="s">
        <v>1025</v>
      </c>
      <c r="H468" s="4">
        <v>-4137.26</v>
      </c>
      <c r="I468" s="4">
        <v>-4137.26</v>
      </c>
      <c r="J468" s="4">
        <v>-4137.26</v>
      </c>
      <c r="K468" s="4">
        <v>4137.26</v>
      </c>
      <c r="L468" s="4"/>
      <c r="M468" s="2" t="s">
        <v>1084</v>
      </c>
      <c r="N468" s="2" t="s">
        <v>10</v>
      </c>
      <c r="O468" s="2" t="s">
        <v>10</v>
      </c>
    </row>
    <row r="469" spans="1:15" hidden="1" x14ac:dyDescent="0.25">
      <c r="A469" s="2" t="s">
        <v>200</v>
      </c>
      <c r="B469" s="3">
        <v>45452</v>
      </c>
      <c r="C469" s="5">
        <v>45444</v>
      </c>
      <c r="D469" s="2" t="s">
        <v>13</v>
      </c>
      <c r="E469" s="2">
        <v>6400</v>
      </c>
      <c r="F469" s="2" t="s">
        <v>12</v>
      </c>
      <c r="G469" s="2" t="s">
        <v>1032</v>
      </c>
      <c r="H469" s="4">
        <v>-1017.54</v>
      </c>
      <c r="I469" s="4">
        <v>-1017.54</v>
      </c>
      <c r="J469" s="4">
        <v>-1017.54</v>
      </c>
      <c r="K469" s="4">
        <v>1017.54</v>
      </c>
      <c r="L469" s="4"/>
      <c r="M469" s="2" t="s">
        <v>1084</v>
      </c>
      <c r="N469" s="2" t="s">
        <v>10</v>
      </c>
      <c r="O469" s="2" t="s">
        <v>10</v>
      </c>
    </row>
    <row r="470" spans="1:15" hidden="1" x14ac:dyDescent="0.25">
      <c r="A470" s="2" t="s">
        <v>1001</v>
      </c>
      <c r="B470" s="3">
        <v>45606</v>
      </c>
      <c r="C470" s="5">
        <v>45597</v>
      </c>
      <c r="D470" s="2" t="s">
        <v>18</v>
      </c>
      <c r="E470" s="2">
        <v>5100</v>
      </c>
      <c r="F470" s="2" t="s">
        <v>17</v>
      </c>
      <c r="G470" s="2" t="s">
        <v>1037</v>
      </c>
      <c r="H470" s="4">
        <v>-2198.56</v>
      </c>
      <c r="I470" s="4">
        <v>-2198.56</v>
      </c>
      <c r="J470" s="4">
        <v>-2198.56</v>
      </c>
      <c r="K470" s="4">
        <v>2198.56</v>
      </c>
      <c r="L470" s="4"/>
      <c r="M470" s="2" t="s">
        <v>1084</v>
      </c>
      <c r="N470" s="2" t="s">
        <v>10</v>
      </c>
      <c r="O470" s="2" t="s">
        <v>10</v>
      </c>
    </row>
    <row r="471" spans="1:15" hidden="1" x14ac:dyDescent="0.25">
      <c r="A471" s="2" t="s">
        <v>903</v>
      </c>
      <c r="B471" s="3">
        <v>45465</v>
      </c>
      <c r="C471" s="5">
        <v>45444</v>
      </c>
      <c r="D471" s="2" t="s">
        <v>31</v>
      </c>
      <c r="E471" s="2">
        <v>4900</v>
      </c>
      <c r="F471" s="2" t="s">
        <v>30</v>
      </c>
      <c r="G471" s="2" t="s">
        <v>1024</v>
      </c>
      <c r="H471" s="4">
        <v>377.8</v>
      </c>
      <c r="I471" s="4">
        <v>377.8</v>
      </c>
      <c r="J471" s="4">
        <v>377.8</v>
      </c>
      <c r="K471" s="4">
        <v>377.8</v>
      </c>
      <c r="L471" s="4"/>
      <c r="M471" s="2" t="s">
        <v>1084</v>
      </c>
      <c r="N471" s="2" t="s">
        <v>10</v>
      </c>
      <c r="O471" s="2" t="s">
        <v>10</v>
      </c>
    </row>
    <row r="472" spans="1:15" hidden="1" x14ac:dyDescent="0.25">
      <c r="A472" s="2" t="s">
        <v>859</v>
      </c>
      <c r="B472" s="3">
        <v>45638</v>
      </c>
      <c r="C472" s="5">
        <v>45627</v>
      </c>
      <c r="D472" s="2" t="s">
        <v>39</v>
      </c>
      <c r="E472" s="2">
        <v>6500</v>
      </c>
      <c r="F472" s="2" t="s">
        <v>42</v>
      </c>
      <c r="G472" s="2" t="s">
        <v>1036</v>
      </c>
      <c r="H472" s="4">
        <v>-1913.81</v>
      </c>
      <c r="I472" s="4">
        <v>-1913.81</v>
      </c>
      <c r="J472" s="4">
        <v>-1913.81</v>
      </c>
      <c r="K472" s="4">
        <v>1913.81</v>
      </c>
      <c r="L472" s="4"/>
      <c r="M472" s="2" t="s">
        <v>1084</v>
      </c>
      <c r="N472" s="2" t="s">
        <v>10</v>
      </c>
      <c r="O472" s="2" t="s">
        <v>10</v>
      </c>
    </row>
    <row r="473" spans="1:15" hidden="1" x14ac:dyDescent="0.25">
      <c r="A473" s="2" t="s">
        <v>943</v>
      </c>
      <c r="B473" s="3">
        <v>45655</v>
      </c>
      <c r="C473" s="5">
        <v>45627</v>
      </c>
      <c r="D473" s="2" t="s">
        <v>28</v>
      </c>
      <c r="E473" s="2">
        <v>6900</v>
      </c>
      <c r="F473" s="2" t="s">
        <v>27</v>
      </c>
      <c r="G473" s="2" t="s">
        <v>1041</v>
      </c>
      <c r="H473" s="4">
        <v>-127.77</v>
      </c>
      <c r="I473" s="4">
        <v>-127.77</v>
      </c>
      <c r="J473" s="4">
        <v>-127.77</v>
      </c>
      <c r="K473" s="4">
        <v>127.77</v>
      </c>
      <c r="L473" s="4"/>
      <c r="M473" s="2" t="s">
        <v>1084</v>
      </c>
      <c r="N473" s="2" t="s">
        <v>10</v>
      </c>
      <c r="O473" s="2" t="s">
        <v>10</v>
      </c>
    </row>
    <row r="474" spans="1:15" hidden="1" x14ac:dyDescent="0.25">
      <c r="A474" s="2" t="s">
        <v>171</v>
      </c>
      <c r="B474" s="3">
        <v>45506</v>
      </c>
      <c r="C474" s="5">
        <v>45505</v>
      </c>
      <c r="D474" s="2" t="s">
        <v>24</v>
      </c>
      <c r="E474" s="2">
        <v>6300</v>
      </c>
      <c r="F474" s="2" t="s">
        <v>127</v>
      </c>
      <c r="G474" s="2" t="s">
        <v>1035</v>
      </c>
      <c r="H474" s="4">
        <v>-50.9</v>
      </c>
      <c r="I474" s="4">
        <v>-50.9</v>
      </c>
      <c r="J474" s="4">
        <v>-50.9</v>
      </c>
      <c r="K474" s="4">
        <v>50.9</v>
      </c>
      <c r="L474" s="4"/>
      <c r="M474" s="2" t="s">
        <v>1084</v>
      </c>
      <c r="N474" s="2" t="s">
        <v>10</v>
      </c>
      <c r="O474" s="2" t="s">
        <v>10</v>
      </c>
    </row>
    <row r="475" spans="1:15" x14ac:dyDescent="0.25">
      <c r="A475" s="2" t="s">
        <v>137</v>
      </c>
      <c r="B475" s="3">
        <v>45538</v>
      </c>
      <c r="C475" s="5">
        <v>45536</v>
      </c>
      <c r="D475" s="2" t="s">
        <v>24</v>
      </c>
      <c r="E475" s="2">
        <v>6300</v>
      </c>
      <c r="F475" s="2" t="s">
        <v>127</v>
      </c>
      <c r="G475" s="2" t="s">
        <v>1035</v>
      </c>
      <c r="H475" s="4">
        <v>-162.51</v>
      </c>
      <c r="I475" s="4">
        <v>138.6</v>
      </c>
      <c r="J475" s="4">
        <v>-162.51</v>
      </c>
      <c r="K475" s="4">
        <v>162.51</v>
      </c>
      <c r="L475" s="4">
        <v>-301.11</v>
      </c>
      <c r="M475" s="2" t="s">
        <v>1085</v>
      </c>
      <c r="N475" s="2" t="s">
        <v>123</v>
      </c>
      <c r="O475" s="2" t="s">
        <v>10</v>
      </c>
    </row>
    <row r="476" spans="1:15" hidden="1" x14ac:dyDescent="0.25">
      <c r="A476" s="2" t="s">
        <v>503</v>
      </c>
      <c r="B476" s="3">
        <v>45385</v>
      </c>
      <c r="C476" s="5">
        <v>45383</v>
      </c>
      <c r="D476" s="2" t="s">
        <v>9</v>
      </c>
      <c r="E476" s="2">
        <v>6100</v>
      </c>
      <c r="F476" s="2" t="s">
        <v>8</v>
      </c>
      <c r="G476" s="2" t="s">
        <v>1042</v>
      </c>
      <c r="H476" s="4">
        <v>-4871.1099999999997</v>
      </c>
      <c r="I476" s="4">
        <v>-4871.1099999999997</v>
      </c>
      <c r="J476" s="4">
        <v>-4871.1099999999997</v>
      </c>
      <c r="K476" s="4">
        <v>4871.1099999999997</v>
      </c>
      <c r="L476" s="4"/>
      <c r="M476" s="2" t="s">
        <v>1084</v>
      </c>
      <c r="N476" s="2" t="s">
        <v>10</v>
      </c>
      <c r="O476" s="2" t="s">
        <v>10</v>
      </c>
    </row>
    <row r="477" spans="1:15" hidden="1" x14ac:dyDescent="0.25">
      <c r="A477" s="2" t="s">
        <v>768</v>
      </c>
      <c r="B477" s="3">
        <v>45589</v>
      </c>
      <c r="C477" s="5">
        <v>45566</v>
      </c>
      <c r="D477" s="2" t="s">
        <v>39</v>
      </c>
      <c r="E477" s="2">
        <v>6500</v>
      </c>
      <c r="F477" s="2" t="s">
        <v>42</v>
      </c>
      <c r="G477" s="2" t="s">
        <v>1036</v>
      </c>
      <c r="H477" s="4">
        <v>-1805.83</v>
      </c>
      <c r="I477" s="4">
        <v>-1805.83</v>
      </c>
      <c r="J477" s="4">
        <v>-1805.83</v>
      </c>
      <c r="K477" s="4">
        <v>1805.83</v>
      </c>
      <c r="L477" s="4"/>
      <c r="M477" s="2" t="s">
        <v>1084</v>
      </c>
      <c r="N477" s="2" t="s">
        <v>10</v>
      </c>
      <c r="O477" s="2" t="s">
        <v>10</v>
      </c>
    </row>
    <row r="478" spans="1:15" hidden="1" x14ac:dyDescent="0.25">
      <c r="A478" s="2" t="s">
        <v>876</v>
      </c>
      <c r="B478" s="3">
        <v>45537</v>
      </c>
      <c r="C478" s="5">
        <v>45536</v>
      </c>
      <c r="D478" s="2" t="s">
        <v>28</v>
      </c>
      <c r="E478" s="2">
        <v>6900</v>
      </c>
      <c r="F478" s="2" t="s">
        <v>27</v>
      </c>
      <c r="G478" s="2" t="s">
        <v>1041</v>
      </c>
      <c r="H478" s="4">
        <v>-128.38999999999999</v>
      </c>
      <c r="I478" s="4">
        <v>-128.38999999999999</v>
      </c>
      <c r="J478" s="4">
        <v>-128.38999999999999</v>
      </c>
      <c r="K478" s="4">
        <v>128.38999999999999</v>
      </c>
      <c r="L478" s="4"/>
      <c r="M478" s="2" t="s">
        <v>1084</v>
      </c>
      <c r="N478" s="2" t="s">
        <v>10</v>
      </c>
      <c r="O478" s="2" t="s">
        <v>10</v>
      </c>
    </row>
    <row r="479" spans="1:15" hidden="1" x14ac:dyDescent="0.25">
      <c r="A479" s="2" t="s">
        <v>798</v>
      </c>
      <c r="B479" s="3">
        <v>45621</v>
      </c>
      <c r="C479" s="5">
        <v>45597</v>
      </c>
      <c r="D479" s="2" t="s">
        <v>35</v>
      </c>
      <c r="E479" s="2">
        <v>4000</v>
      </c>
      <c r="F479" s="2" t="s">
        <v>116</v>
      </c>
      <c r="G479" s="2" t="s">
        <v>1034</v>
      </c>
      <c r="H479" s="4">
        <v>21285.33</v>
      </c>
      <c r="I479" s="4">
        <v>21285.33</v>
      </c>
      <c r="J479" s="4">
        <v>21285.33</v>
      </c>
      <c r="K479" s="4">
        <v>21285.33</v>
      </c>
      <c r="L479" s="4"/>
      <c r="M479" s="2" t="s">
        <v>1084</v>
      </c>
      <c r="N479" s="2" t="s">
        <v>10</v>
      </c>
      <c r="O479" s="2" t="s">
        <v>10</v>
      </c>
    </row>
    <row r="480" spans="1:15" hidden="1" x14ac:dyDescent="0.25">
      <c r="A480" s="2" t="s">
        <v>989</v>
      </c>
      <c r="B480" s="3">
        <v>45389</v>
      </c>
      <c r="C480" s="5">
        <v>45383</v>
      </c>
      <c r="D480" s="2" t="s">
        <v>9</v>
      </c>
      <c r="E480" s="2">
        <v>6100</v>
      </c>
      <c r="F480" s="2" t="s">
        <v>44</v>
      </c>
      <c r="G480" s="2" t="s">
        <v>1054</v>
      </c>
      <c r="H480" s="4">
        <v>-1062.79</v>
      </c>
      <c r="I480" s="4">
        <v>-1062.79</v>
      </c>
      <c r="J480" s="4">
        <v>-1062.79</v>
      </c>
      <c r="K480" s="4">
        <v>1062.79</v>
      </c>
      <c r="L480" s="4"/>
      <c r="M480" s="2" t="s">
        <v>1084</v>
      </c>
      <c r="N480" s="2" t="s">
        <v>10</v>
      </c>
      <c r="O480" s="2" t="s">
        <v>10</v>
      </c>
    </row>
    <row r="481" spans="1:15" hidden="1" x14ac:dyDescent="0.25">
      <c r="A481" s="2" t="s">
        <v>186</v>
      </c>
      <c r="B481" s="3">
        <v>45579</v>
      </c>
      <c r="C481" s="5">
        <v>45566</v>
      </c>
      <c r="D481" s="2" t="s">
        <v>18</v>
      </c>
      <c r="E481" s="2">
        <v>5100</v>
      </c>
      <c r="F481" s="2" t="s">
        <v>17</v>
      </c>
      <c r="G481" s="2" t="s">
        <v>1037</v>
      </c>
      <c r="H481" s="4">
        <v>-13037.87</v>
      </c>
      <c r="I481" s="4">
        <v>-13037.87</v>
      </c>
      <c r="J481" s="4">
        <v>-13037.87</v>
      </c>
      <c r="K481" s="4">
        <v>13037.87</v>
      </c>
      <c r="L481" s="4"/>
      <c r="M481" s="2" t="s">
        <v>1084</v>
      </c>
      <c r="N481" s="2" t="s">
        <v>10</v>
      </c>
      <c r="O481" s="2" t="s">
        <v>10</v>
      </c>
    </row>
    <row r="482" spans="1:15" hidden="1" x14ac:dyDescent="0.25">
      <c r="A482" s="2" t="s">
        <v>168</v>
      </c>
      <c r="B482" s="3">
        <v>45463</v>
      </c>
      <c r="C482" s="5">
        <v>45444</v>
      </c>
      <c r="D482" s="2" t="s">
        <v>52</v>
      </c>
      <c r="E482" s="2">
        <v>6000</v>
      </c>
      <c r="F482" s="2" t="s">
        <v>51</v>
      </c>
      <c r="G482" s="2" t="s">
        <v>1033</v>
      </c>
      <c r="H482" s="4">
        <v>-7998.62</v>
      </c>
      <c r="I482" s="4">
        <v>-7998.62</v>
      </c>
      <c r="J482" s="4">
        <v>-7998.62</v>
      </c>
      <c r="K482" s="4">
        <v>7998.62</v>
      </c>
      <c r="L482" s="4"/>
      <c r="M482" s="2" t="s">
        <v>1084</v>
      </c>
      <c r="N482" s="2" t="s">
        <v>10</v>
      </c>
      <c r="O482" s="2" t="s">
        <v>10</v>
      </c>
    </row>
    <row r="483" spans="1:15" hidden="1" x14ac:dyDescent="0.25">
      <c r="A483" s="2" t="s">
        <v>114</v>
      </c>
      <c r="B483" s="3">
        <v>45359</v>
      </c>
      <c r="C483" s="5">
        <v>45352</v>
      </c>
      <c r="D483" s="2" t="s">
        <v>28</v>
      </c>
      <c r="E483" s="2">
        <v>6900</v>
      </c>
      <c r="F483" s="2" t="s">
        <v>76</v>
      </c>
      <c r="G483" s="2" t="s">
        <v>1047</v>
      </c>
      <c r="H483" s="4">
        <v>-115.2</v>
      </c>
      <c r="I483" s="4">
        <v>-115.2</v>
      </c>
      <c r="J483" s="4">
        <v>-115.2</v>
      </c>
      <c r="K483" s="4">
        <v>115.2</v>
      </c>
      <c r="L483" s="4"/>
      <c r="M483" s="2" t="s">
        <v>1084</v>
      </c>
      <c r="N483" s="2" t="s">
        <v>10</v>
      </c>
      <c r="O483" s="2" t="s">
        <v>10</v>
      </c>
    </row>
    <row r="484" spans="1:15" hidden="1" x14ac:dyDescent="0.25">
      <c r="A484" s="2" t="s">
        <v>228</v>
      </c>
      <c r="B484" s="3">
        <v>45354</v>
      </c>
      <c r="C484" s="5">
        <v>45352</v>
      </c>
      <c r="D484" s="2" t="s">
        <v>52</v>
      </c>
      <c r="E484" s="2">
        <v>6000</v>
      </c>
      <c r="F484" s="2" t="s">
        <v>51</v>
      </c>
      <c r="G484" s="2" t="s">
        <v>1033</v>
      </c>
      <c r="H484" s="4">
        <v>-9698.7999999999993</v>
      </c>
      <c r="I484" s="4">
        <v>-9698.7999999999993</v>
      </c>
      <c r="J484" s="4">
        <v>-9698.7999999999993</v>
      </c>
      <c r="K484" s="4">
        <v>9698.7999999999993</v>
      </c>
      <c r="L484" s="4"/>
      <c r="M484" s="2" t="s">
        <v>1084</v>
      </c>
      <c r="N484" s="2" t="s">
        <v>10</v>
      </c>
      <c r="O484" s="2" t="s">
        <v>10</v>
      </c>
    </row>
    <row r="485" spans="1:15" hidden="1" x14ac:dyDescent="0.25">
      <c r="A485" s="2" t="s">
        <v>37</v>
      </c>
      <c r="B485" s="3">
        <v>45497</v>
      </c>
      <c r="C485" s="5">
        <v>45474</v>
      </c>
      <c r="D485" s="2" t="s">
        <v>39</v>
      </c>
      <c r="E485" s="2">
        <v>6500</v>
      </c>
      <c r="F485" s="2" t="s">
        <v>38</v>
      </c>
      <c r="G485" s="2" t="s">
        <v>1029</v>
      </c>
      <c r="H485" s="4">
        <v>-7517.31</v>
      </c>
      <c r="I485" s="4">
        <v>-7517.31</v>
      </c>
      <c r="J485" s="4">
        <v>-7517.31</v>
      </c>
      <c r="K485" s="4">
        <v>7517.31</v>
      </c>
      <c r="L485" s="4"/>
      <c r="M485" s="2" t="s">
        <v>1084</v>
      </c>
      <c r="N485" s="2" t="s">
        <v>10</v>
      </c>
      <c r="O485" s="2" t="s">
        <v>10</v>
      </c>
    </row>
    <row r="486" spans="1:15" hidden="1" x14ac:dyDescent="0.25">
      <c r="A486" s="2" t="s">
        <v>295</v>
      </c>
      <c r="B486" s="3">
        <v>45408</v>
      </c>
      <c r="C486" s="5">
        <v>45383</v>
      </c>
      <c r="D486" s="2" t="s">
        <v>24</v>
      </c>
      <c r="E486" s="2">
        <v>6300</v>
      </c>
      <c r="F486" s="2" t="s">
        <v>23</v>
      </c>
      <c r="G486" s="2" t="s">
        <v>1045</v>
      </c>
      <c r="H486" s="4">
        <v>-408.28</v>
      </c>
      <c r="I486" s="4">
        <v>-408.28</v>
      </c>
      <c r="J486" s="4">
        <v>-408.28</v>
      </c>
      <c r="K486" s="4">
        <v>408.28</v>
      </c>
      <c r="L486" s="4"/>
      <c r="M486" s="2" t="s">
        <v>1084</v>
      </c>
      <c r="N486" s="2" t="s">
        <v>10</v>
      </c>
      <c r="O486" s="2" t="s">
        <v>10</v>
      </c>
    </row>
    <row r="487" spans="1:15" hidden="1" x14ac:dyDescent="0.25">
      <c r="A487" s="2" t="s">
        <v>847</v>
      </c>
      <c r="B487" s="3">
        <v>45329</v>
      </c>
      <c r="C487" s="5">
        <v>45323</v>
      </c>
      <c r="D487" s="2" t="s">
        <v>52</v>
      </c>
      <c r="E487" s="2">
        <v>6000</v>
      </c>
      <c r="F487" s="2" t="s">
        <v>97</v>
      </c>
      <c r="G487" s="2" t="s">
        <v>1046</v>
      </c>
      <c r="H487" s="4">
        <v>-10705.12</v>
      </c>
      <c r="I487" s="4">
        <v>-10705.12</v>
      </c>
      <c r="J487" s="4">
        <v>-10705.12</v>
      </c>
      <c r="K487" s="4">
        <v>10705.12</v>
      </c>
      <c r="L487" s="4"/>
      <c r="M487" s="2" t="s">
        <v>1084</v>
      </c>
      <c r="N487" s="2" t="s">
        <v>10</v>
      </c>
      <c r="O487" s="2" t="s">
        <v>10</v>
      </c>
    </row>
    <row r="488" spans="1:15" hidden="1" x14ac:dyDescent="0.25">
      <c r="A488" s="2" t="s">
        <v>480</v>
      </c>
      <c r="B488" s="3">
        <v>45447</v>
      </c>
      <c r="C488" s="5">
        <v>45444</v>
      </c>
      <c r="D488" s="2" t="s">
        <v>59</v>
      </c>
      <c r="E488" s="2">
        <v>6200</v>
      </c>
      <c r="F488" s="2" t="s">
        <v>71</v>
      </c>
      <c r="G488" s="2" t="s">
        <v>1050</v>
      </c>
      <c r="H488" s="4">
        <v>-906.49</v>
      </c>
      <c r="I488" s="4">
        <v>-906.49</v>
      </c>
      <c r="J488" s="4">
        <v>-906.49</v>
      </c>
      <c r="K488" s="4">
        <v>906.49</v>
      </c>
      <c r="L488" s="4"/>
      <c r="M488" s="2" t="s">
        <v>1084</v>
      </c>
      <c r="N488" s="2" t="s">
        <v>10</v>
      </c>
      <c r="O488" s="2" t="s">
        <v>10</v>
      </c>
    </row>
    <row r="489" spans="1:15" hidden="1" x14ac:dyDescent="0.25">
      <c r="A489" s="2" t="s">
        <v>282</v>
      </c>
      <c r="B489" s="3">
        <v>45530</v>
      </c>
      <c r="C489" s="5">
        <v>45505</v>
      </c>
      <c r="D489" s="2" t="s">
        <v>13</v>
      </c>
      <c r="E489" s="2">
        <v>6400</v>
      </c>
      <c r="F489" s="2" t="s">
        <v>21</v>
      </c>
      <c r="G489" s="2" t="s">
        <v>1030</v>
      </c>
      <c r="H489" s="4">
        <v>-2886.13</v>
      </c>
      <c r="I489" s="4">
        <v>-2886.13</v>
      </c>
      <c r="J489" s="4">
        <v>-2886.13</v>
      </c>
      <c r="K489" s="4">
        <v>2886.13</v>
      </c>
      <c r="L489" s="4"/>
      <c r="M489" s="2" t="s">
        <v>1084</v>
      </c>
      <c r="N489" s="2" t="s">
        <v>10</v>
      </c>
      <c r="O489" s="2" t="s">
        <v>10</v>
      </c>
    </row>
    <row r="490" spans="1:15" hidden="1" x14ac:dyDescent="0.25">
      <c r="A490" s="2" t="s">
        <v>614</v>
      </c>
      <c r="B490" s="3">
        <v>45408</v>
      </c>
      <c r="C490" s="5">
        <v>45383</v>
      </c>
      <c r="D490" s="2" t="s">
        <v>39</v>
      </c>
      <c r="E490" s="2">
        <v>6500</v>
      </c>
      <c r="F490" s="2" t="s">
        <v>38</v>
      </c>
      <c r="G490" s="2" t="s">
        <v>1029</v>
      </c>
      <c r="H490" s="4">
        <v>-2409.66</v>
      </c>
      <c r="I490" s="4">
        <v>-2409.66</v>
      </c>
      <c r="J490" s="4">
        <v>-2409.66</v>
      </c>
      <c r="K490" s="4">
        <v>2409.66</v>
      </c>
      <c r="L490" s="4"/>
      <c r="M490" s="2" t="s">
        <v>1084</v>
      </c>
      <c r="N490" s="2" t="s">
        <v>10</v>
      </c>
      <c r="O490" s="2" t="s">
        <v>10</v>
      </c>
    </row>
    <row r="491" spans="1:15" hidden="1" x14ac:dyDescent="0.25">
      <c r="A491" s="2" t="s">
        <v>869</v>
      </c>
      <c r="B491" s="3">
        <v>45640</v>
      </c>
      <c r="C491" s="5">
        <v>45627</v>
      </c>
      <c r="D491" s="2" t="s">
        <v>9</v>
      </c>
      <c r="E491" s="2">
        <v>6100</v>
      </c>
      <c r="F491" s="2" t="s">
        <v>8</v>
      </c>
      <c r="G491" s="2" t="s">
        <v>1042</v>
      </c>
      <c r="H491" s="4">
        <v>-1412.79</v>
      </c>
      <c r="I491" s="4">
        <v>-1412.79</v>
      </c>
      <c r="J491" s="4">
        <v>-1412.79</v>
      </c>
      <c r="K491" s="4">
        <v>1412.79</v>
      </c>
      <c r="L491" s="4"/>
      <c r="M491" s="2" t="s">
        <v>1084</v>
      </c>
      <c r="N491" s="2" t="s">
        <v>10</v>
      </c>
      <c r="O491" s="2" t="s">
        <v>10</v>
      </c>
    </row>
    <row r="492" spans="1:15" hidden="1" x14ac:dyDescent="0.25">
      <c r="A492" s="2" t="s">
        <v>998</v>
      </c>
      <c r="B492" s="3">
        <v>45576</v>
      </c>
      <c r="C492" s="5">
        <v>45566</v>
      </c>
      <c r="D492" s="2" t="s">
        <v>31</v>
      </c>
      <c r="E492" s="2">
        <v>4900</v>
      </c>
      <c r="F492" s="2" t="s">
        <v>146</v>
      </c>
      <c r="G492" s="2" t="s">
        <v>1031</v>
      </c>
      <c r="H492" s="4">
        <v>203.64</v>
      </c>
      <c r="I492" s="4">
        <v>203.64</v>
      </c>
      <c r="J492" s="4">
        <v>203.64</v>
      </c>
      <c r="K492" s="4">
        <v>203.64</v>
      </c>
      <c r="L492" s="4"/>
      <c r="M492" s="2" t="s">
        <v>1084</v>
      </c>
      <c r="N492" s="2" t="s">
        <v>10</v>
      </c>
      <c r="O492" s="2" t="s">
        <v>10</v>
      </c>
    </row>
    <row r="493" spans="1:15" hidden="1" x14ac:dyDescent="0.25">
      <c r="A493" s="2" t="s">
        <v>517</v>
      </c>
      <c r="B493" s="3">
        <v>45479</v>
      </c>
      <c r="C493" s="5">
        <v>45474</v>
      </c>
      <c r="D493" s="2" t="s">
        <v>28</v>
      </c>
      <c r="E493" s="2">
        <v>6900</v>
      </c>
      <c r="F493" s="2" t="s">
        <v>76</v>
      </c>
      <c r="G493" s="2" t="s">
        <v>1047</v>
      </c>
      <c r="H493" s="4">
        <v>-78.27</v>
      </c>
      <c r="I493" s="4">
        <v>-78.27</v>
      </c>
      <c r="J493" s="4">
        <v>-78.27</v>
      </c>
      <c r="K493" s="4">
        <v>78.27</v>
      </c>
      <c r="L493" s="4"/>
      <c r="M493" s="2" t="s">
        <v>1084</v>
      </c>
      <c r="N493" s="2" t="s">
        <v>10</v>
      </c>
      <c r="O493" s="2" t="s">
        <v>10</v>
      </c>
    </row>
    <row r="494" spans="1:15" hidden="1" x14ac:dyDescent="0.25">
      <c r="A494" s="2" t="s">
        <v>865</v>
      </c>
      <c r="B494" s="3">
        <v>45633</v>
      </c>
      <c r="C494" s="5">
        <v>45627</v>
      </c>
      <c r="D494" s="2" t="s">
        <v>39</v>
      </c>
      <c r="E494" s="2">
        <v>6500</v>
      </c>
      <c r="F494" s="2" t="s">
        <v>42</v>
      </c>
      <c r="G494" s="2" t="s">
        <v>1036</v>
      </c>
      <c r="H494" s="4">
        <v>-3251.55</v>
      </c>
      <c r="I494" s="4">
        <v>-3251.55</v>
      </c>
      <c r="J494" s="4">
        <v>-3251.55</v>
      </c>
      <c r="K494" s="4">
        <v>3251.55</v>
      </c>
      <c r="L494" s="4"/>
      <c r="M494" s="2" t="s">
        <v>1084</v>
      </c>
      <c r="N494" s="2" t="s">
        <v>10</v>
      </c>
      <c r="O494" s="2" t="s">
        <v>10</v>
      </c>
    </row>
    <row r="495" spans="1:15" hidden="1" x14ac:dyDescent="0.25">
      <c r="A495" s="2" t="s">
        <v>251</v>
      </c>
      <c r="B495" s="3">
        <v>45450</v>
      </c>
      <c r="C495" s="5">
        <v>45444</v>
      </c>
      <c r="D495" s="2" t="s">
        <v>9</v>
      </c>
      <c r="E495" s="2">
        <v>6100</v>
      </c>
      <c r="F495" s="2" t="s">
        <v>48</v>
      </c>
      <c r="G495" s="2" t="s">
        <v>1043</v>
      </c>
      <c r="H495" s="4">
        <v>-4891.84</v>
      </c>
      <c r="I495" s="4">
        <v>-4891.84</v>
      </c>
      <c r="J495" s="4">
        <v>-4891.84</v>
      </c>
      <c r="K495" s="4">
        <v>4891.84</v>
      </c>
      <c r="L495" s="4"/>
      <c r="M495" s="2" t="s">
        <v>1084</v>
      </c>
      <c r="N495" s="2" t="s">
        <v>10</v>
      </c>
      <c r="O495" s="2" t="s">
        <v>10</v>
      </c>
    </row>
    <row r="496" spans="1:15" hidden="1" x14ac:dyDescent="0.25">
      <c r="A496" s="2" t="s">
        <v>208</v>
      </c>
      <c r="B496" s="3">
        <v>45342</v>
      </c>
      <c r="C496" s="5">
        <v>45323</v>
      </c>
      <c r="D496" s="2" t="s">
        <v>52</v>
      </c>
      <c r="E496" s="2">
        <v>6000</v>
      </c>
      <c r="F496" s="2" t="s">
        <v>97</v>
      </c>
      <c r="G496" s="2" t="s">
        <v>1046</v>
      </c>
      <c r="H496" s="4">
        <v>-4090.61</v>
      </c>
      <c r="I496" s="4">
        <v>-4090.61</v>
      </c>
      <c r="J496" s="4">
        <v>-4090.61</v>
      </c>
      <c r="K496" s="4">
        <v>4090.61</v>
      </c>
      <c r="L496" s="4"/>
      <c r="M496" s="2" t="s">
        <v>1084</v>
      </c>
      <c r="N496" s="2" t="s">
        <v>10</v>
      </c>
      <c r="O496" s="2" t="s">
        <v>10</v>
      </c>
    </row>
    <row r="497" spans="1:15" hidden="1" x14ac:dyDescent="0.25">
      <c r="A497" s="2" t="s">
        <v>225</v>
      </c>
      <c r="B497" s="3">
        <v>45305</v>
      </c>
      <c r="C497" s="5">
        <v>45292</v>
      </c>
      <c r="D497" s="2" t="s">
        <v>24</v>
      </c>
      <c r="E497" s="2">
        <v>6300</v>
      </c>
      <c r="F497" s="2" t="s">
        <v>94</v>
      </c>
      <c r="G497" s="2" t="s">
        <v>1053</v>
      </c>
      <c r="H497" s="4">
        <v>-668.14</v>
      </c>
      <c r="I497" s="4">
        <v>-668.14</v>
      </c>
      <c r="J497" s="4">
        <v>-668.14</v>
      </c>
      <c r="K497" s="4">
        <v>668.14</v>
      </c>
      <c r="L497" s="4"/>
      <c r="M497" s="2" t="s">
        <v>1084</v>
      </c>
      <c r="N497" s="2" t="s">
        <v>10</v>
      </c>
      <c r="O497" s="2" t="s">
        <v>10</v>
      </c>
    </row>
    <row r="498" spans="1:15" hidden="1" x14ac:dyDescent="0.25">
      <c r="A498" s="2" t="s">
        <v>188</v>
      </c>
      <c r="B498" s="3">
        <v>45634</v>
      </c>
      <c r="C498" s="5">
        <v>45627</v>
      </c>
      <c r="D498" s="2" t="s">
        <v>18</v>
      </c>
      <c r="E498" s="2">
        <v>5100</v>
      </c>
      <c r="F498" s="2" t="s">
        <v>17</v>
      </c>
      <c r="G498" s="2" t="s">
        <v>1037</v>
      </c>
      <c r="H498" s="4">
        <v>-7941.74</v>
      </c>
      <c r="I498" s="4">
        <v>-7941.74</v>
      </c>
      <c r="J498" s="4">
        <v>-7941.74</v>
      </c>
      <c r="K498" s="4">
        <v>7941.74</v>
      </c>
      <c r="L498" s="4"/>
      <c r="M498" s="2" t="s">
        <v>1084</v>
      </c>
      <c r="N498" s="2" t="s">
        <v>10</v>
      </c>
      <c r="O498" s="2" t="s">
        <v>10</v>
      </c>
    </row>
    <row r="499" spans="1:15" hidden="1" x14ac:dyDescent="0.25">
      <c r="A499" s="2" t="s">
        <v>959</v>
      </c>
      <c r="B499" s="3">
        <v>45642</v>
      </c>
      <c r="C499" s="5">
        <v>45627</v>
      </c>
      <c r="D499" s="2" t="s">
        <v>59</v>
      </c>
      <c r="E499" s="2">
        <v>6200</v>
      </c>
      <c r="F499" s="2" t="s">
        <v>67</v>
      </c>
      <c r="G499" s="2" t="s">
        <v>1028</v>
      </c>
      <c r="H499" s="4">
        <v>-266.81</v>
      </c>
      <c r="I499" s="4">
        <v>-266.81</v>
      </c>
      <c r="J499" s="4">
        <v>-266.81</v>
      </c>
      <c r="K499" s="4">
        <v>266.81</v>
      </c>
      <c r="L499" s="4"/>
      <c r="M499" s="2" t="s">
        <v>1084</v>
      </c>
      <c r="N499" s="2" t="s">
        <v>10</v>
      </c>
      <c r="O499" s="2" t="s">
        <v>10</v>
      </c>
    </row>
    <row r="500" spans="1:15" hidden="1" x14ac:dyDescent="0.25">
      <c r="A500" s="2" t="s">
        <v>601</v>
      </c>
      <c r="B500" s="3">
        <v>45561</v>
      </c>
      <c r="C500" s="5">
        <v>45536</v>
      </c>
      <c r="D500" s="2" t="s">
        <v>31</v>
      </c>
      <c r="E500" s="2">
        <v>4900</v>
      </c>
      <c r="F500" s="2" t="s">
        <v>79</v>
      </c>
      <c r="G500" s="2" t="s">
        <v>1026</v>
      </c>
      <c r="H500" s="4">
        <v>384.45</v>
      </c>
      <c r="I500" s="4">
        <v>384.45</v>
      </c>
      <c r="J500" s="4">
        <v>384.45</v>
      </c>
      <c r="K500" s="4">
        <v>384.45</v>
      </c>
      <c r="L500" s="4"/>
      <c r="M500" s="2" t="s">
        <v>1084</v>
      </c>
      <c r="N500" s="2" t="s">
        <v>10</v>
      </c>
      <c r="O500" s="2" t="s">
        <v>10</v>
      </c>
    </row>
    <row r="501" spans="1:15" hidden="1" x14ac:dyDescent="0.25">
      <c r="A501" s="2" t="s">
        <v>767</v>
      </c>
      <c r="B501" s="3">
        <v>45329</v>
      </c>
      <c r="C501" s="5">
        <v>45323</v>
      </c>
      <c r="D501" s="2" t="s">
        <v>24</v>
      </c>
      <c r="E501" s="2">
        <v>6300</v>
      </c>
      <c r="F501" s="2" t="s">
        <v>94</v>
      </c>
      <c r="G501" s="2" t="s">
        <v>1053</v>
      </c>
      <c r="H501" s="4">
        <v>-655.22</v>
      </c>
      <c r="I501" s="4">
        <v>-655.22</v>
      </c>
      <c r="J501" s="4">
        <v>-655.22</v>
      </c>
      <c r="K501" s="4">
        <v>655.22</v>
      </c>
      <c r="L501" s="4"/>
      <c r="M501" s="2" t="s">
        <v>1084</v>
      </c>
      <c r="N501" s="2" t="s">
        <v>10</v>
      </c>
      <c r="O501" s="2" t="s">
        <v>10</v>
      </c>
    </row>
    <row r="502" spans="1:15" hidden="1" x14ac:dyDescent="0.25">
      <c r="A502" s="2" t="s">
        <v>742</v>
      </c>
      <c r="B502" s="3">
        <v>45399</v>
      </c>
      <c r="C502" s="5">
        <v>45383</v>
      </c>
      <c r="D502" s="2" t="s">
        <v>18</v>
      </c>
      <c r="E502" s="2">
        <v>5100</v>
      </c>
      <c r="F502" s="2" t="s">
        <v>81</v>
      </c>
      <c r="G502" s="2" t="s">
        <v>1039</v>
      </c>
      <c r="H502" s="4">
        <v>-14765.94</v>
      </c>
      <c r="I502" s="4">
        <v>-14765.94</v>
      </c>
      <c r="J502" s="4">
        <v>-14765.94</v>
      </c>
      <c r="K502" s="4">
        <v>14765.94</v>
      </c>
      <c r="L502" s="4"/>
      <c r="M502" s="2" t="s">
        <v>1084</v>
      </c>
      <c r="N502" s="2" t="s">
        <v>10</v>
      </c>
      <c r="O502" s="2" t="s">
        <v>10</v>
      </c>
    </row>
    <row r="503" spans="1:15" hidden="1" x14ac:dyDescent="0.25">
      <c r="A503" s="2" t="s">
        <v>581</v>
      </c>
      <c r="B503" s="3">
        <v>45306</v>
      </c>
      <c r="C503" s="5">
        <v>45292</v>
      </c>
      <c r="D503" s="2" t="s">
        <v>9</v>
      </c>
      <c r="E503" s="2">
        <v>6100</v>
      </c>
      <c r="F503" s="2" t="s">
        <v>8</v>
      </c>
      <c r="G503" s="2" t="s">
        <v>1042</v>
      </c>
      <c r="H503" s="4">
        <v>-2630.66</v>
      </c>
      <c r="I503" s="4">
        <v>-2630.66</v>
      </c>
      <c r="J503" s="4">
        <v>-2630.66</v>
      </c>
      <c r="K503" s="4">
        <v>2630.66</v>
      </c>
      <c r="L503" s="4"/>
      <c r="M503" s="2" t="s">
        <v>1084</v>
      </c>
      <c r="N503" s="2" t="s">
        <v>10</v>
      </c>
      <c r="O503" s="2" t="s">
        <v>10</v>
      </c>
    </row>
    <row r="504" spans="1:15" hidden="1" x14ac:dyDescent="0.25">
      <c r="A504" s="2" t="s">
        <v>478</v>
      </c>
      <c r="B504" s="3">
        <v>45310</v>
      </c>
      <c r="C504" s="5">
        <v>45292</v>
      </c>
      <c r="D504" s="2" t="s">
        <v>31</v>
      </c>
      <c r="E504" s="2">
        <v>4900</v>
      </c>
      <c r="F504" s="2" t="s">
        <v>79</v>
      </c>
      <c r="G504" s="2" t="s">
        <v>1026</v>
      </c>
      <c r="H504" s="4">
        <v>192.2</v>
      </c>
      <c r="I504" s="4">
        <v>192.2</v>
      </c>
      <c r="J504" s="4">
        <v>192.2</v>
      </c>
      <c r="K504" s="4">
        <v>192.2</v>
      </c>
      <c r="L504" s="4"/>
      <c r="M504" s="2" t="s">
        <v>1084</v>
      </c>
      <c r="N504" s="2" t="s">
        <v>10</v>
      </c>
      <c r="O504" s="2" t="s">
        <v>10</v>
      </c>
    </row>
    <row r="505" spans="1:15" hidden="1" x14ac:dyDescent="0.25">
      <c r="A505" s="2" t="s">
        <v>990</v>
      </c>
      <c r="B505" s="3">
        <v>45381</v>
      </c>
      <c r="C505" s="5">
        <v>45352</v>
      </c>
      <c r="D505" s="2" t="s">
        <v>28</v>
      </c>
      <c r="E505" s="2">
        <v>6900</v>
      </c>
      <c r="F505" s="2" t="s">
        <v>27</v>
      </c>
      <c r="G505" s="2" t="s">
        <v>1041</v>
      </c>
      <c r="H505" s="4">
        <v>-148.06</v>
      </c>
      <c r="I505" s="4">
        <v>-148.06</v>
      </c>
      <c r="J505" s="4">
        <v>-148.06</v>
      </c>
      <c r="K505" s="4">
        <v>148.06</v>
      </c>
      <c r="L505" s="4"/>
      <c r="M505" s="2" t="s">
        <v>1084</v>
      </c>
      <c r="N505" s="2" t="s">
        <v>10</v>
      </c>
      <c r="O505" s="2" t="s">
        <v>10</v>
      </c>
    </row>
    <row r="506" spans="1:15" hidden="1" x14ac:dyDescent="0.25">
      <c r="A506" s="2" t="s">
        <v>465</v>
      </c>
      <c r="B506" s="3">
        <v>45500</v>
      </c>
      <c r="C506" s="5">
        <v>45474</v>
      </c>
      <c r="D506" s="2" t="s">
        <v>52</v>
      </c>
      <c r="E506" s="2">
        <v>6000</v>
      </c>
      <c r="F506" s="2" t="s">
        <v>63</v>
      </c>
      <c r="G506" s="2" t="s">
        <v>1051</v>
      </c>
      <c r="H506" s="4">
        <v>-5829.94</v>
      </c>
      <c r="I506" s="4">
        <v>-5829.94</v>
      </c>
      <c r="J506" s="4">
        <v>-5829.94</v>
      </c>
      <c r="K506" s="4">
        <v>5829.94</v>
      </c>
      <c r="L506" s="4"/>
      <c r="M506" s="2" t="s">
        <v>1084</v>
      </c>
      <c r="N506" s="2" t="s">
        <v>10</v>
      </c>
      <c r="O506" s="2" t="s">
        <v>10</v>
      </c>
    </row>
    <row r="507" spans="1:15" hidden="1" x14ac:dyDescent="0.25">
      <c r="A507" s="2" t="s">
        <v>834</v>
      </c>
      <c r="B507" s="3">
        <v>45315</v>
      </c>
      <c r="C507" s="5">
        <v>45292</v>
      </c>
      <c r="D507" s="2" t="s">
        <v>24</v>
      </c>
      <c r="E507" s="2">
        <v>6300</v>
      </c>
      <c r="F507" s="2" t="s">
        <v>23</v>
      </c>
      <c r="G507" s="2" t="s">
        <v>1045</v>
      </c>
      <c r="H507" s="4">
        <v>-790.47</v>
      </c>
      <c r="I507" s="4">
        <v>-790.47</v>
      </c>
      <c r="J507" s="4">
        <v>-790.47</v>
      </c>
      <c r="K507" s="4">
        <v>790.47</v>
      </c>
      <c r="L507" s="4"/>
      <c r="M507" s="2" t="s">
        <v>1084</v>
      </c>
      <c r="N507" s="2" t="s">
        <v>10</v>
      </c>
      <c r="O507" s="2" t="s">
        <v>10</v>
      </c>
    </row>
    <row r="508" spans="1:15" hidden="1" x14ac:dyDescent="0.25">
      <c r="A508" s="2" t="s">
        <v>570</v>
      </c>
      <c r="B508" s="3">
        <v>45651</v>
      </c>
      <c r="C508" s="5">
        <v>45627</v>
      </c>
      <c r="D508" s="2" t="s">
        <v>13</v>
      </c>
      <c r="E508" s="2">
        <v>6400</v>
      </c>
      <c r="F508" s="2" t="s">
        <v>15</v>
      </c>
      <c r="G508" s="2" t="s">
        <v>1044</v>
      </c>
      <c r="H508" s="4">
        <v>-2774.25</v>
      </c>
      <c r="I508" s="4">
        <v>-2774.25</v>
      </c>
      <c r="J508" s="4">
        <v>-2774.25</v>
      </c>
      <c r="K508" s="4">
        <v>2774.25</v>
      </c>
      <c r="L508" s="4"/>
      <c r="M508" s="2" t="s">
        <v>1084</v>
      </c>
      <c r="N508" s="2" t="s">
        <v>10</v>
      </c>
      <c r="O508" s="2" t="s">
        <v>10</v>
      </c>
    </row>
    <row r="509" spans="1:15" hidden="1" x14ac:dyDescent="0.25">
      <c r="A509" s="2" t="s">
        <v>381</v>
      </c>
      <c r="B509" s="3">
        <v>45458</v>
      </c>
      <c r="C509" s="5">
        <v>45444</v>
      </c>
      <c r="D509" s="2" t="s">
        <v>52</v>
      </c>
      <c r="E509" s="2">
        <v>6000</v>
      </c>
      <c r="F509" s="2" t="s">
        <v>63</v>
      </c>
      <c r="G509" s="2" t="s">
        <v>1051</v>
      </c>
      <c r="H509" s="4">
        <v>-5519.22</v>
      </c>
      <c r="I509" s="4">
        <v>-5519.22</v>
      </c>
      <c r="J509" s="4">
        <v>-5519.22</v>
      </c>
      <c r="K509" s="4">
        <v>5519.22</v>
      </c>
      <c r="L509" s="4"/>
      <c r="M509" s="2" t="s">
        <v>1084</v>
      </c>
      <c r="N509" s="2" t="s">
        <v>10</v>
      </c>
      <c r="O509" s="2" t="s">
        <v>10</v>
      </c>
    </row>
    <row r="510" spans="1:15" hidden="1" x14ac:dyDescent="0.25">
      <c r="A510" s="2" t="s">
        <v>1009</v>
      </c>
      <c r="B510" s="3">
        <v>45388</v>
      </c>
      <c r="C510" s="5">
        <v>45383</v>
      </c>
      <c r="D510" s="2" t="s">
        <v>52</v>
      </c>
      <c r="E510" s="2">
        <v>6000</v>
      </c>
      <c r="F510" s="2" t="s">
        <v>51</v>
      </c>
      <c r="G510" s="2" t="s">
        <v>1033</v>
      </c>
      <c r="H510" s="4">
        <v>-10777.06</v>
      </c>
      <c r="I510" s="4">
        <v>-10777.06</v>
      </c>
      <c r="J510" s="4">
        <v>-10777.06</v>
      </c>
      <c r="K510" s="4">
        <v>10777.06</v>
      </c>
      <c r="L510" s="4"/>
      <c r="M510" s="2" t="s">
        <v>1084</v>
      </c>
      <c r="N510" s="2" t="s">
        <v>10</v>
      </c>
      <c r="O510" s="2" t="s">
        <v>10</v>
      </c>
    </row>
    <row r="511" spans="1:15" hidden="1" x14ac:dyDescent="0.25">
      <c r="A511" s="2" t="s">
        <v>133</v>
      </c>
      <c r="B511" s="3">
        <v>45480</v>
      </c>
      <c r="C511" s="5">
        <v>45474</v>
      </c>
      <c r="D511" s="2" t="s">
        <v>52</v>
      </c>
      <c r="E511" s="2">
        <v>6000</v>
      </c>
      <c r="F511" s="2" t="s">
        <v>97</v>
      </c>
      <c r="G511" s="2" t="s">
        <v>1046</v>
      </c>
      <c r="H511" s="4">
        <v>-4663.8599999999997</v>
      </c>
      <c r="I511" s="4">
        <v>-4663.8599999999997</v>
      </c>
      <c r="J511" s="4">
        <v>-4663.8599999999997</v>
      </c>
      <c r="K511" s="4">
        <v>4663.8599999999997</v>
      </c>
      <c r="L511" s="4"/>
      <c r="M511" s="2" t="s">
        <v>1084</v>
      </c>
      <c r="N511" s="2" t="s">
        <v>10</v>
      </c>
      <c r="O511" s="2" t="s">
        <v>10</v>
      </c>
    </row>
    <row r="512" spans="1:15" hidden="1" x14ac:dyDescent="0.25">
      <c r="A512" s="2" t="s">
        <v>539</v>
      </c>
      <c r="B512" s="3">
        <v>45580</v>
      </c>
      <c r="C512" s="5">
        <v>45566</v>
      </c>
      <c r="D512" s="2" t="s">
        <v>31</v>
      </c>
      <c r="E512" s="2">
        <v>4900</v>
      </c>
      <c r="F512" s="2" t="s">
        <v>30</v>
      </c>
      <c r="G512" s="2" t="s">
        <v>1024</v>
      </c>
      <c r="H512" s="4">
        <v>138.06</v>
      </c>
      <c r="I512" s="4">
        <v>138.06</v>
      </c>
      <c r="J512" s="4">
        <v>138.06</v>
      </c>
      <c r="K512" s="4">
        <v>138.06</v>
      </c>
      <c r="L512" s="4"/>
      <c r="M512" s="2" t="s">
        <v>1084</v>
      </c>
      <c r="N512" s="2" t="s">
        <v>10</v>
      </c>
      <c r="O512" s="2" t="s">
        <v>10</v>
      </c>
    </row>
    <row r="513" spans="1:15" hidden="1" x14ac:dyDescent="0.25">
      <c r="A513" s="2" t="s">
        <v>623</v>
      </c>
      <c r="B513" s="3">
        <v>45406</v>
      </c>
      <c r="C513" s="5">
        <v>45383</v>
      </c>
      <c r="D513" s="2" t="s">
        <v>39</v>
      </c>
      <c r="E513" s="2">
        <v>6500</v>
      </c>
      <c r="F513" s="2" t="s">
        <v>69</v>
      </c>
      <c r="G513" s="2" t="s">
        <v>1052</v>
      </c>
      <c r="H513" s="4">
        <v>-4909.95</v>
      </c>
      <c r="I513" s="4">
        <v>-4909.95</v>
      </c>
      <c r="J513" s="4">
        <v>-4909.95</v>
      </c>
      <c r="K513" s="4">
        <v>4909.95</v>
      </c>
      <c r="L513" s="4"/>
      <c r="M513" s="2" t="s">
        <v>1084</v>
      </c>
      <c r="N513" s="2" t="s">
        <v>10</v>
      </c>
      <c r="O513" s="2" t="s">
        <v>10</v>
      </c>
    </row>
    <row r="514" spans="1:15" hidden="1" x14ac:dyDescent="0.25">
      <c r="A514" s="2" t="s">
        <v>397</v>
      </c>
      <c r="B514" s="3">
        <v>45309</v>
      </c>
      <c r="C514" s="5">
        <v>45292</v>
      </c>
      <c r="D514" s="2" t="s">
        <v>28</v>
      </c>
      <c r="E514" s="2">
        <v>6900</v>
      </c>
      <c r="F514" s="2" t="s">
        <v>76</v>
      </c>
      <c r="G514" s="2" t="s">
        <v>1047</v>
      </c>
      <c r="H514" s="4">
        <v>-125.29</v>
      </c>
      <c r="I514" s="4">
        <v>-125.29</v>
      </c>
      <c r="J514" s="4">
        <v>-125.29</v>
      </c>
      <c r="K514" s="4">
        <v>125.29</v>
      </c>
      <c r="L514" s="4"/>
      <c r="M514" s="2" t="s">
        <v>1084</v>
      </c>
      <c r="N514" s="2" t="s">
        <v>10</v>
      </c>
      <c r="O514" s="2" t="s">
        <v>10</v>
      </c>
    </row>
    <row r="515" spans="1:15" hidden="1" x14ac:dyDescent="0.25">
      <c r="A515" s="2" t="s">
        <v>979</v>
      </c>
      <c r="B515" s="3">
        <v>45310</v>
      </c>
      <c r="C515" s="5">
        <v>45292</v>
      </c>
      <c r="D515" s="2" t="s">
        <v>28</v>
      </c>
      <c r="E515" s="2">
        <v>6900</v>
      </c>
      <c r="F515" s="2" t="s">
        <v>27</v>
      </c>
      <c r="G515" s="2" t="s">
        <v>1041</v>
      </c>
      <c r="H515" s="4">
        <v>-8.5500000000000007</v>
      </c>
      <c r="I515" s="4">
        <v>-8.5500000000000007</v>
      </c>
      <c r="J515" s="4">
        <v>-8.5500000000000007</v>
      </c>
      <c r="K515" s="4">
        <v>8.5500000000000007</v>
      </c>
      <c r="L515" s="4"/>
      <c r="M515" s="2" t="s">
        <v>1084</v>
      </c>
      <c r="N515" s="2" t="s">
        <v>10</v>
      </c>
      <c r="O515" s="2" t="s">
        <v>10</v>
      </c>
    </row>
    <row r="516" spans="1:15" hidden="1" x14ac:dyDescent="0.25">
      <c r="A516" s="2" t="s">
        <v>901</v>
      </c>
      <c r="B516" s="3">
        <v>45602</v>
      </c>
      <c r="C516" s="5">
        <v>45597</v>
      </c>
      <c r="D516" s="2" t="s">
        <v>31</v>
      </c>
      <c r="E516" s="2">
        <v>4900</v>
      </c>
      <c r="F516" s="2" t="s">
        <v>79</v>
      </c>
      <c r="G516" s="2" t="s">
        <v>1026</v>
      </c>
      <c r="H516" s="4">
        <v>286.20999999999998</v>
      </c>
      <c r="I516" s="4">
        <v>286.20999999999998</v>
      </c>
      <c r="J516" s="4">
        <v>286.20999999999998</v>
      </c>
      <c r="K516" s="4">
        <v>286.20999999999998</v>
      </c>
      <c r="L516" s="4"/>
      <c r="M516" s="2" t="s">
        <v>1084</v>
      </c>
      <c r="N516" s="2" t="s">
        <v>10</v>
      </c>
      <c r="O516" s="2" t="s">
        <v>10</v>
      </c>
    </row>
    <row r="517" spans="1:15" hidden="1" x14ac:dyDescent="0.25">
      <c r="A517" s="2" t="s">
        <v>961</v>
      </c>
      <c r="B517" s="3">
        <v>45332</v>
      </c>
      <c r="C517" s="5">
        <v>45323</v>
      </c>
      <c r="D517" s="2" t="s">
        <v>18</v>
      </c>
      <c r="E517" s="2">
        <v>5100</v>
      </c>
      <c r="F517" s="2" t="s">
        <v>17</v>
      </c>
      <c r="G517" s="2" t="s">
        <v>1037</v>
      </c>
      <c r="H517" s="4">
        <v>-8540.14</v>
      </c>
      <c r="I517" s="4">
        <v>-8540.14</v>
      </c>
      <c r="J517" s="4">
        <v>-8540.14</v>
      </c>
      <c r="K517" s="4">
        <v>8540.14</v>
      </c>
      <c r="L517" s="4"/>
      <c r="M517" s="2" t="s">
        <v>1084</v>
      </c>
      <c r="N517" s="2" t="s">
        <v>10</v>
      </c>
      <c r="O517" s="2" t="s">
        <v>10</v>
      </c>
    </row>
    <row r="518" spans="1:15" hidden="1" x14ac:dyDescent="0.25">
      <c r="A518" s="2" t="s">
        <v>134</v>
      </c>
      <c r="B518" s="3">
        <v>45523</v>
      </c>
      <c r="C518" s="5">
        <v>45505</v>
      </c>
      <c r="D518" s="2" t="s">
        <v>28</v>
      </c>
      <c r="E518" s="2">
        <v>6900</v>
      </c>
      <c r="F518" s="2" t="s">
        <v>27</v>
      </c>
      <c r="G518" s="2" t="s">
        <v>1041</v>
      </c>
      <c r="H518" s="4">
        <v>-13.01</v>
      </c>
      <c r="I518" s="4">
        <v>-13.01</v>
      </c>
      <c r="J518" s="4">
        <v>-13.01</v>
      </c>
      <c r="K518" s="4">
        <v>13.01</v>
      </c>
      <c r="L518" s="4"/>
      <c r="M518" s="2" t="s">
        <v>1084</v>
      </c>
      <c r="N518" s="2" t="s">
        <v>10</v>
      </c>
      <c r="O518" s="2" t="s">
        <v>10</v>
      </c>
    </row>
    <row r="519" spans="1:15" hidden="1" x14ac:dyDescent="0.25">
      <c r="A519" s="2" t="s">
        <v>106</v>
      </c>
      <c r="B519" s="3">
        <v>45432</v>
      </c>
      <c r="C519" s="5">
        <v>45413</v>
      </c>
      <c r="D519" s="2" t="s">
        <v>35</v>
      </c>
      <c r="E519" s="2">
        <v>4000</v>
      </c>
      <c r="F519" s="2" t="s">
        <v>34</v>
      </c>
      <c r="G519" s="2" t="s">
        <v>1027</v>
      </c>
      <c r="H519" s="4">
        <v>9032.76</v>
      </c>
      <c r="I519" s="4">
        <v>9032.76</v>
      </c>
      <c r="J519" s="4">
        <v>9032.76</v>
      </c>
      <c r="K519" s="4">
        <v>9032.76</v>
      </c>
      <c r="L519" s="4"/>
      <c r="M519" s="2" t="s">
        <v>1084</v>
      </c>
      <c r="N519" s="2" t="s">
        <v>10</v>
      </c>
      <c r="O519" s="2" t="s">
        <v>10</v>
      </c>
    </row>
    <row r="520" spans="1:15" hidden="1" x14ac:dyDescent="0.25">
      <c r="A520" s="2" t="s">
        <v>612</v>
      </c>
      <c r="B520" s="3">
        <v>45575</v>
      </c>
      <c r="C520" s="5">
        <v>45566</v>
      </c>
      <c r="D520" s="2" t="s">
        <v>24</v>
      </c>
      <c r="E520" s="2">
        <v>6300</v>
      </c>
      <c r="F520" s="2" t="s">
        <v>94</v>
      </c>
      <c r="G520" s="2" t="s">
        <v>1053</v>
      </c>
      <c r="H520" s="4">
        <v>-47.19</v>
      </c>
      <c r="I520" s="4">
        <v>-47.19</v>
      </c>
      <c r="J520" s="4">
        <v>-47.19</v>
      </c>
      <c r="K520" s="4">
        <v>47.19</v>
      </c>
      <c r="L520" s="4"/>
      <c r="M520" s="2" t="s">
        <v>1084</v>
      </c>
      <c r="N520" s="2" t="s">
        <v>10</v>
      </c>
      <c r="O520" s="2" t="s">
        <v>10</v>
      </c>
    </row>
    <row r="521" spans="1:15" hidden="1" x14ac:dyDescent="0.25">
      <c r="A521" s="2" t="s">
        <v>599</v>
      </c>
      <c r="B521" s="3">
        <v>45314</v>
      </c>
      <c r="C521" s="5">
        <v>45292</v>
      </c>
      <c r="D521" s="2" t="s">
        <v>13</v>
      </c>
      <c r="E521" s="2">
        <v>6400</v>
      </c>
      <c r="F521" s="2" t="s">
        <v>12</v>
      </c>
      <c r="G521" s="2" t="s">
        <v>1032</v>
      </c>
      <c r="H521" s="4">
        <v>-1435.81</v>
      </c>
      <c r="I521" s="4">
        <v>-1435.81</v>
      </c>
      <c r="J521" s="4">
        <v>-1435.81</v>
      </c>
      <c r="K521" s="4">
        <v>1435.81</v>
      </c>
      <c r="L521" s="4"/>
      <c r="M521" s="2" t="s">
        <v>1084</v>
      </c>
      <c r="N521" s="2" t="s">
        <v>10</v>
      </c>
      <c r="O521" s="2" t="s">
        <v>10</v>
      </c>
    </row>
    <row r="522" spans="1:15" hidden="1" x14ac:dyDescent="0.25">
      <c r="A522" s="2" t="s">
        <v>780</v>
      </c>
      <c r="B522" s="3">
        <v>45619</v>
      </c>
      <c r="C522" s="5">
        <v>45597</v>
      </c>
      <c r="D522" s="2" t="s">
        <v>59</v>
      </c>
      <c r="E522" s="2">
        <v>6200</v>
      </c>
      <c r="F522" s="2" t="s">
        <v>58</v>
      </c>
      <c r="G522" s="2" t="s">
        <v>1038</v>
      </c>
      <c r="H522" s="4">
        <v>-108.51</v>
      </c>
      <c r="I522" s="4">
        <v>-108.51</v>
      </c>
      <c r="J522" s="4">
        <v>-108.51</v>
      </c>
      <c r="K522" s="4">
        <v>108.51</v>
      </c>
      <c r="L522" s="4"/>
      <c r="M522" s="2" t="s">
        <v>1084</v>
      </c>
      <c r="N522" s="2" t="s">
        <v>10</v>
      </c>
      <c r="O522" s="2" t="s">
        <v>10</v>
      </c>
    </row>
    <row r="523" spans="1:15" hidden="1" x14ac:dyDescent="0.25">
      <c r="A523" s="2" t="s">
        <v>226</v>
      </c>
      <c r="B523" s="3">
        <v>45546</v>
      </c>
      <c r="C523" s="5">
        <v>45536</v>
      </c>
      <c r="D523" s="2" t="s">
        <v>18</v>
      </c>
      <c r="E523" s="2">
        <v>5100</v>
      </c>
      <c r="F523" s="2" t="s">
        <v>81</v>
      </c>
      <c r="G523" s="2" t="s">
        <v>1039</v>
      </c>
      <c r="H523" s="4">
        <v>-11295.65</v>
      </c>
      <c r="I523" s="4">
        <v>-11295.65</v>
      </c>
      <c r="J523" s="4">
        <v>-11295.65</v>
      </c>
      <c r="K523" s="4">
        <v>11295.65</v>
      </c>
      <c r="L523" s="4"/>
      <c r="M523" s="2" t="s">
        <v>1084</v>
      </c>
      <c r="N523" s="2" t="s">
        <v>10</v>
      </c>
      <c r="O523" s="2" t="s">
        <v>10</v>
      </c>
    </row>
    <row r="524" spans="1:15" hidden="1" x14ac:dyDescent="0.25">
      <c r="A524" s="2" t="s">
        <v>586</v>
      </c>
      <c r="B524" s="3">
        <v>45455</v>
      </c>
      <c r="C524" s="5">
        <v>45444</v>
      </c>
      <c r="D524" s="2" t="s">
        <v>18</v>
      </c>
      <c r="E524" s="2">
        <v>5100</v>
      </c>
      <c r="F524" s="2" t="s">
        <v>56</v>
      </c>
      <c r="G524" s="2" t="s">
        <v>1025</v>
      </c>
      <c r="H524" s="4">
        <v>-13025.81</v>
      </c>
      <c r="I524" s="4">
        <v>-13025.81</v>
      </c>
      <c r="J524" s="4">
        <v>-13025.81</v>
      </c>
      <c r="K524" s="4">
        <v>13025.81</v>
      </c>
      <c r="L524" s="4"/>
      <c r="M524" s="2" t="s">
        <v>1084</v>
      </c>
      <c r="N524" s="2" t="s">
        <v>10</v>
      </c>
      <c r="O524" s="2" t="s">
        <v>10</v>
      </c>
    </row>
    <row r="525" spans="1:15" hidden="1" x14ac:dyDescent="0.25">
      <c r="A525" s="2" t="s">
        <v>331</v>
      </c>
      <c r="B525" s="3">
        <v>45367</v>
      </c>
      <c r="C525" s="5">
        <v>45352</v>
      </c>
      <c r="D525" s="2" t="s">
        <v>28</v>
      </c>
      <c r="E525" s="2">
        <v>6900</v>
      </c>
      <c r="F525" s="2" t="s">
        <v>76</v>
      </c>
      <c r="G525" s="2" t="s">
        <v>1047</v>
      </c>
      <c r="H525" s="4">
        <v>-113.18</v>
      </c>
      <c r="I525" s="4">
        <v>-113.18</v>
      </c>
      <c r="J525" s="4">
        <v>-113.18</v>
      </c>
      <c r="K525" s="4">
        <v>113.18</v>
      </c>
      <c r="L525" s="4"/>
      <c r="M525" s="2" t="s">
        <v>1084</v>
      </c>
      <c r="N525" s="2" t="s">
        <v>10</v>
      </c>
      <c r="O525" s="2" t="s">
        <v>10</v>
      </c>
    </row>
    <row r="526" spans="1:15" hidden="1" x14ac:dyDescent="0.25">
      <c r="A526" s="2" t="s">
        <v>694</v>
      </c>
      <c r="B526" s="3">
        <v>45648</v>
      </c>
      <c r="C526" s="5">
        <v>45627</v>
      </c>
      <c r="D526" s="2" t="s">
        <v>59</v>
      </c>
      <c r="E526" s="2">
        <v>6200</v>
      </c>
      <c r="F526" s="2" t="s">
        <v>67</v>
      </c>
      <c r="G526" s="2" t="s">
        <v>1028</v>
      </c>
      <c r="H526" s="4">
        <v>-298.31</v>
      </c>
      <c r="I526" s="4">
        <v>-298.31</v>
      </c>
      <c r="J526" s="4">
        <v>-298.31</v>
      </c>
      <c r="K526" s="4">
        <v>298.31</v>
      </c>
      <c r="L526" s="4"/>
      <c r="M526" s="2" t="s">
        <v>1084</v>
      </c>
      <c r="N526" s="2" t="s">
        <v>10</v>
      </c>
      <c r="O526" s="2" t="s">
        <v>10</v>
      </c>
    </row>
    <row r="527" spans="1:15" hidden="1" x14ac:dyDescent="0.25">
      <c r="A527" s="2" t="s">
        <v>165</v>
      </c>
      <c r="B527" s="3">
        <v>45402</v>
      </c>
      <c r="C527" s="5">
        <v>45383</v>
      </c>
      <c r="D527" s="2" t="s">
        <v>59</v>
      </c>
      <c r="E527" s="2">
        <v>6200</v>
      </c>
      <c r="F527" s="2" t="s">
        <v>67</v>
      </c>
      <c r="G527" s="2" t="s">
        <v>1028</v>
      </c>
      <c r="H527" s="4">
        <v>-660.99</v>
      </c>
      <c r="I527" s="4">
        <v>-660.99</v>
      </c>
      <c r="J527" s="4">
        <v>-660.99</v>
      </c>
      <c r="K527" s="4">
        <v>660.99</v>
      </c>
      <c r="L527" s="4"/>
      <c r="M527" s="2" t="s">
        <v>1084</v>
      </c>
      <c r="N527" s="2" t="s">
        <v>10</v>
      </c>
      <c r="O527" s="2" t="s">
        <v>10</v>
      </c>
    </row>
    <row r="528" spans="1:15" hidden="1" x14ac:dyDescent="0.25">
      <c r="A528" s="2" t="s">
        <v>705</v>
      </c>
      <c r="B528" s="3">
        <v>45471</v>
      </c>
      <c r="C528" s="5">
        <v>45444</v>
      </c>
      <c r="D528" s="2" t="s">
        <v>31</v>
      </c>
      <c r="E528" s="2">
        <v>4900</v>
      </c>
      <c r="F528" s="2" t="s">
        <v>79</v>
      </c>
      <c r="G528" s="2" t="s">
        <v>1026</v>
      </c>
      <c r="H528" s="4">
        <v>102.05</v>
      </c>
      <c r="I528" s="4">
        <v>102.05</v>
      </c>
      <c r="J528" s="4">
        <v>102.05</v>
      </c>
      <c r="K528" s="4">
        <v>102.05</v>
      </c>
      <c r="L528" s="4"/>
      <c r="M528" s="2" t="s">
        <v>1084</v>
      </c>
      <c r="N528" s="2" t="s">
        <v>10</v>
      </c>
      <c r="O528" s="2" t="s">
        <v>10</v>
      </c>
    </row>
    <row r="529" spans="1:15" hidden="1" x14ac:dyDescent="0.25">
      <c r="A529" s="2" t="s">
        <v>173</v>
      </c>
      <c r="B529" s="3">
        <v>45435</v>
      </c>
      <c r="C529" s="5">
        <v>45413</v>
      </c>
      <c r="D529" s="2" t="s">
        <v>18</v>
      </c>
      <c r="E529" s="2">
        <v>5100</v>
      </c>
      <c r="F529" s="2" t="s">
        <v>81</v>
      </c>
      <c r="G529" s="2" t="s">
        <v>1039</v>
      </c>
      <c r="H529" s="4">
        <v>-3615.05</v>
      </c>
      <c r="I529" s="4">
        <v>-3615.05</v>
      </c>
      <c r="J529" s="4">
        <v>-3615.05</v>
      </c>
      <c r="K529" s="4">
        <v>3615.05</v>
      </c>
      <c r="L529" s="4"/>
      <c r="M529" s="2" t="s">
        <v>1084</v>
      </c>
      <c r="N529" s="2" t="s">
        <v>10</v>
      </c>
      <c r="O529" s="2" t="s">
        <v>10</v>
      </c>
    </row>
    <row r="530" spans="1:15" hidden="1" x14ac:dyDescent="0.25">
      <c r="A530" s="2" t="s">
        <v>421</v>
      </c>
      <c r="B530" s="3">
        <v>45376</v>
      </c>
      <c r="C530" s="5">
        <v>45352</v>
      </c>
      <c r="D530" s="2" t="s">
        <v>31</v>
      </c>
      <c r="E530" s="2">
        <v>4900</v>
      </c>
      <c r="F530" s="2" t="s">
        <v>79</v>
      </c>
      <c r="G530" s="2" t="s">
        <v>1026</v>
      </c>
      <c r="H530" s="4">
        <v>383.61</v>
      </c>
      <c r="I530" s="4">
        <v>383.61</v>
      </c>
      <c r="J530" s="4">
        <v>383.61</v>
      </c>
      <c r="K530" s="4">
        <v>383.61</v>
      </c>
      <c r="L530" s="4"/>
      <c r="M530" s="2" t="s">
        <v>1084</v>
      </c>
      <c r="N530" s="2" t="s">
        <v>10</v>
      </c>
      <c r="O530" s="2" t="s">
        <v>10</v>
      </c>
    </row>
    <row r="531" spans="1:15" hidden="1" x14ac:dyDescent="0.25">
      <c r="A531" s="2" t="s">
        <v>253</v>
      </c>
      <c r="B531" s="3">
        <v>45444</v>
      </c>
      <c r="C531" s="5">
        <v>45444</v>
      </c>
      <c r="D531" s="2" t="s">
        <v>31</v>
      </c>
      <c r="E531" s="2">
        <v>4900</v>
      </c>
      <c r="F531" s="2" t="s">
        <v>30</v>
      </c>
      <c r="G531" s="2" t="s">
        <v>1024</v>
      </c>
      <c r="H531" s="4">
        <v>285.45999999999998</v>
      </c>
      <c r="I531" s="4">
        <v>285.45999999999998</v>
      </c>
      <c r="J531" s="4">
        <v>285.45999999999998</v>
      </c>
      <c r="K531" s="4">
        <v>285.45999999999998</v>
      </c>
      <c r="L531" s="4"/>
      <c r="M531" s="2" t="s">
        <v>1084</v>
      </c>
      <c r="N531" s="2" t="s">
        <v>10</v>
      </c>
      <c r="O531" s="2" t="s">
        <v>10</v>
      </c>
    </row>
    <row r="532" spans="1:15" hidden="1" x14ac:dyDescent="0.25">
      <c r="A532" s="2" t="s">
        <v>309</v>
      </c>
      <c r="B532" s="3">
        <v>45347</v>
      </c>
      <c r="C532" s="5">
        <v>45323</v>
      </c>
      <c r="D532" s="2" t="s">
        <v>13</v>
      </c>
      <c r="E532" s="2">
        <v>6400</v>
      </c>
      <c r="F532" s="2" t="s">
        <v>15</v>
      </c>
      <c r="G532" s="2" t="s">
        <v>1044</v>
      </c>
      <c r="H532" s="4">
        <v>-2624.46</v>
      </c>
      <c r="I532" s="4">
        <v>-2624.46</v>
      </c>
      <c r="J532" s="4">
        <v>-2624.46</v>
      </c>
      <c r="K532" s="4">
        <v>2624.46</v>
      </c>
      <c r="L532" s="4"/>
      <c r="M532" s="2" t="s">
        <v>1084</v>
      </c>
      <c r="N532" s="2" t="s">
        <v>10</v>
      </c>
      <c r="O532" s="2" t="s">
        <v>10</v>
      </c>
    </row>
    <row r="533" spans="1:15" hidden="1" x14ac:dyDescent="0.25">
      <c r="A533" s="2" t="s">
        <v>386</v>
      </c>
      <c r="B533" s="3">
        <v>45292</v>
      </c>
      <c r="C533" s="5">
        <v>45292</v>
      </c>
      <c r="D533" s="2" t="s">
        <v>18</v>
      </c>
      <c r="E533" s="2">
        <v>5100</v>
      </c>
      <c r="F533" s="2" t="s">
        <v>56</v>
      </c>
      <c r="G533" s="2" t="s">
        <v>1025</v>
      </c>
      <c r="H533" s="4">
        <v>-8067.87</v>
      </c>
      <c r="I533" s="4">
        <v>-8067.87</v>
      </c>
      <c r="J533" s="4">
        <v>-8067.87</v>
      </c>
      <c r="K533" s="4">
        <v>8067.87</v>
      </c>
      <c r="L533" s="4"/>
      <c r="M533" s="2" t="s">
        <v>1084</v>
      </c>
      <c r="N533" s="2" t="s">
        <v>10</v>
      </c>
      <c r="O533" s="2" t="s">
        <v>10</v>
      </c>
    </row>
    <row r="534" spans="1:15" hidden="1" x14ac:dyDescent="0.25">
      <c r="A534" s="2" t="s">
        <v>891</v>
      </c>
      <c r="B534" s="3">
        <v>45397</v>
      </c>
      <c r="C534" s="5">
        <v>45383</v>
      </c>
      <c r="D534" s="2" t="s">
        <v>18</v>
      </c>
      <c r="E534" s="2">
        <v>5100</v>
      </c>
      <c r="F534" s="2" t="s">
        <v>17</v>
      </c>
      <c r="G534" s="2" t="s">
        <v>1037</v>
      </c>
      <c r="H534" s="4">
        <v>-6853.08</v>
      </c>
      <c r="I534" s="4">
        <v>-6853.08</v>
      </c>
      <c r="J534" s="4">
        <v>-6853.08</v>
      </c>
      <c r="K534" s="4">
        <v>6853.08</v>
      </c>
      <c r="L534" s="4"/>
      <c r="M534" s="2" t="s">
        <v>1084</v>
      </c>
      <c r="N534" s="2" t="s">
        <v>10</v>
      </c>
      <c r="O534" s="2" t="s">
        <v>10</v>
      </c>
    </row>
    <row r="535" spans="1:15" hidden="1" x14ac:dyDescent="0.25">
      <c r="A535" s="2" t="s">
        <v>713</v>
      </c>
      <c r="B535" s="3">
        <v>45332</v>
      </c>
      <c r="C535" s="5">
        <v>45323</v>
      </c>
      <c r="D535" s="2" t="s">
        <v>52</v>
      </c>
      <c r="E535" s="2">
        <v>6000</v>
      </c>
      <c r="F535" s="2" t="s">
        <v>51</v>
      </c>
      <c r="G535" s="2" t="s">
        <v>1033</v>
      </c>
      <c r="H535" s="4">
        <v>-8224.61</v>
      </c>
      <c r="I535" s="4">
        <v>-8224.61</v>
      </c>
      <c r="J535" s="4">
        <v>-8224.61</v>
      </c>
      <c r="K535" s="4">
        <v>8224.61</v>
      </c>
      <c r="L535" s="4"/>
      <c r="M535" s="2" t="s">
        <v>1084</v>
      </c>
      <c r="N535" s="2" t="s">
        <v>10</v>
      </c>
      <c r="O535" s="2" t="s">
        <v>10</v>
      </c>
    </row>
    <row r="536" spans="1:15" hidden="1" x14ac:dyDescent="0.25">
      <c r="A536" s="2" t="s">
        <v>981</v>
      </c>
      <c r="B536" s="3">
        <v>45443</v>
      </c>
      <c r="C536" s="5">
        <v>45413</v>
      </c>
      <c r="D536" s="2" t="s">
        <v>13</v>
      </c>
      <c r="E536" s="2">
        <v>6400</v>
      </c>
      <c r="F536" s="2" t="s">
        <v>15</v>
      </c>
      <c r="G536" s="2" t="s">
        <v>1044</v>
      </c>
      <c r="H536" s="4">
        <v>-3117.16</v>
      </c>
      <c r="I536" s="4">
        <v>-3117.16</v>
      </c>
      <c r="J536" s="4">
        <v>-3117.16</v>
      </c>
      <c r="K536" s="4">
        <v>3117.16</v>
      </c>
      <c r="L536" s="4"/>
      <c r="M536" s="2" t="s">
        <v>1084</v>
      </c>
      <c r="N536" s="2" t="s">
        <v>10</v>
      </c>
      <c r="O536" s="2" t="s">
        <v>10</v>
      </c>
    </row>
    <row r="537" spans="1:15" hidden="1" x14ac:dyDescent="0.25">
      <c r="A537" s="2" t="s">
        <v>46</v>
      </c>
      <c r="B537" s="3">
        <v>45606</v>
      </c>
      <c r="C537" s="5">
        <v>45597</v>
      </c>
      <c r="D537" s="2" t="s">
        <v>18</v>
      </c>
      <c r="E537" s="2">
        <v>5100</v>
      </c>
      <c r="F537" s="2" t="s">
        <v>17</v>
      </c>
      <c r="G537" s="2" t="s">
        <v>1037</v>
      </c>
      <c r="H537" s="4">
        <v>-12213.94</v>
      </c>
      <c r="I537" s="4">
        <v>-12213.94</v>
      </c>
      <c r="J537" s="4">
        <v>-12213.94</v>
      </c>
      <c r="K537" s="4">
        <v>12213.94</v>
      </c>
      <c r="L537" s="4"/>
      <c r="M537" s="2" t="s">
        <v>1084</v>
      </c>
      <c r="N537" s="2" t="s">
        <v>10</v>
      </c>
      <c r="O537" s="2" t="s">
        <v>10</v>
      </c>
    </row>
    <row r="538" spans="1:15" hidden="1" x14ac:dyDescent="0.25">
      <c r="A538" s="2" t="s">
        <v>825</v>
      </c>
      <c r="B538" s="3">
        <v>45351</v>
      </c>
      <c r="C538" s="5">
        <v>45323</v>
      </c>
      <c r="D538" s="2" t="s">
        <v>24</v>
      </c>
      <c r="E538" s="2">
        <v>6300</v>
      </c>
      <c r="F538" s="2" t="s">
        <v>23</v>
      </c>
      <c r="G538" s="2" t="s">
        <v>1045</v>
      </c>
      <c r="H538" s="4">
        <v>-529.17999999999995</v>
      </c>
      <c r="I538" s="4">
        <v>-529.17999999999995</v>
      </c>
      <c r="J538" s="4">
        <v>-529.17999999999995</v>
      </c>
      <c r="K538" s="4">
        <v>529.17999999999995</v>
      </c>
      <c r="L538" s="4"/>
      <c r="M538" s="2" t="s">
        <v>1084</v>
      </c>
      <c r="N538" s="2" t="s">
        <v>10</v>
      </c>
      <c r="O538" s="2" t="s">
        <v>10</v>
      </c>
    </row>
    <row r="539" spans="1:15" hidden="1" x14ac:dyDescent="0.25">
      <c r="A539" s="2" t="s">
        <v>372</v>
      </c>
      <c r="B539" s="3">
        <v>45292</v>
      </c>
      <c r="C539" s="5">
        <v>45292</v>
      </c>
      <c r="D539" s="2" t="s">
        <v>18</v>
      </c>
      <c r="E539" s="2">
        <v>5100</v>
      </c>
      <c r="F539" s="2" t="s">
        <v>56</v>
      </c>
      <c r="G539" s="2" t="s">
        <v>1025</v>
      </c>
      <c r="H539" s="4">
        <v>-2287.1999999999998</v>
      </c>
      <c r="I539" s="4">
        <v>-2287.1999999999998</v>
      </c>
      <c r="J539" s="4">
        <v>-2287.1999999999998</v>
      </c>
      <c r="K539" s="4">
        <v>2287.1999999999998</v>
      </c>
      <c r="L539" s="4"/>
      <c r="M539" s="2" t="s">
        <v>1084</v>
      </c>
      <c r="N539" s="2" t="s">
        <v>10</v>
      </c>
      <c r="O539" s="2" t="s">
        <v>10</v>
      </c>
    </row>
    <row r="540" spans="1:15" hidden="1" x14ac:dyDescent="0.25">
      <c r="A540" s="2" t="s">
        <v>273</v>
      </c>
      <c r="B540" s="3">
        <v>45332</v>
      </c>
      <c r="C540" s="5">
        <v>45323</v>
      </c>
      <c r="D540" s="2" t="s">
        <v>13</v>
      </c>
      <c r="E540" s="2">
        <v>6400</v>
      </c>
      <c r="F540" s="2" t="s">
        <v>15</v>
      </c>
      <c r="G540" s="2" t="s">
        <v>1044</v>
      </c>
      <c r="H540" s="4">
        <v>-3167.89</v>
      </c>
      <c r="I540" s="4">
        <v>-3167.89</v>
      </c>
      <c r="J540" s="4">
        <v>-3167.89</v>
      </c>
      <c r="K540" s="4">
        <v>3167.89</v>
      </c>
      <c r="L540" s="4"/>
      <c r="M540" s="2" t="s">
        <v>1084</v>
      </c>
      <c r="N540" s="2" t="s">
        <v>10</v>
      </c>
      <c r="O540" s="2" t="s">
        <v>10</v>
      </c>
    </row>
    <row r="541" spans="1:15" hidden="1" x14ac:dyDescent="0.25">
      <c r="A541" s="2" t="s">
        <v>678</v>
      </c>
      <c r="B541" s="3">
        <v>45477</v>
      </c>
      <c r="C541" s="5">
        <v>45474</v>
      </c>
      <c r="D541" s="2" t="s">
        <v>35</v>
      </c>
      <c r="E541" s="2">
        <v>4000</v>
      </c>
      <c r="F541" s="2" t="s">
        <v>116</v>
      </c>
      <c r="G541" s="2" t="s">
        <v>1034</v>
      </c>
      <c r="H541" s="4">
        <v>23086.49</v>
      </c>
      <c r="I541" s="4">
        <v>23086.49</v>
      </c>
      <c r="J541" s="4">
        <v>23086.49</v>
      </c>
      <c r="K541" s="4">
        <v>23086.49</v>
      </c>
      <c r="L541" s="4"/>
      <c r="M541" s="2" t="s">
        <v>1084</v>
      </c>
      <c r="N541" s="2" t="s">
        <v>10</v>
      </c>
      <c r="O541" s="2" t="s">
        <v>10</v>
      </c>
    </row>
    <row r="542" spans="1:15" hidden="1" x14ac:dyDescent="0.25">
      <c r="A542" s="2" t="s">
        <v>636</v>
      </c>
      <c r="B542" s="3">
        <v>45392</v>
      </c>
      <c r="C542" s="5">
        <v>45383</v>
      </c>
      <c r="D542" s="2" t="s">
        <v>39</v>
      </c>
      <c r="E542" s="2">
        <v>6500</v>
      </c>
      <c r="F542" s="2" t="s">
        <v>69</v>
      </c>
      <c r="G542" s="2" t="s">
        <v>1052</v>
      </c>
      <c r="H542" s="4">
        <v>-1477.71</v>
      </c>
      <c r="I542" s="4">
        <v>-1477.71</v>
      </c>
      <c r="J542" s="4">
        <v>-1477.71</v>
      </c>
      <c r="K542" s="4">
        <v>1477.71</v>
      </c>
      <c r="L542" s="4"/>
      <c r="M542" s="2" t="s">
        <v>1084</v>
      </c>
      <c r="N542" s="2" t="s">
        <v>10</v>
      </c>
      <c r="O542" s="2" t="s">
        <v>10</v>
      </c>
    </row>
    <row r="543" spans="1:15" hidden="1" x14ac:dyDescent="0.25">
      <c r="A543" s="2" t="s">
        <v>257</v>
      </c>
      <c r="B543" s="3">
        <v>45470</v>
      </c>
      <c r="C543" s="5">
        <v>45444</v>
      </c>
      <c r="D543" s="2" t="s">
        <v>35</v>
      </c>
      <c r="E543" s="2">
        <v>4000</v>
      </c>
      <c r="F543" s="2" t="s">
        <v>103</v>
      </c>
      <c r="G543" s="2" t="s">
        <v>1049</v>
      </c>
      <c r="H543" s="4">
        <v>5688.42</v>
      </c>
      <c r="I543" s="4">
        <v>5688.42</v>
      </c>
      <c r="J543" s="4">
        <v>5688.42</v>
      </c>
      <c r="K543" s="4">
        <v>5688.42</v>
      </c>
      <c r="L543" s="4"/>
      <c r="M543" s="2" t="s">
        <v>1084</v>
      </c>
      <c r="N543" s="2" t="s">
        <v>10</v>
      </c>
      <c r="O543" s="2" t="s">
        <v>10</v>
      </c>
    </row>
    <row r="544" spans="1:15" hidden="1" x14ac:dyDescent="0.25">
      <c r="A544" s="2" t="s">
        <v>968</v>
      </c>
      <c r="B544" s="3">
        <v>45302</v>
      </c>
      <c r="C544" s="5">
        <v>45292</v>
      </c>
      <c r="D544" s="2" t="s">
        <v>18</v>
      </c>
      <c r="E544" s="2">
        <v>5100</v>
      </c>
      <c r="F544" s="2" t="s">
        <v>17</v>
      </c>
      <c r="G544" s="2" t="s">
        <v>1037</v>
      </c>
      <c r="H544" s="4">
        <v>-1977.64</v>
      </c>
      <c r="I544" s="4">
        <v>-1977.64</v>
      </c>
      <c r="J544" s="4">
        <v>-1977.64</v>
      </c>
      <c r="K544" s="4">
        <v>1977.64</v>
      </c>
      <c r="L544" s="4"/>
      <c r="M544" s="2" t="s">
        <v>1084</v>
      </c>
      <c r="N544" s="2" t="s">
        <v>10</v>
      </c>
      <c r="O544" s="2" t="s">
        <v>10</v>
      </c>
    </row>
    <row r="545" spans="1:15" hidden="1" x14ac:dyDescent="0.25">
      <c r="A545" s="2" t="s">
        <v>569</v>
      </c>
      <c r="B545" s="3">
        <v>45413</v>
      </c>
      <c r="C545" s="5">
        <v>45413</v>
      </c>
      <c r="D545" s="2" t="s">
        <v>18</v>
      </c>
      <c r="E545" s="2">
        <v>5100</v>
      </c>
      <c r="F545" s="2" t="s">
        <v>17</v>
      </c>
      <c r="G545" s="2" t="s">
        <v>1037</v>
      </c>
      <c r="H545" s="4">
        <v>-1255.31</v>
      </c>
      <c r="I545" s="4">
        <v>-1255.31</v>
      </c>
      <c r="J545" s="4">
        <v>-1255.31</v>
      </c>
      <c r="K545" s="4">
        <v>1255.31</v>
      </c>
      <c r="L545" s="4"/>
      <c r="M545" s="2" t="s">
        <v>1084</v>
      </c>
      <c r="N545" s="2" t="s">
        <v>10</v>
      </c>
      <c r="O545" s="2" t="s">
        <v>10</v>
      </c>
    </row>
    <row r="546" spans="1:15" hidden="1" x14ac:dyDescent="0.25">
      <c r="A546" s="2" t="s">
        <v>606</v>
      </c>
      <c r="B546" s="3">
        <v>45441</v>
      </c>
      <c r="C546" s="5">
        <v>45413</v>
      </c>
      <c r="D546" s="2" t="s">
        <v>28</v>
      </c>
      <c r="E546" s="2">
        <v>6900</v>
      </c>
      <c r="F546" s="2" t="s">
        <v>76</v>
      </c>
      <c r="G546" s="2" t="s">
        <v>1047</v>
      </c>
      <c r="H546" s="4">
        <v>-15.74</v>
      </c>
      <c r="I546" s="4">
        <v>-15.74</v>
      </c>
      <c r="J546" s="4">
        <v>-15.74</v>
      </c>
      <c r="K546" s="4">
        <v>15.74</v>
      </c>
      <c r="L546" s="4"/>
      <c r="M546" s="2" t="s">
        <v>1084</v>
      </c>
      <c r="N546" s="2" t="s">
        <v>10</v>
      </c>
      <c r="O546" s="2" t="s">
        <v>10</v>
      </c>
    </row>
    <row r="547" spans="1:15" hidden="1" x14ac:dyDescent="0.25">
      <c r="A547" s="2" t="s">
        <v>797</v>
      </c>
      <c r="B547" s="3">
        <v>45449</v>
      </c>
      <c r="C547" s="5">
        <v>45444</v>
      </c>
      <c r="D547" s="2" t="s">
        <v>35</v>
      </c>
      <c r="E547" s="2">
        <v>4000</v>
      </c>
      <c r="F547" s="2" t="s">
        <v>116</v>
      </c>
      <c r="G547" s="2" t="s">
        <v>1034</v>
      </c>
      <c r="H547" s="4">
        <v>3747.28</v>
      </c>
      <c r="I547" s="4">
        <v>3747.28</v>
      </c>
      <c r="J547" s="4">
        <v>3747.28</v>
      </c>
      <c r="K547" s="4">
        <v>3747.28</v>
      </c>
      <c r="L547" s="4"/>
      <c r="M547" s="2" t="s">
        <v>1084</v>
      </c>
      <c r="N547" s="2" t="s">
        <v>10</v>
      </c>
      <c r="O547" s="2" t="s">
        <v>10</v>
      </c>
    </row>
    <row r="548" spans="1:15" hidden="1" x14ac:dyDescent="0.25">
      <c r="A548" s="2" t="s">
        <v>317</v>
      </c>
      <c r="B548" s="3">
        <v>45493</v>
      </c>
      <c r="C548" s="5">
        <v>45474</v>
      </c>
      <c r="D548" s="2" t="s">
        <v>24</v>
      </c>
      <c r="E548" s="2">
        <v>6300</v>
      </c>
      <c r="F548" s="2" t="s">
        <v>127</v>
      </c>
      <c r="G548" s="2" t="s">
        <v>1035</v>
      </c>
      <c r="H548" s="4">
        <v>-530.61</v>
      </c>
      <c r="I548" s="4">
        <v>-530.61</v>
      </c>
      <c r="J548" s="4">
        <v>-530.61</v>
      </c>
      <c r="K548" s="4">
        <v>530.61</v>
      </c>
      <c r="L548" s="4"/>
      <c r="M548" s="2" t="s">
        <v>1084</v>
      </c>
      <c r="N548" s="2" t="s">
        <v>10</v>
      </c>
      <c r="O548" s="2" t="s">
        <v>10</v>
      </c>
    </row>
    <row r="549" spans="1:15" hidden="1" x14ac:dyDescent="0.25">
      <c r="A549" s="2" t="s">
        <v>799</v>
      </c>
      <c r="B549" s="3">
        <v>45576</v>
      </c>
      <c r="C549" s="5">
        <v>45566</v>
      </c>
      <c r="D549" s="2" t="s">
        <v>13</v>
      </c>
      <c r="E549" s="2">
        <v>6400</v>
      </c>
      <c r="F549" s="2" t="s">
        <v>12</v>
      </c>
      <c r="G549" s="2" t="s">
        <v>1032</v>
      </c>
      <c r="H549" s="4">
        <v>-2728.51</v>
      </c>
      <c r="I549" s="4">
        <v>-2728.51</v>
      </c>
      <c r="J549" s="4">
        <v>-2728.51</v>
      </c>
      <c r="K549" s="4">
        <v>2728.51</v>
      </c>
      <c r="L549" s="4"/>
      <c r="M549" s="2" t="s">
        <v>1084</v>
      </c>
      <c r="N549" s="2" t="s">
        <v>10</v>
      </c>
      <c r="O549" s="2" t="s">
        <v>10</v>
      </c>
    </row>
    <row r="550" spans="1:15" hidden="1" x14ac:dyDescent="0.25">
      <c r="A550" s="2" t="s">
        <v>889</v>
      </c>
      <c r="B550" s="3">
        <v>45462</v>
      </c>
      <c r="C550" s="5">
        <v>45444</v>
      </c>
      <c r="D550" s="2" t="s">
        <v>13</v>
      </c>
      <c r="E550" s="2">
        <v>6400</v>
      </c>
      <c r="F550" s="2" t="s">
        <v>15</v>
      </c>
      <c r="G550" s="2" t="s">
        <v>1044</v>
      </c>
      <c r="H550" s="4">
        <v>-3097.04</v>
      </c>
      <c r="I550" s="4">
        <v>-3097.04</v>
      </c>
      <c r="J550" s="4">
        <v>-3097.04</v>
      </c>
      <c r="K550" s="4">
        <v>3097.04</v>
      </c>
      <c r="L550" s="4"/>
      <c r="M550" s="2" t="s">
        <v>1084</v>
      </c>
      <c r="N550" s="2" t="s">
        <v>10</v>
      </c>
      <c r="O550" s="2" t="s">
        <v>10</v>
      </c>
    </row>
    <row r="551" spans="1:15" hidden="1" x14ac:dyDescent="0.25">
      <c r="A551" s="2" t="s">
        <v>616</v>
      </c>
      <c r="B551" s="3">
        <v>45599</v>
      </c>
      <c r="C551" s="5">
        <v>45597</v>
      </c>
      <c r="D551" s="2" t="s">
        <v>9</v>
      </c>
      <c r="E551" s="2">
        <v>6100</v>
      </c>
      <c r="F551" s="2" t="s">
        <v>48</v>
      </c>
      <c r="G551" s="2" t="s">
        <v>1043</v>
      </c>
      <c r="H551" s="4">
        <v>-4120.03</v>
      </c>
      <c r="I551" s="4">
        <v>-4120.03</v>
      </c>
      <c r="J551" s="4">
        <v>-4120.03</v>
      </c>
      <c r="K551" s="4">
        <v>4120.03</v>
      </c>
      <c r="L551" s="4"/>
      <c r="M551" s="2" t="s">
        <v>1084</v>
      </c>
      <c r="N551" s="2" t="s">
        <v>10</v>
      </c>
      <c r="O551" s="2" t="s">
        <v>10</v>
      </c>
    </row>
    <row r="552" spans="1:15" hidden="1" x14ac:dyDescent="0.25">
      <c r="A552" s="2" t="s">
        <v>49</v>
      </c>
      <c r="B552" s="3">
        <v>45485</v>
      </c>
      <c r="C552" s="5">
        <v>45474</v>
      </c>
      <c r="D552" s="2" t="s">
        <v>28</v>
      </c>
      <c r="E552" s="2">
        <v>6900</v>
      </c>
      <c r="F552" s="2" t="s">
        <v>27</v>
      </c>
      <c r="G552" s="2" t="s">
        <v>1041</v>
      </c>
      <c r="H552" s="4">
        <v>-108.35</v>
      </c>
      <c r="I552" s="4">
        <v>-108.35</v>
      </c>
      <c r="J552" s="4">
        <v>-108.35</v>
      </c>
      <c r="K552" s="4">
        <v>108.35</v>
      </c>
      <c r="L552" s="4"/>
      <c r="M552" s="2" t="s">
        <v>1084</v>
      </c>
      <c r="N552" s="2" t="s">
        <v>10</v>
      </c>
      <c r="O552" s="2" t="s">
        <v>10</v>
      </c>
    </row>
    <row r="553" spans="1:15" hidden="1" x14ac:dyDescent="0.25">
      <c r="A553" s="2" t="s">
        <v>533</v>
      </c>
      <c r="B553" s="3">
        <v>45387</v>
      </c>
      <c r="C553" s="5">
        <v>45383</v>
      </c>
      <c r="D553" s="2" t="s">
        <v>59</v>
      </c>
      <c r="E553" s="2">
        <v>6200</v>
      </c>
      <c r="F553" s="2" t="s">
        <v>58</v>
      </c>
      <c r="G553" s="2" t="s">
        <v>1038</v>
      </c>
      <c r="H553" s="4">
        <v>-564.5</v>
      </c>
      <c r="I553" s="4">
        <v>-564.5</v>
      </c>
      <c r="J553" s="4">
        <v>-564.5</v>
      </c>
      <c r="K553" s="4">
        <v>564.5</v>
      </c>
      <c r="L553" s="4"/>
      <c r="M553" s="2" t="s">
        <v>1084</v>
      </c>
      <c r="N553" s="2" t="s">
        <v>10</v>
      </c>
      <c r="O553" s="2" t="s">
        <v>10</v>
      </c>
    </row>
    <row r="554" spans="1:15" hidden="1" x14ac:dyDescent="0.25">
      <c r="A554" s="2" t="s">
        <v>461</v>
      </c>
      <c r="B554" s="3">
        <v>45375</v>
      </c>
      <c r="C554" s="5">
        <v>45352</v>
      </c>
      <c r="D554" s="2" t="s">
        <v>28</v>
      </c>
      <c r="E554" s="2">
        <v>6900</v>
      </c>
      <c r="F554" s="2" t="s">
        <v>195</v>
      </c>
      <c r="G554" s="2" t="s">
        <v>1048</v>
      </c>
      <c r="H554" s="4">
        <v>-72.81</v>
      </c>
      <c r="I554" s="4">
        <v>-72.81</v>
      </c>
      <c r="J554" s="4">
        <v>-72.81</v>
      </c>
      <c r="K554" s="4">
        <v>72.81</v>
      </c>
      <c r="L554" s="4"/>
      <c r="M554" s="2" t="s">
        <v>1084</v>
      </c>
      <c r="N554" s="2" t="s">
        <v>10</v>
      </c>
      <c r="O554" s="2" t="s">
        <v>10</v>
      </c>
    </row>
    <row r="555" spans="1:15" hidden="1" x14ac:dyDescent="0.25">
      <c r="A555" s="2" t="s">
        <v>61</v>
      </c>
      <c r="B555" s="3">
        <v>45409</v>
      </c>
      <c r="C555" s="5">
        <v>45383</v>
      </c>
      <c r="D555" s="2" t="s">
        <v>59</v>
      </c>
      <c r="E555" s="2">
        <v>6200</v>
      </c>
      <c r="F555" s="2" t="s">
        <v>58</v>
      </c>
      <c r="G555" s="2" t="s">
        <v>1038</v>
      </c>
      <c r="H555" s="4">
        <v>-245.17</v>
      </c>
      <c r="I555" s="4">
        <v>-245.17</v>
      </c>
      <c r="J555" s="4">
        <v>-245.17</v>
      </c>
      <c r="K555" s="4">
        <v>245.17</v>
      </c>
      <c r="L555" s="4"/>
      <c r="M555" s="2" t="s">
        <v>1084</v>
      </c>
      <c r="N555" s="2" t="s">
        <v>10</v>
      </c>
      <c r="O555" s="2" t="s">
        <v>123</v>
      </c>
    </row>
    <row r="556" spans="1:15" hidden="1" x14ac:dyDescent="0.25">
      <c r="A556" s="2" t="s">
        <v>415</v>
      </c>
      <c r="B556" s="3">
        <v>45510</v>
      </c>
      <c r="C556" s="5">
        <v>45505</v>
      </c>
      <c r="D556" s="2" t="s">
        <v>31</v>
      </c>
      <c r="E556" s="2">
        <v>4900</v>
      </c>
      <c r="F556" s="2" t="s">
        <v>79</v>
      </c>
      <c r="G556" s="2" t="s">
        <v>1026</v>
      </c>
      <c r="H556" s="4">
        <v>107.98</v>
      </c>
      <c r="I556" s="4">
        <v>107.98</v>
      </c>
      <c r="J556" s="4">
        <v>107.98</v>
      </c>
      <c r="K556" s="4">
        <v>107.98</v>
      </c>
      <c r="L556" s="4"/>
      <c r="M556" s="2" t="s">
        <v>1084</v>
      </c>
      <c r="N556" s="2" t="s">
        <v>10</v>
      </c>
      <c r="O556" s="2" t="s">
        <v>10</v>
      </c>
    </row>
    <row r="557" spans="1:15" hidden="1" x14ac:dyDescent="0.25">
      <c r="A557" s="2" t="s">
        <v>515</v>
      </c>
      <c r="B557" s="3">
        <v>45380</v>
      </c>
      <c r="C557" s="5">
        <v>45352</v>
      </c>
      <c r="D557" s="2" t="s">
        <v>13</v>
      </c>
      <c r="E557" s="2">
        <v>6400</v>
      </c>
      <c r="F557" s="2" t="s">
        <v>12</v>
      </c>
      <c r="G557" s="2" t="s">
        <v>1032</v>
      </c>
      <c r="H557" s="4">
        <v>-605.08000000000004</v>
      </c>
      <c r="I557" s="4">
        <v>-605.08000000000004</v>
      </c>
      <c r="J557" s="4">
        <v>-605.08000000000004</v>
      </c>
      <c r="K557" s="4">
        <v>605.08000000000004</v>
      </c>
      <c r="L557" s="4"/>
      <c r="M557" s="2" t="s">
        <v>1084</v>
      </c>
      <c r="N557" s="2" t="s">
        <v>10</v>
      </c>
      <c r="O557" s="2" t="s">
        <v>10</v>
      </c>
    </row>
    <row r="558" spans="1:15" hidden="1" x14ac:dyDescent="0.25">
      <c r="A558" s="2" t="s">
        <v>700</v>
      </c>
      <c r="B558" s="3">
        <v>45625</v>
      </c>
      <c r="C558" s="5">
        <v>45597</v>
      </c>
      <c r="D558" s="2" t="s">
        <v>39</v>
      </c>
      <c r="E558" s="2">
        <v>6500</v>
      </c>
      <c r="F558" s="2" t="s">
        <v>69</v>
      </c>
      <c r="G558" s="2" t="s">
        <v>1052</v>
      </c>
      <c r="H558" s="4">
        <v>-6760.25</v>
      </c>
      <c r="I558" s="4">
        <v>-6760.25</v>
      </c>
      <c r="J558" s="4">
        <v>-6760.25</v>
      </c>
      <c r="K558" s="4">
        <v>6760.25</v>
      </c>
      <c r="L558" s="4"/>
      <c r="M558" s="2" t="s">
        <v>1084</v>
      </c>
      <c r="N558" s="2" t="s">
        <v>10</v>
      </c>
      <c r="O558" s="2" t="s">
        <v>10</v>
      </c>
    </row>
    <row r="559" spans="1:15" hidden="1" x14ac:dyDescent="0.25">
      <c r="A559" s="2" t="s">
        <v>809</v>
      </c>
      <c r="B559" s="3">
        <v>45467</v>
      </c>
      <c r="C559" s="5">
        <v>45444</v>
      </c>
      <c r="D559" s="2" t="s">
        <v>28</v>
      </c>
      <c r="E559" s="2">
        <v>6900</v>
      </c>
      <c r="F559" s="2" t="s">
        <v>76</v>
      </c>
      <c r="G559" s="2" t="s">
        <v>1047</v>
      </c>
      <c r="H559" s="4">
        <v>-52.88</v>
      </c>
      <c r="I559" s="4">
        <v>-52.88</v>
      </c>
      <c r="J559" s="4">
        <v>-52.88</v>
      </c>
      <c r="K559" s="4">
        <v>52.88</v>
      </c>
      <c r="L559" s="4"/>
      <c r="M559" s="2" t="s">
        <v>1084</v>
      </c>
      <c r="N559" s="2" t="s">
        <v>10</v>
      </c>
      <c r="O559" s="2" t="s">
        <v>10</v>
      </c>
    </row>
    <row r="560" spans="1:15" hidden="1" x14ac:dyDescent="0.25">
      <c r="A560" s="2" t="s">
        <v>627</v>
      </c>
      <c r="B560" s="3">
        <v>45607</v>
      </c>
      <c r="C560" s="5">
        <v>45597</v>
      </c>
      <c r="D560" s="2" t="s">
        <v>39</v>
      </c>
      <c r="E560" s="2">
        <v>6500</v>
      </c>
      <c r="F560" s="2" t="s">
        <v>69</v>
      </c>
      <c r="G560" s="2" t="s">
        <v>1052</v>
      </c>
      <c r="H560" s="4">
        <v>-6872.82</v>
      </c>
      <c r="I560" s="4">
        <v>-6872.82</v>
      </c>
      <c r="J560" s="4">
        <v>-6872.82</v>
      </c>
      <c r="K560" s="4">
        <v>6872.82</v>
      </c>
      <c r="L560" s="4"/>
      <c r="M560" s="2" t="s">
        <v>1084</v>
      </c>
      <c r="N560" s="2" t="s">
        <v>10</v>
      </c>
      <c r="O560" s="2" t="s">
        <v>10</v>
      </c>
    </row>
    <row r="561" spans="1:15" hidden="1" x14ac:dyDescent="0.25">
      <c r="A561" s="2" t="s">
        <v>412</v>
      </c>
      <c r="B561" s="3">
        <v>45541</v>
      </c>
      <c r="C561" s="5">
        <v>45536</v>
      </c>
      <c r="D561" s="2" t="s">
        <v>28</v>
      </c>
      <c r="E561" s="2">
        <v>6900</v>
      </c>
      <c r="F561" s="2" t="s">
        <v>195</v>
      </c>
      <c r="G561" s="2" t="s">
        <v>1048</v>
      </c>
      <c r="H561" s="4">
        <v>-16.27</v>
      </c>
      <c r="I561" s="4">
        <v>-16.27</v>
      </c>
      <c r="J561" s="4">
        <v>-16.27</v>
      </c>
      <c r="K561" s="4">
        <v>16.27</v>
      </c>
      <c r="L561" s="4"/>
      <c r="M561" s="2" t="s">
        <v>1084</v>
      </c>
      <c r="N561" s="2" t="s">
        <v>10</v>
      </c>
      <c r="O561" s="2" t="s">
        <v>10</v>
      </c>
    </row>
    <row r="562" spans="1:15" hidden="1" x14ac:dyDescent="0.25">
      <c r="A562" s="2" t="s">
        <v>371</v>
      </c>
      <c r="B562" s="3">
        <v>45413</v>
      </c>
      <c r="C562" s="5">
        <v>45413</v>
      </c>
      <c r="D562" s="2" t="s">
        <v>13</v>
      </c>
      <c r="E562" s="2">
        <v>6400</v>
      </c>
      <c r="F562" s="2" t="s">
        <v>12</v>
      </c>
      <c r="G562" s="2" t="s">
        <v>1032</v>
      </c>
      <c r="H562" s="4">
        <v>-1132.22</v>
      </c>
      <c r="I562" s="4">
        <v>-1132.22</v>
      </c>
      <c r="J562" s="4">
        <v>-1132.22</v>
      </c>
      <c r="K562" s="4">
        <v>1132.22</v>
      </c>
      <c r="L562" s="4"/>
      <c r="M562" s="2" t="s">
        <v>1084</v>
      </c>
      <c r="N562" s="2" t="s">
        <v>10</v>
      </c>
      <c r="O562" s="2" t="s">
        <v>10</v>
      </c>
    </row>
    <row r="563" spans="1:15" hidden="1" x14ac:dyDescent="0.25">
      <c r="A563" s="2" t="s">
        <v>963</v>
      </c>
      <c r="B563" s="3">
        <v>45375</v>
      </c>
      <c r="C563" s="5">
        <v>45352</v>
      </c>
      <c r="D563" s="2" t="s">
        <v>35</v>
      </c>
      <c r="E563" s="2">
        <v>4000</v>
      </c>
      <c r="F563" s="2" t="s">
        <v>116</v>
      </c>
      <c r="G563" s="2" t="s">
        <v>1034</v>
      </c>
      <c r="H563" s="4">
        <v>5807.25</v>
      </c>
      <c r="I563" s="4">
        <v>5807.25</v>
      </c>
      <c r="J563" s="4">
        <v>5807.25</v>
      </c>
      <c r="K563" s="4">
        <v>5807.25</v>
      </c>
      <c r="L563" s="4"/>
      <c r="M563" s="2" t="s">
        <v>1084</v>
      </c>
      <c r="N563" s="2" t="s">
        <v>10</v>
      </c>
      <c r="O563" s="2" t="s">
        <v>10</v>
      </c>
    </row>
    <row r="564" spans="1:15" hidden="1" x14ac:dyDescent="0.25">
      <c r="A564" s="2" t="s">
        <v>994</v>
      </c>
      <c r="B564" s="3">
        <v>45563</v>
      </c>
      <c r="C564" s="5">
        <v>45536</v>
      </c>
      <c r="D564" s="2" t="s">
        <v>24</v>
      </c>
      <c r="E564" s="2">
        <v>6300</v>
      </c>
      <c r="F564" s="2" t="s">
        <v>127</v>
      </c>
      <c r="G564" s="2" t="s">
        <v>1035</v>
      </c>
      <c r="H564" s="4">
        <v>-820.62</v>
      </c>
      <c r="I564" s="4">
        <v>-820.62</v>
      </c>
      <c r="J564" s="4">
        <v>-820.62</v>
      </c>
      <c r="K564" s="4">
        <v>820.62</v>
      </c>
      <c r="L564" s="4"/>
      <c r="M564" s="2" t="s">
        <v>1084</v>
      </c>
      <c r="N564" s="2" t="s">
        <v>10</v>
      </c>
      <c r="O564" s="2" t="s">
        <v>10</v>
      </c>
    </row>
    <row r="565" spans="1:15" hidden="1" x14ac:dyDescent="0.25">
      <c r="A565" s="2" t="s">
        <v>481</v>
      </c>
      <c r="B565" s="3">
        <v>45412</v>
      </c>
      <c r="C565" s="5">
        <v>45383</v>
      </c>
      <c r="D565" s="2" t="s">
        <v>18</v>
      </c>
      <c r="E565" s="2">
        <v>5100</v>
      </c>
      <c r="F565" s="2" t="s">
        <v>81</v>
      </c>
      <c r="G565" s="2" t="s">
        <v>1039</v>
      </c>
      <c r="H565" s="4">
        <v>-4566.28</v>
      </c>
      <c r="I565" s="4">
        <v>-4566.28</v>
      </c>
      <c r="J565" s="4">
        <v>-4566.28</v>
      </c>
      <c r="K565" s="4">
        <v>4566.28</v>
      </c>
      <c r="L565" s="4"/>
      <c r="M565" s="2" t="s">
        <v>1084</v>
      </c>
      <c r="N565" s="2" t="s">
        <v>10</v>
      </c>
      <c r="O565" s="2" t="s">
        <v>10</v>
      </c>
    </row>
    <row r="566" spans="1:15" hidden="1" x14ac:dyDescent="0.25">
      <c r="A566" s="2" t="s">
        <v>904</v>
      </c>
      <c r="B566" s="3">
        <v>45382</v>
      </c>
      <c r="C566" s="5">
        <v>45352</v>
      </c>
      <c r="D566" s="2" t="s">
        <v>28</v>
      </c>
      <c r="E566" s="2">
        <v>6900</v>
      </c>
      <c r="F566" s="2" t="s">
        <v>195</v>
      </c>
      <c r="G566" s="2" t="s">
        <v>1048</v>
      </c>
      <c r="H566" s="4">
        <v>-47.03</v>
      </c>
      <c r="I566" s="4">
        <v>-47.03</v>
      </c>
      <c r="J566" s="4">
        <v>-47.03</v>
      </c>
      <c r="K566" s="4">
        <v>47.03</v>
      </c>
      <c r="L566" s="4"/>
      <c r="M566" s="2" t="s">
        <v>1084</v>
      </c>
      <c r="N566" s="2" t="s">
        <v>10</v>
      </c>
      <c r="O566" s="2" t="s">
        <v>10</v>
      </c>
    </row>
    <row r="567" spans="1:15" hidden="1" x14ac:dyDescent="0.25">
      <c r="A567" s="2" t="s">
        <v>653</v>
      </c>
      <c r="B567" s="3">
        <v>45631</v>
      </c>
      <c r="C567" s="5">
        <v>45627</v>
      </c>
      <c r="D567" s="2" t="s">
        <v>52</v>
      </c>
      <c r="E567" s="2">
        <v>6000</v>
      </c>
      <c r="F567" s="2" t="s">
        <v>51</v>
      </c>
      <c r="G567" s="2" t="s">
        <v>1033</v>
      </c>
      <c r="H567" s="4">
        <v>-7320</v>
      </c>
      <c r="I567" s="4">
        <v>-7320</v>
      </c>
      <c r="J567" s="4">
        <v>-7320</v>
      </c>
      <c r="K567" s="4">
        <v>7320</v>
      </c>
      <c r="L567" s="4"/>
      <c r="M567" s="2" t="s">
        <v>1084</v>
      </c>
      <c r="N567" s="2" t="s">
        <v>10</v>
      </c>
      <c r="O567" s="2" t="s">
        <v>10</v>
      </c>
    </row>
    <row r="568" spans="1:15" hidden="1" x14ac:dyDescent="0.25">
      <c r="A568" s="2" t="s">
        <v>854</v>
      </c>
      <c r="B568" s="3">
        <v>45468</v>
      </c>
      <c r="C568" s="5">
        <v>45444</v>
      </c>
      <c r="D568" s="2" t="s">
        <v>52</v>
      </c>
      <c r="E568" s="2">
        <v>6000</v>
      </c>
      <c r="F568" s="2" t="s">
        <v>63</v>
      </c>
      <c r="G568" s="2" t="s">
        <v>1051</v>
      </c>
      <c r="H568" s="4">
        <v>-7908.52</v>
      </c>
      <c r="I568" s="4">
        <v>-7908.52</v>
      </c>
      <c r="J568" s="4">
        <v>-7908.52</v>
      </c>
      <c r="K568" s="4">
        <v>7908.52</v>
      </c>
      <c r="L568" s="4"/>
      <c r="M568" s="2" t="s">
        <v>1084</v>
      </c>
      <c r="N568" s="2" t="s">
        <v>10</v>
      </c>
      <c r="O568" s="2" t="s">
        <v>10</v>
      </c>
    </row>
    <row r="569" spans="1:15" hidden="1" x14ac:dyDescent="0.25">
      <c r="A569" s="2" t="s">
        <v>131</v>
      </c>
      <c r="B569" s="3">
        <v>45309</v>
      </c>
      <c r="C569" s="5">
        <v>45292</v>
      </c>
      <c r="D569" s="2" t="s">
        <v>52</v>
      </c>
      <c r="E569" s="2">
        <v>6000</v>
      </c>
      <c r="F569" s="2" t="s">
        <v>51</v>
      </c>
      <c r="G569" s="2" t="s">
        <v>1033</v>
      </c>
      <c r="H569" s="4">
        <v>-8047.24</v>
      </c>
      <c r="I569" s="4">
        <v>-8047.24</v>
      </c>
      <c r="J569" s="4">
        <v>-8047.24</v>
      </c>
      <c r="K569" s="4">
        <v>8047.24</v>
      </c>
      <c r="L569" s="4"/>
      <c r="M569" s="2" t="s">
        <v>1084</v>
      </c>
      <c r="N569" s="2" t="s">
        <v>10</v>
      </c>
      <c r="O569" s="2" t="s">
        <v>10</v>
      </c>
    </row>
    <row r="570" spans="1:15" hidden="1" x14ac:dyDescent="0.25">
      <c r="A570" s="2" t="s">
        <v>839</v>
      </c>
      <c r="B570" s="3">
        <v>45472</v>
      </c>
      <c r="C570" s="5">
        <v>45444</v>
      </c>
      <c r="D570" s="2" t="s">
        <v>9</v>
      </c>
      <c r="E570" s="2">
        <v>6100</v>
      </c>
      <c r="F570" s="2" t="s">
        <v>8</v>
      </c>
      <c r="G570" s="2" t="s">
        <v>1042</v>
      </c>
      <c r="H570" s="4">
        <v>-4406.41</v>
      </c>
      <c r="I570" s="4">
        <v>-4406.41</v>
      </c>
      <c r="J570" s="4">
        <v>-4406.41</v>
      </c>
      <c r="K570" s="4">
        <v>4406.41</v>
      </c>
      <c r="L570" s="4"/>
      <c r="M570" s="2" t="s">
        <v>1084</v>
      </c>
      <c r="N570" s="2" t="s">
        <v>10</v>
      </c>
      <c r="O570" s="2" t="s">
        <v>10</v>
      </c>
    </row>
    <row r="571" spans="1:15" hidden="1" x14ac:dyDescent="0.25">
      <c r="A571" s="2" t="s">
        <v>886</v>
      </c>
      <c r="B571" s="3">
        <v>45460</v>
      </c>
      <c r="C571" s="5">
        <v>45444</v>
      </c>
      <c r="D571" s="2" t="s">
        <v>13</v>
      </c>
      <c r="E571" s="2">
        <v>6400</v>
      </c>
      <c r="F571" s="2" t="s">
        <v>15</v>
      </c>
      <c r="G571" s="2" t="s">
        <v>1044</v>
      </c>
      <c r="H571" s="4">
        <v>-2387.65</v>
      </c>
      <c r="I571" s="4">
        <v>-2387.65</v>
      </c>
      <c r="J571" s="4">
        <v>-2387.65</v>
      </c>
      <c r="K571" s="4">
        <v>2387.65</v>
      </c>
      <c r="L571" s="4"/>
      <c r="M571" s="2" t="s">
        <v>1084</v>
      </c>
      <c r="N571" s="2" t="s">
        <v>10</v>
      </c>
      <c r="O571" s="2" t="s">
        <v>10</v>
      </c>
    </row>
    <row r="572" spans="1:15" hidden="1" x14ac:dyDescent="0.25">
      <c r="A572" s="2" t="s">
        <v>335</v>
      </c>
      <c r="B572" s="3">
        <v>45607</v>
      </c>
      <c r="C572" s="5">
        <v>45597</v>
      </c>
      <c r="D572" s="2" t="s">
        <v>31</v>
      </c>
      <c r="E572" s="2">
        <v>4900</v>
      </c>
      <c r="F572" s="2" t="s">
        <v>79</v>
      </c>
      <c r="G572" s="2" t="s">
        <v>1026</v>
      </c>
      <c r="H572" s="4">
        <v>34.26</v>
      </c>
      <c r="I572" s="4">
        <v>34.26</v>
      </c>
      <c r="J572" s="4">
        <v>34.26</v>
      </c>
      <c r="K572" s="4">
        <v>34.26</v>
      </c>
      <c r="L572" s="4"/>
      <c r="M572" s="2" t="s">
        <v>1084</v>
      </c>
      <c r="N572" s="2" t="s">
        <v>10</v>
      </c>
      <c r="O572" s="2" t="s">
        <v>10</v>
      </c>
    </row>
    <row r="573" spans="1:15" hidden="1" x14ac:dyDescent="0.25">
      <c r="A573" s="2" t="s">
        <v>354</v>
      </c>
      <c r="B573" s="3">
        <v>45551</v>
      </c>
      <c r="C573" s="5">
        <v>45536</v>
      </c>
      <c r="D573" s="2" t="s">
        <v>24</v>
      </c>
      <c r="E573" s="2">
        <v>6300</v>
      </c>
      <c r="F573" s="2" t="s">
        <v>94</v>
      </c>
      <c r="G573" s="2" t="s">
        <v>1053</v>
      </c>
      <c r="H573" s="4">
        <v>-413.22</v>
      </c>
      <c r="I573" s="4">
        <v>-413.22</v>
      </c>
      <c r="J573" s="4">
        <v>-413.22</v>
      </c>
      <c r="K573" s="4">
        <v>413.22</v>
      </c>
      <c r="L573" s="4"/>
      <c r="M573" s="2" t="s">
        <v>1084</v>
      </c>
      <c r="N573" s="2" t="s">
        <v>10</v>
      </c>
      <c r="O573" s="2" t="s">
        <v>10</v>
      </c>
    </row>
    <row r="574" spans="1:15" hidden="1" x14ac:dyDescent="0.25">
      <c r="A574" s="2" t="s">
        <v>870</v>
      </c>
      <c r="B574" s="3">
        <v>45361</v>
      </c>
      <c r="C574" s="5">
        <v>45352</v>
      </c>
      <c r="D574" s="2" t="s">
        <v>52</v>
      </c>
      <c r="E574" s="2">
        <v>6000</v>
      </c>
      <c r="F574" s="2" t="s">
        <v>63</v>
      </c>
      <c r="G574" s="2" t="s">
        <v>1051</v>
      </c>
      <c r="H574" s="4">
        <v>-2410.4699999999998</v>
      </c>
      <c r="I574" s="4">
        <v>-2410.4699999999998</v>
      </c>
      <c r="J574" s="4">
        <v>-2410.4699999999998</v>
      </c>
      <c r="K574" s="4">
        <v>2410.4699999999998</v>
      </c>
      <c r="L574" s="4"/>
      <c r="M574" s="2" t="s">
        <v>1084</v>
      </c>
      <c r="N574" s="2" t="s">
        <v>10</v>
      </c>
      <c r="O574" s="2" t="s">
        <v>10</v>
      </c>
    </row>
    <row r="575" spans="1:15" hidden="1" x14ac:dyDescent="0.25">
      <c r="A575" s="2" t="s">
        <v>147</v>
      </c>
      <c r="B575" s="3">
        <v>45346</v>
      </c>
      <c r="C575" s="5">
        <v>45323</v>
      </c>
      <c r="D575" s="2" t="s">
        <v>35</v>
      </c>
      <c r="E575" s="2">
        <v>4000</v>
      </c>
      <c r="F575" s="2" t="s">
        <v>34</v>
      </c>
      <c r="G575" s="2" t="s">
        <v>1027</v>
      </c>
      <c r="H575" s="4">
        <v>5948.01</v>
      </c>
      <c r="I575" s="4">
        <v>5948.01</v>
      </c>
      <c r="J575" s="4">
        <v>5948.01</v>
      </c>
      <c r="K575" s="4">
        <v>5948.01</v>
      </c>
      <c r="L575" s="4"/>
      <c r="M575" s="2" t="s">
        <v>1084</v>
      </c>
      <c r="N575" s="2" t="s">
        <v>10</v>
      </c>
      <c r="O575" s="2" t="s">
        <v>10</v>
      </c>
    </row>
    <row r="576" spans="1:15" hidden="1" x14ac:dyDescent="0.25">
      <c r="A576" s="2" t="s">
        <v>249</v>
      </c>
      <c r="B576" s="3">
        <v>45512</v>
      </c>
      <c r="C576" s="5">
        <v>45505</v>
      </c>
      <c r="D576" s="2" t="s">
        <v>35</v>
      </c>
      <c r="E576" s="2">
        <v>4000</v>
      </c>
      <c r="F576" s="2" t="s">
        <v>103</v>
      </c>
      <c r="G576" s="2" t="s">
        <v>1049</v>
      </c>
      <c r="H576" s="4">
        <v>18701.2</v>
      </c>
      <c r="I576" s="4">
        <v>18701.2</v>
      </c>
      <c r="J576" s="4">
        <v>18701.2</v>
      </c>
      <c r="K576" s="4">
        <v>18701.2</v>
      </c>
      <c r="L576" s="4"/>
      <c r="M576" s="2" t="s">
        <v>1084</v>
      </c>
      <c r="N576" s="2" t="s">
        <v>10</v>
      </c>
      <c r="O576" s="2" t="s">
        <v>10</v>
      </c>
    </row>
    <row r="577" spans="1:15" hidden="1" x14ac:dyDescent="0.25">
      <c r="A577" s="2" t="s">
        <v>749</v>
      </c>
      <c r="B577" s="3">
        <v>45309</v>
      </c>
      <c r="C577" s="5">
        <v>45292</v>
      </c>
      <c r="D577" s="2" t="s">
        <v>59</v>
      </c>
      <c r="E577" s="2">
        <v>6200</v>
      </c>
      <c r="F577" s="2" t="s">
        <v>58</v>
      </c>
      <c r="G577" s="2" t="s">
        <v>1038</v>
      </c>
      <c r="H577" s="4">
        <v>-322.62</v>
      </c>
      <c r="I577" s="4">
        <v>-322.62</v>
      </c>
      <c r="J577" s="4">
        <v>-322.62</v>
      </c>
      <c r="K577" s="4">
        <v>322.62</v>
      </c>
      <c r="L577" s="4"/>
      <c r="M577" s="2" t="s">
        <v>1084</v>
      </c>
      <c r="N577" s="2" t="s">
        <v>10</v>
      </c>
      <c r="O577" s="2" t="s">
        <v>10</v>
      </c>
    </row>
    <row r="578" spans="1:15" hidden="1" x14ac:dyDescent="0.25">
      <c r="A578" s="2" t="s">
        <v>238</v>
      </c>
      <c r="B578" s="3">
        <v>45408</v>
      </c>
      <c r="C578" s="5">
        <v>45383</v>
      </c>
      <c r="D578" s="2" t="s">
        <v>31</v>
      </c>
      <c r="E578" s="2">
        <v>4900</v>
      </c>
      <c r="F578" s="2" t="s">
        <v>146</v>
      </c>
      <c r="G578" s="2" t="s">
        <v>1031</v>
      </c>
      <c r="H578" s="4">
        <v>220.59</v>
      </c>
      <c r="I578" s="4">
        <v>220.59</v>
      </c>
      <c r="J578" s="4">
        <v>220.59</v>
      </c>
      <c r="K578" s="4">
        <v>220.59</v>
      </c>
      <c r="L578" s="4"/>
      <c r="M578" s="2" t="s">
        <v>1084</v>
      </c>
      <c r="N578" s="2" t="s">
        <v>10</v>
      </c>
      <c r="O578" s="2" t="s">
        <v>10</v>
      </c>
    </row>
    <row r="579" spans="1:15" hidden="1" x14ac:dyDescent="0.25">
      <c r="A579" s="2" t="s">
        <v>72</v>
      </c>
      <c r="B579" s="3">
        <v>45342</v>
      </c>
      <c r="C579" s="5">
        <v>45323</v>
      </c>
      <c r="D579" s="2" t="s">
        <v>13</v>
      </c>
      <c r="E579" s="2">
        <v>6400</v>
      </c>
      <c r="F579" s="2" t="s">
        <v>12</v>
      </c>
      <c r="G579" s="2" t="s">
        <v>1032</v>
      </c>
      <c r="H579" s="4">
        <v>-2680.64</v>
      </c>
      <c r="I579" s="4">
        <v>-2680.64</v>
      </c>
      <c r="J579" s="4">
        <v>-2680.64</v>
      </c>
      <c r="K579" s="4">
        <v>2680.64</v>
      </c>
      <c r="L579" s="4"/>
      <c r="M579" s="2" t="s">
        <v>1084</v>
      </c>
      <c r="N579" s="2" t="s">
        <v>10</v>
      </c>
      <c r="O579" s="2" t="s">
        <v>10</v>
      </c>
    </row>
    <row r="580" spans="1:15" x14ac:dyDescent="0.25">
      <c r="A580" s="2" t="s">
        <v>595</v>
      </c>
      <c r="B580" s="3">
        <v>45299</v>
      </c>
      <c r="C580" s="5">
        <v>45292</v>
      </c>
      <c r="D580" s="2" t="s">
        <v>28</v>
      </c>
      <c r="E580" s="2">
        <v>6900</v>
      </c>
      <c r="F580" s="2" t="s">
        <v>195</v>
      </c>
      <c r="G580" s="2" t="s">
        <v>1048</v>
      </c>
      <c r="H580" s="4">
        <v>-77.38</v>
      </c>
      <c r="I580" s="4">
        <v>-773.8</v>
      </c>
      <c r="J580" s="4">
        <v>-77.38</v>
      </c>
      <c r="K580" s="4">
        <v>77.38</v>
      </c>
      <c r="L580" s="4">
        <v>696.42</v>
      </c>
      <c r="M580" s="2" t="s">
        <v>1085</v>
      </c>
      <c r="N580" s="2" t="s">
        <v>123</v>
      </c>
      <c r="O580" s="2" t="s">
        <v>10</v>
      </c>
    </row>
    <row r="581" spans="1:15" hidden="1" x14ac:dyDescent="0.25">
      <c r="A581" s="2" t="s">
        <v>434</v>
      </c>
      <c r="B581" s="3">
        <v>45627</v>
      </c>
      <c r="C581" s="5">
        <v>45627</v>
      </c>
      <c r="D581" s="2" t="s">
        <v>18</v>
      </c>
      <c r="E581" s="2">
        <v>5100</v>
      </c>
      <c r="F581" s="2" t="s">
        <v>56</v>
      </c>
      <c r="G581" s="2" t="s">
        <v>1025</v>
      </c>
      <c r="H581" s="4">
        <v>-9371.85</v>
      </c>
      <c r="I581" s="4">
        <v>-9371.85</v>
      </c>
      <c r="J581" s="4">
        <v>-9371.85</v>
      </c>
      <c r="K581" s="4">
        <v>9371.85</v>
      </c>
      <c r="L581" s="4"/>
      <c r="M581" s="2" t="s">
        <v>1084</v>
      </c>
      <c r="N581" s="2" t="s">
        <v>10</v>
      </c>
      <c r="O581" s="2" t="s">
        <v>10</v>
      </c>
    </row>
    <row r="582" spans="1:15" hidden="1" x14ac:dyDescent="0.25">
      <c r="A582" s="2" t="s">
        <v>993</v>
      </c>
      <c r="B582" s="3">
        <v>45324</v>
      </c>
      <c r="C582" s="5">
        <v>45323</v>
      </c>
      <c r="D582" s="2" t="s">
        <v>35</v>
      </c>
      <c r="E582" s="2">
        <v>4000</v>
      </c>
      <c r="F582" s="2" t="s">
        <v>116</v>
      </c>
      <c r="G582" s="2" t="s">
        <v>1034</v>
      </c>
      <c r="H582" s="4">
        <v>12549.41</v>
      </c>
      <c r="I582" s="4">
        <v>12549.41</v>
      </c>
      <c r="J582" s="4">
        <v>12549.41</v>
      </c>
      <c r="K582" s="4">
        <v>12549.41</v>
      </c>
      <c r="L582" s="4"/>
      <c r="M582" s="2" t="s">
        <v>1084</v>
      </c>
      <c r="N582" s="2" t="s">
        <v>10</v>
      </c>
      <c r="O582" s="2" t="s">
        <v>10</v>
      </c>
    </row>
    <row r="583" spans="1:15" hidden="1" x14ac:dyDescent="0.25">
      <c r="A583" s="2" t="s">
        <v>341</v>
      </c>
      <c r="B583" s="3">
        <v>45295</v>
      </c>
      <c r="C583" s="5">
        <v>45292</v>
      </c>
      <c r="D583" s="2" t="s">
        <v>28</v>
      </c>
      <c r="E583" s="2">
        <v>6900</v>
      </c>
      <c r="F583" s="2" t="s">
        <v>195</v>
      </c>
      <c r="G583" s="2" t="s">
        <v>1048</v>
      </c>
      <c r="H583" s="4">
        <v>-81.66</v>
      </c>
      <c r="I583" s="4">
        <v>-81.66</v>
      </c>
      <c r="J583" s="4">
        <v>-81.66</v>
      </c>
      <c r="K583" s="4">
        <v>81.66</v>
      </c>
      <c r="L583" s="4"/>
      <c r="M583" s="2" t="s">
        <v>1084</v>
      </c>
      <c r="N583" s="2" t="s">
        <v>10</v>
      </c>
      <c r="O583" s="2" t="s">
        <v>10</v>
      </c>
    </row>
    <row r="584" spans="1:15" x14ac:dyDescent="0.25">
      <c r="A584" s="2" t="s">
        <v>148</v>
      </c>
      <c r="B584" s="3">
        <v>45632</v>
      </c>
      <c r="C584" s="5">
        <v>45627</v>
      </c>
      <c r="D584" s="2" t="s">
        <v>18</v>
      </c>
      <c r="E584" s="2">
        <v>5100</v>
      </c>
      <c r="F584" s="2" t="s">
        <v>56</v>
      </c>
      <c r="G584" s="2" t="s">
        <v>1025</v>
      </c>
      <c r="H584" s="4">
        <v>-11115.22</v>
      </c>
      <c r="I584" s="4">
        <v>-11490.6</v>
      </c>
      <c r="J584" s="4">
        <v>-11115.22</v>
      </c>
      <c r="K584" s="4">
        <v>11115.22</v>
      </c>
      <c r="L584" s="4">
        <v>375.38</v>
      </c>
      <c r="M584" s="2" t="s">
        <v>1085</v>
      </c>
      <c r="N584" s="2" t="s">
        <v>123</v>
      </c>
      <c r="O584" s="2" t="s">
        <v>10</v>
      </c>
    </row>
    <row r="585" spans="1:15" hidden="1" x14ac:dyDescent="0.25">
      <c r="A585" s="2" t="s">
        <v>1011</v>
      </c>
      <c r="B585" s="3">
        <v>45360</v>
      </c>
      <c r="C585" s="5">
        <v>45352</v>
      </c>
      <c r="D585" s="2" t="s">
        <v>35</v>
      </c>
      <c r="E585" s="2">
        <v>4000</v>
      </c>
      <c r="F585" s="2" t="s">
        <v>34</v>
      </c>
      <c r="G585" s="2" t="s">
        <v>1027</v>
      </c>
      <c r="H585" s="4">
        <v>2260.33</v>
      </c>
      <c r="I585" s="4">
        <v>2260.33</v>
      </c>
      <c r="J585" s="4">
        <v>2260.33</v>
      </c>
      <c r="K585" s="4">
        <v>2260.33</v>
      </c>
      <c r="L585" s="4"/>
      <c r="M585" s="2" t="s">
        <v>1084</v>
      </c>
      <c r="N585" s="2" t="s">
        <v>10</v>
      </c>
      <c r="O585" s="2" t="s">
        <v>10</v>
      </c>
    </row>
    <row r="586" spans="1:15" hidden="1" x14ac:dyDescent="0.25">
      <c r="A586" s="2" t="s">
        <v>592</v>
      </c>
      <c r="B586" s="3">
        <v>45590</v>
      </c>
      <c r="C586" s="5">
        <v>45566</v>
      </c>
      <c r="D586" s="2" t="s">
        <v>24</v>
      </c>
      <c r="E586" s="2">
        <v>6300</v>
      </c>
      <c r="F586" s="2" t="s">
        <v>127</v>
      </c>
      <c r="G586" s="2" t="s">
        <v>1035</v>
      </c>
      <c r="H586" s="4">
        <v>-443.8</v>
      </c>
      <c r="I586" s="4">
        <v>-443.8</v>
      </c>
      <c r="J586" s="4">
        <v>-443.8</v>
      </c>
      <c r="K586" s="4">
        <v>443.8</v>
      </c>
      <c r="L586" s="4"/>
      <c r="M586" s="2" t="s">
        <v>1084</v>
      </c>
      <c r="N586" s="2" t="s">
        <v>10</v>
      </c>
      <c r="O586" s="2" t="s">
        <v>10</v>
      </c>
    </row>
    <row r="587" spans="1:15" hidden="1" x14ac:dyDescent="0.25">
      <c r="A587" s="2" t="s">
        <v>681</v>
      </c>
      <c r="B587" s="3">
        <v>45303</v>
      </c>
      <c r="C587" s="5">
        <v>45292</v>
      </c>
      <c r="D587" s="2" t="s">
        <v>31</v>
      </c>
      <c r="E587" s="2">
        <v>4900</v>
      </c>
      <c r="F587" s="2" t="s">
        <v>79</v>
      </c>
      <c r="G587" s="2" t="s">
        <v>1026</v>
      </c>
      <c r="H587" s="4">
        <v>369.07</v>
      </c>
      <c r="I587" s="4">
        <v>369.07</v>
      </c>
      <c r="J587" s="4">
        <v>369.07</v>
      </c>
      <c r="K587" s="4">
        <v>369.07</v>
      </c>
      <c r="L587" s="4"/>
      <c r="M587" s="2" t="s">
        <v>1084</v>
      </c>
      <c r="N587" s="2" t="s">
        <v>10</v>
      </c>
      <c r="O587" s="2" t="s">
        <v>10</v>
      </c>
    </row>
    <row r="588" spans="1:15" hidden="1" x14ac:dyDescent="0.25">
      <c r="A588" s="2" t="s">
        <v>917</v>
      </c>
      <c r="B588" s="3">
        <v>45348</v>
      </c>
      <c r="C588" s="5">
        <v>45323</v>
      </c>
      <c r="D588" s="2" t="s">
        <v>9</v>
      </c>
      <c r="E588" s="2">
        <v>6100</v>
      </c>
      <c r="F588" s="2" t="s">
        <v>48</v>
      </c>
      <c r="G588" s="2" t="s">
        <v>1043</v>
      </c>
      <c r="H588" s="4">
        <v>-3235.27</v>
      </c>
      <c r="I588" s="4">
        <v>-3235.27</v>
      </c>
      <c r="J588" s="4">
        <v>-3235.27</v>
      </c>
      <c r="K588" s="4">
        <v>3235.27</v>
      </c>
      <c r="L588" s="4"/>
      <c r="M588" s="2" t="s">
        <v>1084</v>
      </c>
      <c r="N588" s="2" t="s">
        <v>10</v>
      </c>
      <c r="O588" s="2" t="s">
        <v>10</v>
      </c>
    </row>
    <row r="589" spans="1:15" hidden="1" x14ac:dyDescent="0.25">
      <c r="A589" s="2" t="s">
        <v>192</v>
      </c>
      <c r="B589" s="3">
        <v>45332</v>
      </c>
      <c r="C589" s="5">
        <v>45323</v>
      </c>
      <c r="D589" s="2" t="s">
        <v>35</v>
      </c>
      <c r="E589" s="2">
        <v>4000</v>
      </c>
      <c r="F589" s="2" t="s">
        <v>34</v>
      </c>
      <c r="G589" s="2" t="s">
        <v>1027</v>
      </c>
      <c r="H589" s="4">
        <v>24073.9</v>
      </c>
      <c r="I589" s="4">
        <v>24073.9</v>
      </c>
      <c r="J589" s="4">
        <v>24073.9</v>
      </c>
      <c r="K589" s="4">
        <v>24073.9</v>
      </c>
      <c r="L589" s="4"/>
      <c r="M589" s="2" t="s">
        <v>1084</v>
      </c>
      <c r="N589" s="2" t="s">
        <v>10</v>
      </c>
      <c r="O589" s="2" t="s">
        <v>10</v>
      </c>
    </row>
    <row r="590" spans="1:15" hidden="1" x14ac:dyDescent="0.25">
      <c r="A590" s="2" t="s">
        <v>957</v>
      </c>
      <c r="B590" s="3">
        <v>45549</v>
      </c>
      <c r="C590" s="5">
        <v>45536</v>
      </c>
      <c r="D590" s="2" t="s">
        <v>28</v>
      </c>
      <c r="E590" s="2">
        <v>6900</v>
      </c>
      <c r="F590" s="2" t="s">
        <v>27</v>
      </c>
      <c r="G590" s="2" t="s">
        <v>1041</v>
      </c>
      <c r="H590" s="4">
        <v>-31.23</v>
      </c>
      <c r="I590" s="4">
        <v>-31.23</v>
      </c>
      <c r="J590" s="4">
        <v>-31.23</v>
      </c>
      <c r="K590" s="4">
        <v>31.23</v>
      </c>
      <c r="L590" s="4"/>
      <c r="M590" s="2" t="s">
        <v>1084</v>
      </c>
      <c r="N590" s="2" t="s">
        <v>10</v>
      </c>
      <c r="O590" s="2" t="s">
        <v>10</v>
      </c>
    </row>
    <row r="591" spans="1:15" hidden="1" x14ac:dyDescent="0.25">
      <c r="A591" s="2" t="s">
        <v>118</v>
      </c>
      <c r="B591" s="3">
        <v>45518</v>
      </c>
      <c r="C591" s="5">
        <v>45505</v>
      </c>
      <c r="D591" s="2" t="s">
        <v>28</v>
      </c>
      <c r="E591" s="2">
        <v>6900</v>
      </c>
      <c r="F591" s="2" t="s">
        <v>27</v>
      </c>
      <c r="G591" s="2" t="s">
        <v>1041</v>
      </c>
      <c r="H591" s="4">
        <v>-36.450000000000003</v>
      </c>
      <c r="I591" s="4">
        <v>-36.450000000000003</v>
      </c>
      <c r="J591" s="4">
        <v>-36.450000000000003</v>
      </c>
      <c r="K591" s="4">
        <v>36.450000000000003</v>
      </c>
      <c r="L591" s="4"/>
      <c r="M591" s="2" t="s">
        <v>1084</v>
      </c>
      <c r="N591" s="2" t="s">
        <v>10</v>
      </c>
      <c r="O591" s="2" t="s">
        <v>10</v>
      </c>
    </row>
    <row r="592" spans="1:15" hidden="1" x14ac:dyDescent="0.25">
      <c r="A592" s="2" t="s">
        <v>511</v>
      </c>
      <c r="B592" s="3">
        <v>45465</v>
      </c>
      <c r="C592" s="5">
        <v>45444</v>
      </c>
      <c r="D592" s="2" t="s">
        <v>28</v>
      </c>
      <c r="E592" s="2">
        <v>6900</v>
      </c>
      <c r="F592" s="2" t="s">
        <v>76</v>
      </c>
      <c r="G592" s="2" t="s">
        <v>1047</v>
      </c>
      <c r="H592" s="4">
        <v>-5.08</v>
      </c>
      <c r="I592" s="4">
        <v>-5.08</v>
      </c>
      <c r="J592" s="4">
        <v>-5.08</v>
      </c>
      <c r="K592" s="4">
        <v>5.08</v>
      </c>
      <c r="L592" s="4"/>
      <c r="M592" s="2" t="s">
        <v>1084</v>
      </c>
      <c r="N592" s="2" t="s">
        <v>10</v>
      </c>
      <c r="O592" s="2" t="s">
        <v>10</v>
      </c>
    </row>
    <row r="593" spans="1:15" hidden="1" x14ac:dyDescent="0.25">
      <c r="A593" s="2" t="s">
        <v>777</v>
      </c>
      <c r="B593" s="3">
        <v>45380</v>
      </c>
      <c r="C593" s="5">
        <v>45352</v>
      </c>
      <c r="D593" s="2" t="s">
        <v>31</v>
      </c>
      <c r="E593" s="2">
        <v>4900</v>
      </c>
      <c r="F593" s="2" t="s">
        <v>30</v>
      </c>
      <c r="G593" s="2" t="s">
        <v>1024</v>
      </c>
      <c r="H593" s="4">
        <v>175.62</v>
      </c>
      <c r="I593" s="4">
        <v>175.62</v>
      </c>
      <c r="J593" s="4">
        <v>175.62</v>
      </c>
      <c r="K593" s="4">
        <v>175.62</v>
      </c>
      <c r="L593" s="4"/>
      <c r="M593" s="2" t="s">
        <v>1084</v>
      </c>
      <c r="N593" s="2" t="s">
        <v>10</v>
      </c>
      <c r="O593" s="2" t="s">
        <v>10</v>
      </c>
    </row>
    <row r="594" spans="1:15" hidden="1" x14ac:dyDescent="0.25">
      <c r="A594" s="2" t="s">
        <v>443</v>
      </c>
      <c r="B594" s="3">
        <v>45324</v>
      </c>
      <c r="C594" s="5">
        <v>45323</v>
      </c>
      <c r="D594" s="2" t="s">
        <v>52</v>
      </c>
      <c r="E594" s="2">
        <v>6000</v>
      </c>
      <c r="F594" s="2" t="s">
        <v>51</v>
      </c>
      <c r="G594" s="2" t="s">
        <v>1033</v>
      </c>
      <c r="H594" s="4">
        <v>-9201.4</v>
      </c>
      <c r="I594" s="4">
        <v>-9201.4</v>
      </c>
      <c r="J594" s="4">
        <v>-9201.4</v>
      </c>
      <c r="K594" s="4">
        <v>9201.4</v>
      </c>
      <c r="L594" s="4"/>
      <c r="M594" s="2" t="s">
        <v>1084</v>
      </c>
      <c r="N594" s="2" t="s">
        <v>10</v>
      </c>
      <c r="O594" s="2" t="s">
        <v>10</v>
      </c>
    </row>
    <row r="595" spans="1:15" hidden="1" x14ac:dyDescent="0.25">
      <c r="A595" s="2" t="s">
        <v>380</v>
      </c>
      <c r="B595" s="3">
        <v>45499</v>
      </c>
      <c r="C595" s="5">
        <v>45474</v>
      </c>
      <c r="D595" s="2" t="s">
        <v>31</v>
      </c>
      <c r="E595" s="2">
        <v>4900</v>
      </c>
      <c r="F595" s="2" t="s">
        <v>146</v>
      </c>
      <c r="G595" s="2" t="s">
        <v>1031</v>
      </c>
      <c r="H595" s="4">
        <v>17.7</v>
      </c>
      <c r="I595" s="4">
        <v>17.7</v>
      </c>
      <c r="J595" s="4">
        <v>17.7</v>
      </c>
      <c r="K595" s="4">
        <v>17.7</v>
      </c>
      <c r="L595" s="4"/>
      <c r="M595" s="2" t="s">
        <v>1084</v>
      </c>
      <c r="N595" s="2" t="s">
        <v>10</v>
      </c>
      <c r="O595" s="2" t="s">
        <v>10</v>
      </c>
    </row>
    <row r="596" spans="1:15" hidden="1" x14ac:dyDescent="0.25">
      <c r="A596" s="2" t="s">
        <v>266</v>
      </c>
      <c r="B596" s="3">
        <v>45376</v>
      </c>
      <c r="C596" s="5">
        <v>45352</v>
      </c>
      <c r="D596" s="2" t="s">
        <v>59</v>
      </c>
      <c r="E596" s="2">
        <v>6200</v>
      </c>
      <c r="F596" s="2" t="s">
        <v>71</v>
      </c>
      <c r="G596" s="2" t="s">
        <v>1050</v>
      </c>
      <c r="H596" s="4">
        <v>-227.43</v>
      </c>
      <c r="I596" s="4">
        <v>-227.43</v>
      </c>
      <c r="J596" s="4">
        <v>-227.43</v>
      </c>
      <c r="K596" s="4">
        <v>227.43</v>
      </c>
      <c r="L596" s="4"/>
      <c r="M596" s="2" t="s">
        <v>1084</v>
      </c>
      <c r="N596" s="2" t="s">
        <v>10</v>
      </c>
      <c r="O596" s="2" t="s">
        <v>10</v>
      </c>
    </row>
    <row r="597" spans="1:15" hidden="1" x14ac:dyDescent="0.25">
      <c r="A597" s="2" t="s">
        <v>930</v>
      </c>
      <c r="B597" s="3">
        <v>45507</v>
      </c>
      <c r="C597" s="5">
        <v>45505</v>
      </c>
      <c r="D597" s="2" t="s">
        <v>28</v>
      </c>
      <c r="E597" s="2">
        <v>6900</v>
      </c>
      <c r="F597" s="2" t="s">
        <v>27</v>
      </c>
      <c r="G597" s="2" t="s">
        <v>1041</v>
      </c>
      <c r="H597" s="4">
        <v>-141.46</v>
      </c>
      <c r="I597" s="4">
        <v>-141.46</v>
      </c>
      <c r="J597" s="4">
        <v>-141.46</v>
      </c>
      <c r="K597" s="4">
        <v>141.46</v>
      </c>
      <c r="L597" s="4"/>
      <c r="M597" s="2" t="s">
        <v>1084</v>
      </c>
      <c r="N597" s="2" t="s">
        <v>10</v>
      </c>
      <c r="O597" s="2" t="s">
        <v>10</v>
      </c>
    </row>
    <row r="598" spans="1:15" hidden="1" x14ac:dyDescent="0.25">
      <c r="A598" s="2" t="s">
        <v>779</v>
      </c>
      <c r="B598" s="3">
        <v>45542</v>
      </c>
      <c r="C598" s="5">
        <v>45536</v>
      </c>
      <c r="D598" s="2" t="s">
        <v>13</v>
      </c>
      <c r="E598" s="2">
        <v>6400</v>
      </c>
      <c r="F598" s="2" t="s">
        <v>12</v>
      </c>
      <c r="G598" s="2" t="s">
        <v>1032</v>
      </c>
      <c r="H598" s="4">
        <v>-2223.11</v>
      </c>
      <c r="I598" s="4">
        <v>-2223.11</v>
      </c>
      <c r="J598" s="4">
        <v>-2223.11</v>
      </c>
      <c r="K598" s="4">
        <v>2223.11</v>
      </c>
      <c r="L598" s="4"/>
      <c r="M598" s="2" t="s">
        <v>1084</v>
      </c>
      <c r="N598" s="2" t="s">
        <v>10</v>
      </c>
      <c r="O598" s="2" t="s">
        <v>10</v>
      </c>
    </row>
    <row r="599" spans="1:15" hidden="1" x14ac:dyDescent="0.25">
      <c r="A599" s="2" t="s">
        <v>54</v>
      </c>
      <c r="B599" s="3">
        <v>45602</v>
      </c>
      <c r="C599" s="5">
        <v>45597</v>
      </c>
      <c r="D599" s="2" t="s">
        <v>39</v>
      </c>
      <c r="E599" s="2">
        <v>6500</v>
      </c>
      <c r="F599" s="2" t="s">
        <v>38</v>
      </c>
      <c r="G599" s="2" t="s">
        <v>1029</v>
      </c>
      <c r="H599" s="4">
        <v>-2710.97</v>
      </c>
      <c r="I599" s="4">
        <v>-2710.97</v>
      </c>
      <c r="J599" s="4">
        <v>-2710.97</v>
      </c>
      <c r="K599" s="4">
        <v>2710.97</v>
      </c>
      <c r="L599" s="4"/>
      <c r="M599" s="2" t="s">
        <v>1084</v>
      </c>
      <c r="N599" s="2" t="s">
        <v>10</v>
      </c>
      <c r="O599" s="2" t="s">
        <v>10</v>
      </c>
    </row>
    <row r="600" spans="1:15" hidden="1" x14ac:dyDescent="0.25">
      <c r="A600" s="2" t="s">
        <v>591</v>
      </c>
      <c r="B600" s="3">
        <v>45472</v>
      </c>
      <c r="C600" s="5">
        <v>45444</v>
      </c>
      <c r="D600" s="2" t="s">
        <v>9</v>
      </c>
      <c r="E600" s="2">
        <v>6100</v>
      </c>
      <c r="F600" s="2" t="s">
        <v>48</v>
      </c>
      <c r="G600" s="2" t="s">
        <v>1043</v>
      </c>
      <c r="H600" s="4">
        <v>-2943.74</v>
      </c>
      <c r="I600" s="4">
        <v>-2943.74</v>
      </c>
      <c r="J600" s="4">
        <v>-2943.74</v>
      </c>
      <c r="K600" s="4">
        <v>2943.74</v>
      </c>
      <c r="L600" s="4"/>
      <c r="M600" s="2" t="s">
        <v>1084</v>
      </c>
      <c r="N600" s="2" t="s">
        <v>10</v>
      </c>
      <c r="O600" s="2" t="s">
        <v>10</v>
      </c>
    </row>
    <row r="601" spans="1:15" hidden="1" x14ac:dyDescent="0.25">
      <c r="A601" s="2" t="s">
        <v>568</v>
      </c>
      <c r="B601" s="3">
        <v>45293</v>
      </c>
      <c r="C601" s="5">
        <v>45292</v>
      </c>
      <c r="D601" s="2" t="s">
        <v>9</v>
      </c>
      <c r="E601" s="2">
        <v>6100</v>
      </c>
      <c r="F601" s="2" t="s">
        <v>48</v>
      </c>
      <c r="G601" s="2" t="s">
        <v>1043</v>
      </c>
      <c r="H601" s="4">
        <v>-4750.1400000000003</v>
      </c>
      <c r="I601" s="4">
        <v>-4750.1400000000003</v>
      </c>
      <c r="J601" s="4">
        <v>-4750.1400000000003</v>
      </c>
      <c r="K601" s="4">
        <v>4750.1400000000003</v>
      </c>
      <c r="L601" s="4"/>
      <c r="M601" s="2" t="s">
        <v>1084</v>
      </c>
      <c r="N601" s="2" t="s">
        <v>10</v>
      </c>
      <c r="O601" s="2" t="s">
        <v>10</v>
      </c>
    </row>
    <row r="602" spans="1:15" hidden="1" x14ac:dyDescent="0.25">
      <c r="A602" s="2" t="s">
        <v>624</v>
      </c>
      <c r="B602" s="3">
        <v>45394</v>
      </c>
      <c r="C602" s="5">
        <v>45383</v>
      </c>
      <c r="D602" s="2" t="s">
        <v>9</v>
      </c>
      <c r="E602" s="2">
        <v>6100</v>
      </c>
      <c r="F602" s="2" t="s">
        <v>44</v>
      </c>
      <c r="G602" s="2" t="s">
        <v>1054</v>
      </c>
      <c r="H602" s="4">
        <v>-5510.12</v>
      </c>
      <c r="I602" s="4">
        <v>-5510.12</v>
      </c>
      <c r="J602" s="4">
        <v>-5510.12</v>
      </c>
      <c r="K602" s="4">
        <v>5510.12</v>
      </c>
      <c r="L602" s="4"/>
      <c r="M602" s="2" t="s">
        <v>1084</v>
      </c>
      <c r="N602" s="2" t="s">
        <v>10</v>
      </c>
      <c r="O602" s="2" t="s">
        <v>10</v>
      </c>
    </row>
    <row r="603" spans="1:15" hidden="1" x14ac:dyDescent="0.25">
      <c r="A603" s="2" t="s">
        <v>679</v>
      </c>
      <c r="B603" s="3">
        <v>45603</v>
      </c>
      <c r="C603" s="5">
        <v>45597</v>
      </c>
      <c r="D603" s="2" t="s">
        <v>39</v>
      </c>
      <c r="E603" s="2">
        <v>6500</v>
      </c>
      <c r="F603" s="2" t="s">
        <v>38</v>
      </c>
      <c r="G603" s="2" t="s">
        <v>1029</v>
      </c>
      <c r="H603" s="4">
        <v>-4076.65</v>
      </c>
      <c r="I603" s="4">
        <v>-4076.65</v>
      </c>
      <c r="J603" s="4">
        <v>-4076.65</v>
      </c>
      <c r="K603" s="4">
        <v>4076.65</v>
      </c>
      <c r="L603" s="4"/>
      <c r="M603" s="2" t="s">
        <v>1084</v>
      </c>
      <c r="N603" s="2" t="s">
        <v>10</v>
      </c>
      <c r="O603" s="2" t="s">
        <v>10</v>
      </c>
    </row>
    <row r="604" spans="1:15" hidden="1" x14ac:dyDescent="0.25">
      <c r="A604" s="2" t="s">
        <v>139</v>
      </c>
      <c r="B604" s="3">
        <v>45486</v>
      </c>
      <c r="C604" s="5">
        <v>45474</v>
      </c>
      <c r="D604" s="2" t="s">
        <v>39</v>
      </c>
      <c r="E604" s="2">
        <v>6500</v>
      </c>
      <c r="F604" s="2" t="s">
        <v>38</v>
      </c>
      <c r="G604" s="2" t="s">
        <v>1029</v>
      </c>
      <c r="H604" s="4">
        <v>-6820.38</v>
      </c>
      <c r="I604" s="4">
        <v>-6820.38</v>
      </c>
      <c r="J604" s="4">
        <v>-6820.38</v>
      </c>
      <c r="K604" s="4">
        <v>6820.38</v>
      </c>
      <c r="L604" s="4"/>
      <c r="M604" s="2" t="s">
        <v>1084</v>
      </c>
      <c r="N604" s="2" t="s">
        <v>10</v>
      </c>
      <c r="O604" s="2" t="s">
        <v>10</v>
      </c>
    </row>
    <row r="605" spans="1:15" hidden="1" x14ac:dyDescent="0.25">
      <c r="A605" s="2" t="s">
        <v>687</v>
      </c>
      <c r="B605" s="3">
        <v>45517</v>
      </c>
      <c r="C605" s="5">
        <v>45505</v>
      </c>
      <c r="D605" s="2" t="s">
        <v>18</v>
      </c>
      <c r="E605" s="2">
        <v>5100</v>
      </c>
      <c r="F605" s="2" t="s">
        <v>81</v>
      </c>
      <c r="G605" s="2" t="s">
        <v>1039</v>
      </c>
      <c r="H605" s="4">
        <v>-14982.66</v>
      </c>
      <c r="I605" s="4">
        <v>-14982.66</v>
      </c>
      <c r="J605" s="4">
        <v>-14982.66</v>
      </c>
      <c r="K605" s="4">
        <v>14982.66</v>
      </c>
      <c r="L605" s="4"/>
      <c r="M605" s="2" t="s">
        <v>1084</v>
      </c>
      <c r="N605" s="2" t="s">
        <v>10</v>
      </c>
      <c r="O605" s="2" t="s">
        <v>10</v>
      </c>
    </row>
    <row r="606" spans="1:15" hidden="1" x14ac:dyDescent="0.25">
      <c r="A606" s="2" t="s">
        <v>472</v>
      </c>
      <c r="B606" s="3">
        <v>45459</v>
      </c>
      <c r="C606" s="5">
        <v>45444</v>
      </c>
      <c r="D606" s="2" t="s">
        <v>28</v>
      </c>
      <c r="E606" s="2">
        <v>6900</v>
      </c>
      <c r="F606" s="2" t="s">
        <v>195</v>
      </c>
      <c r="G606" s="2" t="s">
        <v>1048</v>
      </c>
      <c r="H606" s="4">
        <v>-46.6</v>
      </c>
      <c r="I606" s="4">
        <v>-46.6</v>
      </c>
      <c r="J606" s="4">
        <v>-46.6</v>
      </c>
      <c r="K606" s="4">
        <v>46.6</v>
      </c>
      <c r="L606" s="4"/>
      <c r="M606" s="2" t="s">
        <v>1084</v>
      </c>
      <c r="N606" s="2" t="s">
        <v>10</v>
      </c>
      <c r="O606" s="2" t="s">
        <v>10</v>
      </c>
    </row>
    <row r="607" spans="1:15" hidden="1" x14ac:dyDescent="0.25">
      <c r="A607" s="2" t="s">
        <v>302</v>
      </c>
      <c r="B607" s="3">
        <v>45351</v>
      </c>
      <c r="C607" s="5">
        <v>45323</v>
      </c>
      <c r="D607" s="2" t="s">
        <v>13</v>
      </c>
      <c r="E607" s="2">
        <v>6400</v>
      </c>
      <c r="F607" s="2" t="s">
        <v>15</v>
      </c>
      <c r="G607" s="2" t="s">
        <v>1044</v>
      </c>
      <c r="H607" s="4">
        <v>-936.48</v>
      </c>
      <c r="I607" s="4">
        <v>-936.48</v>
      </c>
      <c r="J607" s="4">
        <v>-936.48</v>
      </c>
      <c r="K607" s="4">
        <v>936.48</v>
      </c>
      <c r="L607" s="4"/>
      <c r="M607" s="2" t="s">
        <v>1084</v>
      </c>
      <c r="N607" s="2" t="s">
        <v>10</v>
      </c>
      <c r="O607" s="2" t="s">
        <v>10</v>
      </c>
    </row>
    <row r="608" spans="1:15" hidden="1" x14ac:dyDescent="0.25">
      <c r="A608" s="2" t="s">
        <v>871</v>
      </c>
      <c r="B608" s="3">
        <v>45619</v>
      </c>
      <c r="C608" s="5">
        <v>45597</v>
      </c>
      <c r="D608" s="2" t="s">
        <v>59</v>
      </c>
      <c r="E608" s="2">
        <v>6200</v>
      </c>
      <c r="F608" s="2" t="s">
        <v>67</v>
      </c>
      <c r="G608" s="2" t="s">
        <v>1028</v>
      </c>
      <c r="H608" s="4">
        <v>-719.81</v>
      </c>
      <c r="I608" s="4">
        <v>-719.81</v>
      </c>
      <c r="J608" s="4">
        <v>-719.81</v>
      </c>
      <c r="K608" s="4">
        <v>719.81</v>
      </c>
      <c r="L608" s="4"/>
      <c r="M608" s="2" t="s">
        <v>1084</v>
      </c>
      <c r="N608" s="2" t="s">
        <v>10</v>
      </c>
      <c r="O608" s="2" t="s">
        <v>10</v>
      </c>
    </row>
    <row r="609" spans="1:15" hidden="1" x14ac:dyDescent="0.25">
      <c r="A609" s="2" t="s">
        <v>336</v>
      </c>
      <c r="B609" s="3">
        <v>45574</v>
      </c>
      <c r="C609" s="5">
        <v>45566</v>
      </c>
      <c r="D609" s="2" t="s">
        <v>13</v>
      </c>
      <c r="E609" s="2">
        <v>6400</v>
      </c>
      <c r="F609" s="2" t="s">
        <v>15</v>
      </c>
      <c r="G609" s="2" t="s">
        <v>1044</v>
      </c>
      <c r="H609" s="4">
        <v>-3477.85</v>
      </c>
      <c r="I609" s="4">
        <v>-3477.85</v>
      </c>
      <c r="J609" s="4">
        <v>-3477.85</v>
      </c>
      <c r="K609" s="4">
        <v>3477.85</v>
      </c>
      <c r="L609" s="4"/>
      <c r="M609" s="2" t="s">
        <v>1084</v>
      </c>
      <c r="N609" s="2" t="s">
        <v>10</v>
      </c>
      <c r="O609" s="2" t="s">
        <v>10</v>
      </c>
    </row>
    <row r="610" spans="1:15" hidden="1" x14ac:dyDescent="0.25">
      <c r="A610" s="2" t="s">
        <v>350</v>
      </c>
      <c r="B610" s="3">
        <v>45655</v>
      </c>
      <c r="C610" s="5">
        <v>45627</v>
      </c>
      <c r="D610" s="2" t="s">
        <v>31</v>
      </c>
      <c r="E610" s="2">
        <v>4900</v>
      </c>
      <c r="F610" s="2" t="s">
        <v>30</v>
      </c>
      <c r="G610" s="2" t="s">
        <v>1024</v>
      </c>
      <c r="H610" s="4">
        <v>213.08</v>
      </c>
      <c r="I610" s="4">
        <v>213.08</v>
      </c>
      <c r="J610" s="4">
        <v>213.08</v>
      </c>
      <c r="K610" s="4">
        <v>213.08</v>
      </c>
      <c r="L610" s="4"/>
      <c r="M610" s="2" t="s">
        <v>1084</v>
      </c>
      <c r="N610" s="2" t="s">
        <v>10</v>
      </c>
      <c r="O610" s="2" t="s">
        <v>10</v>
      </c>
    </row>
    <row r="611" spans="1:15" hidden="1" x14ac:dyDescent="0.25">
      <c r="A611" s="2" t="s">
        <v>845</v>
      </c>
      <c r="B611" s="3">
        <v>45604</v>
      </c>
      <c r="C611" s="5">
        <v>45597</v>
      </c>
      <c r="D611" s="2" t="s">
        <v>28</v>
      </c>
      <c r="E611" s="2">
        <v>6900</v>
      </c>
      <c r="F611" s="2" t="s">
        <v>195</v>
      </c>
      <c r="G611" s="2" t="s">
        <v>1048</v>
      </c>
      <c r="H611" s="4">
        <v>-97.66</v>
      </c>
      <c r="I611" s="4">
        <v>-97.66</v>
      </c>
      <c r="J611" s="4">
        <v>-97.66</v>
      </c>
      <c r="K611" s="4">
        <v>97.66</v>
      </c>
      <c r="L611" s="4"/>
      <c r="M611" s="2" t="s">
        <v>1084</v>
      </c>
      <c r="N611" s="2" t="s">
        <v>10</v>
      </c>
      <c r="O611" s="2" t="s">
        <v>10</v>
      </c>
    </row>
    <row r="612" spans="1:15" hidden="1" x14ac:dyDescent="0.25">
      <c r="A612" s="2" t="s">
        <v>669</v>
      </c>
      <c r="B612" s="3">
        <v>45398</v>
      </c>
      <c r="C612" s="5">
        <v>45383</v>
      </c>
      <c r="D612" s="2" t="s">
        <v>28</v>
      </c>
      <c r="E612" s="2">
        <v>6900</v>
      </c>
      <c r="F612" s="2" t="s">
        <v>195</v>
      </c>
      <c r="G612" s="2" t="s">
        <v>1048</v>
      </c>
      <c r="H612" s="4">
        <v>-140.28</v>
      </c>
      <c r="I612" s="4">
        <v>-140.28</v>
      </c>
      <c r="J612" s="4">
        <v>-140.28</v>
      </c>
      <c r="K612" s="4">
        <v>140.28</v>
      </c>
      <c r="L612" s="4"/>
      <c r="M612" s="2" t="s">
        <v>1084</v>
      </c>
      <c r="N612" s="2" t="s">
        <v>10</v>
      </c>
      <c r="O612" s="2" t="s">
        <v>10</v>
      </c>
    </row>
    <row r="613" spans="1:15" hidden="1" x14ac:dyDescent="0.25">
      <c r="A613" s="2" t="s">
        <v>782</v>
      </c>
      <c r="B613" s="3">
        <v>45384</v>
      </c>
      <c r="C613" s="5">
        <v>45383</v>
      </c>
      <c r="D613" s="2" t="s">
        <v>24</v>
      </c>
      <c r="E613" s="2">
        <v>6300</v>
      </c>
      <c r="F613" s="2" t="s">
        <v>94</v>
      </c>
      <c r="G613" s="2" t="s">
        <v>1053</v>
      </c>
      <c r="H613" s="4">
        <v>-199.4</v>
      </c>
      <c r="I613" s="4">
        <v>-199.4</v>
      </c>
      <c r="J613" s="4">
        <v>-199.4</v>
      </c>
      <c r="K613" s="4">
        <v>199.4</v>
      </c>
      <c r="L613" s="4"/>
      <c r="M613" s="2" t="s">
        <v>1084</v>
      </c>
      <c r="N613" s="2" t="s">
        <v>10</v>
      </c>
      <c r="O613" s="2" t="s">
        <v>10</v>
      </c>
    </row>
    <row r="614" spans="1:15" hidden="1" x14ac:dyDescent="0.25">
      <c r="A614" s="2" t="s">
        <v>475</v>
      </c>
      <c r="B614" s="3">
        <v>45382</v>
      </c>
      <c r="C614" s="5">
        <v>45352</v>
      </c>
      <c r="D614" s="2" t="s">
        <v>39</v>
      </c>
      <c r="E614" s="2">
        <v>6500</v>
      </c>
      <c r="F614" s="2" t="s">
        <v>42</v>
      </c>
      <c r="G614" s="2" t="s">
        <v>1036</v>
      </c>
      <c r="H614" s="4">
        <v>-6687.77</v>
      </c>
      <c r="I614" s="4">
        <v>-6687.77</v>
      </c>
      <c r="J614" s="4">
        <v>-6687.77</v>
      </c>
      <c r="K614" s="4">
        <v>6687.77</v>
      </c>
      <c r="L614" s="4"/>
      <c r="M614" s="2" t="s">
        <v>1084</v>
      </c>
      <c r="N614" s="2" t="s">
        <v>10</v>
      </c>
      <c r="O614" s="2" t="s">
        <v>10</v>
      </c>
    </row>
    <row r="615" spans="1:15" hidden="1" x14ac:dyDescent="0.25">
      <c r="A615" s="2" t="s">
        <v>57</v>
      </c>
      <c r="B615" s="3">
        <v>45627</v>
      </c>
      <c r="C615" s="5">
        <v>45627</v>
      </c>
      <c r="D615" s="2" t="s">
        <v>59</v>
      </c>
      <c r="E615" s="2">
        <v>6200</v>
      </c>
      <c r="F615" s="2" t="s">
        <v>58</v>
      </c>
      <c r="G615" s="2" t="s">
        <v>1038</v>
      </c>
      <c r="H615" s="4">
        <v>-398.68</v>
      </c>
      <c r="I615" s="4">
        <v>-398.68</v>
      </c>
      <c r="J615" s="4">
        <v>-398.68</v>
      </c>
      <c r="K615" s="4">
        <v>398.68</v>
      </c>
      <c r="L615" s="4"/>
      <c r="M615" s="2" t="s">
        <v>1084</v>
      </c>
      <c r="N615" s="2" t="s">
        <v>10</v>
      </c>
      <c r="O615" s="2" t="s">
        <v>10</v>
      </c>
    </row>
    <row r="616" spans="1:15" hidden="1" x14ac:dyDescent="0.25">
      <c r="A616" s="2" t="s">
        <v>639</v>
      </c>
      <c r="B616" s="3">
        <v>45495</v>
      </c>
      <c r="C616" s="5">
        <v>45474</v>
      </c>
      <c r="D616" s="2" t="s">
        <v>9</v>
      </c>
      <c r="E616" s="2">
        <v>6100</v>
      </c>
      <c r="F616" s="2" t="s">
        <v>8</v>
      </c>
      <c r="G616" s="2" t="s">
        <v>1042</v>
      </c>
      <c r="H616" s="4">
        <v>-5925.23</v>
      </c>
      <c r="I616" s="4">
        <v>-5925.23</v>
      </c>
      <c r="J616" s="4">
        <v>-5925.23</v>
      </c>
      <c r="K616" s="4">
        <v>5925.23</v>
      </c>
      <c r="L616" s="4"/>
      <c r="M616" s="2" t="s">
        <v>1084</v>
      </c>
      <c r="N616" s="2" t="s">
        <v>10</v>
      </c>
      <c r="O616" s="2" t="s">
        <v>10</v>
      </c>
    </row>
    <row r="617" spans="1:15" x14ac:dyDescent="0.25">
      <c r="A617" s="2" t="s">
        <v>863</v>
      </c>
      <c r="B617" s="3">
        <v>45457</v>
      </c>
      <c r="C617" s="5">
        <v>45444</v>
      </c>
      <c r="D617" s="2" t="s">
        <v>9</v>
      </c>
      <c r="E617" s="2">
        <v>6100</v>
      </c>
      <c r="F617" s="2" t="s">
        <v>48</v>
      </c>
      <c r="G617" s="2" t="s">
        <v>1043</v>
      </c>
      <c r="H617" s="4">
        <v>-5922.24</v>
      </c>
      <c r="I617" s="4">
        <v>-5971.2</v>
      </c>
      <c r="J617" s="4">
        <v>-5922.24</v>
      </c>
      <c r="K617" s="4">
        <v>5922.24</v>
      </c>
      <c r="L617" s="4">
        <v>48.96</v>
      </c>
      <c r="M617" s="2" t="s">
        <v>1085</v>
      </c>
      <c r="N617" s="2" t="s">
        <v>123</v>
      </c>
      <c r="O617" s="2" t="s">
        <v>10</v>
      </c>
    </row>
    <row r="618" spans="1:15" hidden="1" x14ac:dyDescent="0.25">
      <c r="A618" s="2" t="s">
        <v>940</v>
      </c>
      <c r="B618" s="3">
        <v>45645</v>
      </c>
      <c r="C618" s="5">
        <v>45627</v>
      </c>
      <c r="D618" s="2" t="s">
        <v>52</v>
      </c>
      <c r="E618" s="2">
        <v>6000</v>
      </c>
      <c r="F618" s="2" t="s">
        <v>97</v>
      </c>
      <c r="G618" s="2" t="s">
        <v>1046</v>
      </c>
      <c r="H618" s="4">
        <v>-9883.7099999999991</v>
      </c>
      <c r="I618" s="4">
        <v>-9883.7099999999991</v>
      </c>
      <c r="J618" s="4">
        <v>-9883.7099999999991</v>
      </c>
      <c r="K618" s="4">
        <v>9883.7099999999991</v>
      </c>
      <c r="L618" s="4"/>
      <c r="M618" s="2" t="s">
        <v>1084</v>
      </c>
      <c r="N618" s="2" t="s">
        <v>10</v>
      </c>
      <c r="O618" s="2" t="s">
        <v>10</v>
      </c>
    </row>
    <row r="619" spans="1:15" hidden="1" x14ac:dyDescent="0.25">
      <c r="A619" s="2" t="s">
        <v>726</v>
      </c>
      <c r="B619" s="3">
        <v>45512</v>
      </c>
      <c r="C619" s="5">
        <v>45505</v>
      </c>
      <c r="D619" s="2" t="s">
        <v>52</v>
      </c>
      <c r="E619" s="2">
        <v>6000</v>
      </c>
      <c r="F619" s="2" t="s">
        <v>97</v>
      </c>
      <c r="G619" s="2" t="s">
        <v>1046</v>
      </c>
      <c r="H619" s="4">
        <v>-4325.87</v>
      </c>
      <c r="I619" s="4">
        <v>-4325.87</v>
      </c>
      <c r="J619" s="4">
        <v>-4325.87</v>
      </c>
      <c r="K619" s="4">
        <v>4325.87</v>
      </c>
      <c r="L619" s="4"/>
      <c r="M619" s="2" t="s">
        <v>1084</v>
      </c>
      <c r="N619" s="2" t="s">
        <v>10</v>
      </c>
      <c r="O619" s="2" t="s">
        <v>10</v>
      </c>
    </row>
    <row r="620" spans="1:15" hidden="1" x14ac:dyDescent="0.25">
      <c r="A620" s="2" t="s">
        <v>107</v>
      </c>
      <c r="B620" s="3">
        <v>45623</v>
      </c>
      <c r="C620" s="5">
        <v>45597</v>
      </c>
      <c r="D620" s="2" t="s">
        <v>35</v>
      </c>
      <c r="E620" s="2">
        <v>4000</v>
      </c>
      <c r="F620" s="2" t="s">
        <v>103</v>
      </c>
      <c r="G620" s="2" t="s">
        <v>1049</v>
      </c>
      <c r="H620" s="4">
        <v>13908.43</v>
      </c>
      <c r="I620" s="4">
        <v>13908.43</v>
      </c>
      <c r="J620" s="4">
        <v>13908.43</v>
      </c>
      <c r="K620" s="4">
        <v>13908.43</v>
      </c>
      <c r="L620" s="4"/>
      <c r="M620" s="2" t="s">
        <v>1084</v>
      </c>
      <c r="N620" s="2" t="s">
        <v>10</v>
      </c>
      <c r="O620" s="2" t="s">
        <v>10</v>
      </c>
    </row>
    <row r="621" spans="1:15" hidden="1" x14ac:dyDescent="0.25">
      <c r="A621" s="2" t="s">
        <v>549</v>
      </c>
      <c r="B621" s="3">
        <v>45651</v>
      </c>
      <c r="C621" s="5">
        <v>45627</v>
      </c>
      <c r="D621" s="2" t="s">
        <v>18</v>
      </c>
      <c r="E621" s="2">
        <v>5100</v>
      </c>
      <c r="F621" s="2" t="s">
        <v>17</v>
      </c>
      <c r="G621" s="2" t="s">
        <v>1037</v>
      </c>
      <c r="H621" s="4">
        <v>-8499.51</v>
      </c>
      <c r="I621" s="4">
        <v>-8499.51</v>
      </c>
      <c r="J621" s="4">
        <v>-8499.51</v>
      </c>
      <c r="K621" s="4">
        <v>8499.51</v>
      </c>
      <c r="L621" s="4"/>
      <c r="M621" s="2" t="s">
        <v>1084</v>
      </c>
      <c r="N621" s="2" t="s">
        <v>10</v>
      </c>
      <c r="O621" s="2" t="s">
        <v>10</v>
      </c>
    </row>
    <row r="622" spans="1:15" hidden="1" x14ac:dyDescent="0.25">
      <c r="A622" s="2" t="s">
        <v>775</v>
      </c>
      <c r="B622" s="3">
        <v>45320</v>
      </c>
      <c r="C622" s="5">
        <v>45292</v>
      </c>
      <c r="D622" s="2" t="s">
        <v>24</v>
      </c>
      <c r="E622" s="2">
        <v>6300</v>
      </c>
      <c r="F622" s="2" t="s">
        <v>23</v>
      </c>
      <c r="G622" s="2" t="s">
        <v>1045</v>
      </c>
      <c r="H622" s="4">
        <v>-580.27</v>
      </c>
      <c r="I622" s="4">
        <v>-580.27</v>
      </c>
      <c r="J622" s="4">
        <v>-580.27</v>
      </c>
      <c r="K622" s="4">
        <v>580.27</v>
      </c>
      <c r="L622" s="4"/>
      <c r="M622" s="2" t="s">
        <v>1084</v>
      </c>
      <c r="N622" s="2" t="s">
        <v>10</v>
      </c>
      <c r="O622" s="2" t="s">
        <v>10</v>
      </c>
    </row>
    <row r="623" spans="1:15" hidden="1" x14ac:dyDescent="0.25">
      <c r="A623" s="2" t="s">
        <v>953</v>
      </c>
      <c r="B623" s="3">
        <v>45423</v>
      </c>
      <c r="C623" s="5">
        <v>45413</v>
      </c>
      <c r="D623" s="2" t="s">
        <v>24</v>
      </c>
      <c r="E623" s="2">
        <v>6300</v>
      </c>
      <c r="F623" s="2" t="s">
        <v>127</v>
      </c>
      <c r="G623" s="2" t="s">
        <v>1035</v>
      </c>
      <c r="H623" s="4">
        <v>-379.32</v>
      </c>
      <c r="I623" s="4">
        <v>-379.32</v>
      </c>
      <c r="J623" s="4">
        <v>-379.32</v>
      </c>
      <c r="K623" s="4">
        <v>379.32</v>
      </c>
      <c r="L623" s="4"/>
      <c r="M623" s="2" t="s">
        <v>1084</v>
      </c>
      <c r="N623" s="2" t="s">
        <v>10</v>
      </c>
      <c r="O623" s="2" t="s">
        <v>10</v>
      </c>
    </row>
    <row r="624" spans="1:15" hidden="1" x14ac:dyDescent="0.25">
      <c r="A624" s="2" t="s">
        <v>156</v>
      </c>
      <c r="B624" s="3">
        <v>45559</v>
      </c>
      <c r="C624" s="5">
        <v>45536</v>
      </c>
      <c r="D624" s="2" t="s">
        <v>18</v>
      </c>
      <c r="E624" s="2">
        <v>5100</v>
      </c>
      <c r="F624" s="2" t="s">
        <v>81</v>
      </c>
      <c r="G624" s="2" t="s">
        <v>1039</v>
      </c>
      <c r="H624" s="4">
        <v>-5136.54</v>
      </c>
      <c r="I624" s="4">
        <v>-5136.54</v>
      </c>
      <c r="J624" s="4">
        <v>-5136.54</v>
      </c>
      <c r="K624" s="4">
        <v>5136.54</v>
      </c>
      <c r="L624" s="4"/>
      <c r="M624" s="2" t="s">
        <v>1084</v>
      </c>
      <c r="N624" s="2" t="s">
        <v>10</v>
      </c>
      <c r="O624" s="2" t="s">
        <v>10</v>
      </c>
    </row>
    <row r="625" spans="1:15" hidden="1" x14ac:dyDescent="0.25">
      <c r="A625" s="2" t="s">
        <v>479</v>
      </c>
      <c r="B625" s="3">
        <v>45588</v>
      </c>
      <c r="C625" s="5">
        <v>45566</v>
      </c>
      <c r="D625" s="2" t="s">
        <v>24</v>
      </c>
      <c r="E625" s="2">
        <v>6300</v>
      </c>
      <c r="F625" s="2" t="s">
        <v>94</v>
      </c>
      <c r="G625" s="2" t="s">
        <v>1053</v>
      </c>
      <c r="H625" s="4">
        <v>-311</v>
      </c>
      <c r="I625" s="4">
        <v>-311</v>
      </c>
      <c r="J625" s="4">
        <v>-311</v>
      </c>
      <c r="K625" s="4">
        <v>311</v>
      </c>
      <c r="L625" s="4"/>
      <c r="M625" s="2" t="s">
        <v>1084</v>
      </c>
      <c r="N625" s="2" t="s">
        <v>10</v>
      </c>
      <c r="O625" s="2" t="s">
        <v>10</v>
      </c>
    </row>
    <row r="626" spans="1:15" hidden="1" x14ac:dyDescent="0.25">
      <c r="A626" s="2" t="s">
        <v>720</v>
      </c>
      <c r="B626" s="3">
        <v>45346</v>
      </c>
      <c r="C626" s="5">
        <v>45323</v>
      </c>
      <c r="D626" s="2" t="s">
        <v>9</v>
      </c>
      <c r="E626" s="2">
        <v>6100</v>
      </c>
      <c r="F626" s="2" t="s">
        <v>48</v>
      </c>
      <c r="G626" s="2" t="s">
        <v>1043</v>
      </c>
      <c r="H626" s="4">
        <v>-1781.3</v>
      </c>
      <c r="I626" s="4">
        <v>-1781.3</v>
      </c>
      <c r="J626" s="4">
        <v>-1781.3</v>
      </c>
      <c r="K626" s="4">
        <v>1781.3</v>
      </c>
      <c r="L626" s="4"/>
      <c r="M626" s="2" t="s">
        <v>1084</v>
      </c>
      <c r="N626" s="2" t="s">
        <v>10</v>
      </c>
      <c r="O626" s="2" t="s">
        <v>10</v>
      </c>
    </row>
    <row r="627" spans="1:15" hidden="1" x14ac:dyDescent="0.25">
      <c r="A627" s="2" t="s">
        <v>594</v>
      </c>
      <c r="B627" s="3">
        <v>45408</v>
      </c>
      <c r="C627" s="5">
        <v>45383</v>
      </c>
      <c r="D627" s="2" t="s">
        <v>52</v>
      </c>
      <c r="E627" s="2">
        <v>6000</v>
      </c>
      <c r="F627" s="2" t="s">
        <v>63</v>
      </c>
      <c r="G627" s="2" t="s">
        <v>1051</v>
      </c>
      <c r="H627" s="4">
        <v>-10430.469999999999</v>
      </c>
      <c r="I627" s="4">
        <v>-10430.469999999999</v>
      </c>
      <c r="J627" s="4">
        <v>-10430.469999999999</v>
      </c>
      <c r="K627" s="4">
        <v>10430.469999999999</v>
      </c>
      <c r="L627" s="4"/>
      <c r="M627" s="2" t="s">
        <v>1084</v>
      </c>
      <c r="N627" s="2" t="s">
        <v>10</v>
      </c>
      <c r="O627" s="2" t="s">
        <v>10</v>
      </c>
    </row>
    <row r="628" spans="1:15" hidden="1" x14ac:dyDescent="0.25">
      <c r="A628" s="2" t="s">
        <v>846</v>
      </c>
      <c r="B628" s="3">
        <v>45492</v>
      </c>
      <c r="C628" s="5">
        <v>45474</v>
      </c>
      <c r="D628" s="2" t="s">
        <v>59</v>
      </c>
      <c r="E628" s="2">
        <v>6200</v>
      </c>
      <c r="F628" s="2" t="s">
        <v>67</v>
      </c>
      <c r="G628" s="2" t="s">
        <v>1028</v>
      </c>
      <c r="H628" s="4">
        <v>-312.05</v>
      </c>
      <c r="I628" s="4">
        <v>-312.05</v>
      </c>
      <c r="J628" s="4">
        <v>-312.05</v>
      </c>
      <c r="K628" s="4">
        <v>312.05</v>
      </c>
      <c r="L628" s="4"/>
      <c r="M628" s="2" t="s">
        <v>1084</v>
      </c>
      <c r="N628" s="2" t="s">
        <v>10</v>
      </c>
      <c r="O628" s="2" t="s">
        <v>10</v>
      </c>
    </row>
    <row r="629" spans="1:15" hidden="1" x14ac:dyDescent="0.25">
      <c r="A629" s="2" t="s">
        <v>972</v>
      </c>
      <c r="B629" s="3">
        <v>45583</v>
      </c>
      <c r="C629" s="5">
        <v>45566</v>
      </c>
      <c r="D629" s="2" t="s">
        <v>59</v>
      </c>
      <c r="E629" s="2">
        <v>6200</v>
      </c>
      <c r="F629" s="2" t="s">
        <v>58</v>
      </c>
      <c r="G629" s="2" t="s">
        <v>1038</v>
      </c>
      <c r="H629" s="4">
        <v>-923.24</v>
      </c>
      <c r="I629" s="4">
        <v>-923.24</v>
      </c>
      <c r="J629" s="4">
        <v>-923.24</v>
      </c>
      <c r="K629" s="4">
        <v>923.24</v>
      </c>
      <c r="L629" s="4"/>
      <c r="M629" s="2" t="s">
        <v>1084</v>
      </c>
      <c r="N629" s="2" t="s">
        <v>10</v>
      </c>
      <c r="O629" s="2" t="s">
        <v>10</v>
      </c>
    </row>
    <row r="630" spans="1:15" hidden="1" x14ac:dyDescent="0.25">
      <c r="A630" s="2" t="s">
        <v>829</v>
      </c>
      <c r="B630" s="3">
        <v>45333</v>
      </c>
      <c r="C630" s="5">
        <v>45323</v>
      </c>
      <c r="D630" s="2" t="s">
        <v>13</v>
      </c>
      <c r="E630" s="2">
        <v>6400</v>
      </c>
      <c r="F630" s="2" t="s">
        <v>12</v>
      </c>
      <c r="G630" s="2" t="s">
        <v>1032</v>
      </c>
      <c r="H630" s="4">
        <v>-152.35</v>
      </c>
      <c r="I630" s="4">
        <v>-152.35</v>
      </c>
      <c r="J630" s="4">
        <v>-152.35</v>
      </c>
      <c r="K630" s="4">
        <v>152.35</v>
      </c>
      <c r="L630" s="4"/>
      <c r="M630" s="2" t="s">
        <v>1084</v>
      </c>
      <c r="N630" s="2" t="s">
        <v>10</v>
      </c>
      <c r="O630" s="2" t="s">
        <v>10</v>
      </c>
    </row>
    <row r="631" spans="1:15" hidden="1" x14ac:dyDescent="0.25">
      <c r="A631" s="2" t="s">
        <v>352</v>
      </c>
      <c r="B631" s="3">
        <v>45511</v>
      </c>
      <c r="C631" s="5">
        <v>45505</v>
      </c>
      <c r="D631" s="2" t="s">
        <v>59</v>
      </c>
      <c r="E631" s="2">
        <v>6200</v>
      </c>
      <c r="F631" s="2" t="s">
        <v>58</v>
      </c>
      <c r="G631" s="2" t="s">
        <v>1038</v>
      </c>
      <c r="H631" s="4">
        <v>-413.82</v>
      </c>
      <c r="I631" s="4">
        <v>-413.82</v>
      </c>
      <c r="J631" s="4">
        <v>-413.82</v>
      </c>
      <c r="K631" s="4">
        <v>413.82</v>
      </c>
      <c r="L631" s="4"/>
      <c r="M631" s="2" t="s">
        <v>1084</v>
      </c>
      <c r="N631" s="2" t="s">
        <v>10</v>
      </c>
      <c r="O631" s="2" t="s">
        <v>10</v>
      </c>
    </row>
    <row r="632" spans="1:15" hidden="1" x14ac:dyDescent="0.25">
      <c r="A632" s="2" t="s">
        <v>849</v>
      </c>
      <c r="B632" s="3">
        <v>45400</v>
      </c>
      <c r="C632" s="5">
        <v>45383</v>
      </c>
      <c r="D632" s="2" t="s">
        <v>39</v>
      </c>
      <c r="E632" s="2">
        <v>6500</v>
      </c>
      <c r="F632" s="2" t="s">
        <v>38</v>
      </c>
      <c r="G632" s="2" t="s">
        <v>1029</v>
      </c>
      <c r="H632" s="4">
        <v>-5298.6</v>
      </c>
      <c r="I632" s="4">
        <v>-5298.6</v>
      </c>
      <c r="J632" s="4">
        <v>-5298.6</v>
      </c>
      <c r="K632" s="4">
        <v>5298.6</v>
      </c>
      <c r="L632" s="4"/>
      <c r="M632" s="2" t="s">
        <v>1084</v>
      </c>
      <c r="N632" s="2" t="s">
        <v>10</v>
      </c>
      <c r="O632" s="2" t="s">
        <v>10</v>
      </c>
    </row>
    <row r="633" spans="1:15" hidden="1" x14ac:dyDescent="0.25">
      <c r="A633" s="2" t="s">
        <v>321</v>
      </c>
      <c r="B633" s="3">
        <v>45370</v>
      </c>
      <c r="C633" s="5">
        <v>45352</v>
      </c>
      <c r="D633" s="2" t="s">
        <v>59</v>
      </c>
      <c r="E633" s="2">
        <v>6200</v>
      </c>
      <c r="F633" s="2" t="s">
        <v>71</v>
      </c>
      <c r="G633" s="2" t="s">
        <v>1050</v>
      </c>
      <c r="H633" s="4">
        <v>-366.29</v>
      </c>
      <c r="I633" s="4">
        <v>-366.29</v>
      </c>
      <c r="J633" s="4">
        <v>-366.29</v>
      </c>
      <c r="K633" s="4">
        <v>366.29</v>
      </c>
      <c r="L633" s="4"/>
      <c r="M633" s="2" t="s">
        <v>1084</v>
      </c>
      <c r="N633" s="2" t="s">
        <v>10</v>
      </c>
      <c r="O633" s="2" t="s">
        <v>10</v>
      </c>
    </row>
    <row r="634" spans="1:15" hidden="1" x14ac:dyDescent="0.25">
      <c r="A634" s="2" t="s">
        <v>158</v>
      </c>
      <c r="B634" s="3">
        <v>45480</v>
      </c>
      <c r="C634" s="5">
        <v>45474</v>
      </c>
      <c r="D634" s="2" t="s">
        <v>24</v>
      </c>
      <c r="E634" s="2">
        <v>6300</v>
      </c>
      <c r="F634" s="2" t="s">
        <v>94</v>
      </c>
      <c r="G634" s="2" t="s">
        <v>1053</v>
      </c>
      <c r="H634" s="4">
        <v>-68.34</v>
      </c>
      <c r="I634" s="4">
        <v>-68.34</v>
      </c>
      <c r="J634" s="4">
        <v>-68.34</v>
      </c>
      <c r="K634" s="4">
        <v>68.34</v>
      </c>
      <c r="L634" s="4"/>
      <c r="M634" s="2" t="s">
        <v>1084</v>
      </c>
      <c r="N634" s="2" t="s">
        <v>10</v>
      </c>
      <c r="O634" s="2" t="s">
        <v>10</v>
      </c>
    </row>
    <row r="635" spans="1:15" hidden="1" x14ac:dyDescent="0.25">
      <c r="A635" s="2" t="s">
        <v>970</v>
      </c>
      <c r="B635" s="3">
        <v>45443</v>
      </c>
      <c r="C635" s="5">
        <v>45413</v>
      </c>
      <c r="D635" s="2" t="s">
        <v>59</v>
      </c>
      <c r="E635" s="2">
        <v>6200</v>
      </c>
      <c r="F635" s="2" t="s">
        <v>71</v>
      </c>
      <c r="G635" s="2" t="s">
        <v>1050</v>
      </c>
      <c r="H635" s="4">
        <v>-718.99</v>
      </c>
      <c r="I635" s="4">
        <v>-718.99</v>
      </c>
      <c r="J635" s="4">
        <v>-718.99</v>
      </c>
      <c r="K635" s="4">
        <v>718.99</v>
      </c>
      <c r="L635" s="4"/>
      <c r="M635" s="2" t="s">
        <v>1084</v>
      </c>
      <c r="N635" s="2" t="s">
        <v>10</v>
      </c>
      <c r="O635" s="2" t="s">
        <v>10</v>
      </c>
    </row>
    <row r="636" spans="1:15" hidden="1" x14ac:dyDescent="0.25">
      <c r="A636" s="2" t="s">
        <v>291</v>
      </c>
      <c r="B636" s="3">
        <v>45524</v>
      </c>
      <c r="C636" s="5">
        <v>45505</v>
      </c>
      <c r="D636" s="2" t="s">
        <v>18</v>
      </c>
      <c r="E636" s="2">
        <v>5100</v>
      </c>
      <c r="F636" s="2" t="s">
        <v>81</v>
      </c>
      <c r="G636" s="2" t="s">
        <v>1039</v>
      </c>
      <c r="H636" s="4">
        <v>-12762.12</v>
      </c>
      <c r="I636" s="4">
        <v>-12762.12</v>
      </c>
      <c r="J636" s="4">
        <v>-12762.12</v>
      </c>
      <c r="K636" s="4">
        <v>12762.12</v>
      </c>
      <c r="L636" s="4"/>
      <c r="M636" s="2" t="s">
        <v>1084</v>
      </c>
      <c r="N636" s="2" t="s">
        <v>10</v>
      </c>
      <c r="O636" s="2" t="s">
        <v>10</v>
      </c>
    </row>
    <row r="637" spans="1:15" hidden="1" x14ac:dyDescent="0.25">
      <c r="A637" s="2" t="s">
        <v>307</v>
      </c>
      <c r="B637" s="3">
        <v>45407</v>
      </c>
      <c r="C637" s="5">
        <v>45383</v>
      </c>
      <c r="D637" s="2" t="s">
        <v>9</v>
      </c>
      <c r="E637" s="2">
        <v>6100</v>
      </c>
      <c r="F637" s="2" t="s">
        <v>44</v>
      </c>
      <c r="G637" s="2" t="s">
        <v>1054</v>
      </c>
      <c r="H637" s="4">
        <v>-1608.07</v>
      </c>
      <c r="I637" s="4">
        <v>-1608.07</v>
      </c>
      <c r="J637" s="4">
        <v>-1608.07</v>
      </c>
      <c r="K637" s="4">
        <v>1608.07</v>
      </c>
      <c r="L637" s="4"/>
      <c r="M637" s="2" t="s">
        <v>1084</v>
      </c>
      <c r="N637" s="2" t="s">
        <v>10</v>
      </c>
      <c r="O637" s="2" t="s">
        <v>10</v>
      </c>
    </row>
    <row r="638" spans="1:15" hidden="1" x14ac:dyDescent="0.25">
      <c r="A638" s="2" t="s">
        <v>672</v>
      </c>
      <c r="B638" s="3">
        <v>45592</v>
      </c>
      <c r="C638" s="5">
        <v>45566</v>
      </c>
      <c r="D638" s="2" t="s">
        <v>52</v>
      </c>
      <c r="E638" s="2">
        <v>6000</v>
      </c>
      <c r="F638" s="2" t="s">
        <v>51</v>
      </c>
      <c r="G638" s="2" t="s">
        <v>1033</v>
      </c>
      <c r="H638" s="4">
        <v>-6169.22</v>
      </c>
      <c r="I638" s="4">
        <v>-6169.22</v>
      </c>
      <c r="J638" s="4">
        <v>-6169.22</v>
      </c>
      <c r="K638" s="4">
        <v>6169.22</v>
      </c>
      <c r="L638" s="4"/>
      <c r="M638" s="2" t="s">
        <v>1084</v>
      </c>
      <c r="N638" s="2" t="s">
        <v>10</v>
      </c>
      <c r="O638" s="2" t="s">
        <v>10</v>
      </c>
    </row>
    <row r="639" spans="1:15" hidden="1" x14ac:dyDescent="0.25">
      <c r="A639" s="2" t="s">
        <v>690</v>
      </c>
      <c r="B639" s="3">
        <v>45320</v>
      </c>
      <c r="C639" s="5">
        <v>45292</v>
      </c>
      <c r="D639" s="2" t="s">
        <v>52</v>
      </c>
      <c r="E639" s="2">
        <v>6000</v>
      </c>
      <c r="F639" s="2" t="s">
        <v>51</v>
      </c>
      <c r="G639" s="2" t="s">
        <v>1033</v>
      </c>
      <c r="H639" s="4">
        <v>-6149.94</v>
      </c>
      <c r="I639" s="4">
        <v>-6149.94</v>
      </c>
      <c r="J639" s="4">
        <v>-6149.94</v>
      </c>
      <c r="K639" s="4">
        <v>6149.94</v>
      </c>
      <c r="L639" s="4"/>
      <c r="M639" s="2" t="s">
        <v>1084</v>
      </c>
      <c r="N639" s="2" t="s">
        <v>10</v>
      </c>
      <c r="O639" s="2" t="s">
        <v>10</v>
      </c>
    </row>
    <row r="640" spans="1:15" hidden="1" x14ac:dyDescent="0.25">
      <c r="A640" s="2" t="s">
        <v>587</v>
      </c>
      <c r="B640" s="3">
        <v>45606</v>
      </c>
      <c r="C640" s="5">
        <v>45597</v>
      </c>
      <c r="D640" s="2" t="s">
        <v>39</v>
      </c>
      <c r="E640" s="2">
        <v>6500</v>
      </c>
      <c r="F640" s="2" t="s">
        <v>42</v>
      </c>
      <c r="G640" s="2" t="s">
        <v>1036</v>
      </c>
      <c r="H640" s="4">
        <v>-6451.61</v>
      </c>
      <c r="I640" s="4">
        <v>-6451.61</v>
      </c>
      <c r="J640" s="4">
        <v>-6451.61</v>
      </c>
      <c r="K640" s="4">
        <v>6451.61</v>
      </c>
      <c r="L640" s="4"/>
      <c r="M640" s="2" t="s">
        <v>1084</v>
      </c>
      <c r="N640" s="2" t="s">
        <v>10</v>
      </c>
      <c r="O640" s="2" t="s">
        <v>10</v>
      </c>
    </row>
    <row r="641" spans="1:15" hidden="1" x14ac:dyDescent="0.25">
      <c r="A641" s="2" t="s">
        <v>256</v>
      </c>
      <c r="B641" s="3">
        <v>45302</v>
      </c>
      <c r="C641" s="5">
        <v>45292</v>
      </c>
      <c r="D641" s="2" t="s">
        <v>31</v>
      </c>
      <c r="E641" s="2">
        <v>4900</v>
      </c>
      <c r="F641" s="2" t="s">
        <v>30</v>
      </c>
      <c r="G641" s="2" t="s">
        <v>1024</v>
      </c>
      <c r="H641" s="4">
        <v>357.76</v>
      </c>
      <c r="I641" s="4">
        <v>357.76</v>
      </c>
      <c r="J641" s="4">
        <v>357.76</v>
      </c>
      <c r="K641" s="4">
        <v>357.76</v>
      </c>
      <c r="L641" s="4"/>
      <c r="M641" s="2" t="s">
        <v>1084</v>
      </c>
      <c r="N641" s="2" t="s">
        <v>10</v>
      </c>
      <c r="O641" s="2" t="s">
        <v>10</v>
      </c>
    </row>
    <row r="642" spans="1:15" x14ac:dyDescent="0.25">
      <c r="A642" s="2" t="s">
        <v>247</v>
      </c>
      <c r="B642" s="3">
        <v>45560</v>
      </c>
      <c r="C642" s="5">
        <v>45536</v>
      </c>
      <c r="D642" s="2" t="s">
        <v>9</v>
      </c>
      <c r="E642" s="2">
        <v>6100</v>
      </c>
      <c r="F642" s="2" t="s">
        <v>44</v>
      </c>
      <c r="G642" s="2" t="s">
        <v>1054</v>
      </c>
      <c r="H642" s="4">
        <v>-1728.74</v>
      </c>
      <c r="I642" s="4">
        <v>-1316.02</v>
      </c>
      <c r="J642" s="4">
        <v>-1728.74</v>
      </c>
      <c r="K642" s="4">
        <v>1728.74</v>
      </c>
      <c r="L642" s="4">
        <v>-412.72</v>
      </c>
      <c r="M642" s="2" t="s">
        <v>1085</v>
      </c>
      <c r="N642" s="2" t="s">
        <v>123</v>
      </c>
      <c r="O642" s="2" t="s">
        <v>10</v>
      </c>
    </row>
    <row r="643" spans="1:15" hidden="1" x14ac:dyDescent="0.25">
      <c r="A643" s="2" t="s">
        <v>495</v>
      </c>
      <c r="B643" s="3">
        <v>45418</v>
      </c>
      <c r="C643" s="5">
        <v>45413</v>
      </c>
      <c r="D643" s="2" t="s">
        <v>31</v>
      </c>
      <c r="E643" s="2">
        <v>4900</v>
      </c>
      <c r="F643" s="2" t="s">
        <v>30</v>
      </c>
      <c r="G643" s="2" t="s">
        <v>1024</v>
      </c>
      <c r="H643" s="4">
        <v>362.04</v>
      </c>
      <c r="I643" s="4">
        <v>362.04</v>
      </c>
      <c r="J643" s="4">
        <v>362.04</v>
      </c>
      <c r="K643" s="4">
        <v>362.04</v>
      </c>
      <c r="L643" s="4"/>
      <c r="M643" s="2" t="s">
        <v>1084</v>
      </c>
      <c r="N643" s="2" t="s">
        <v>10</v>
      </c>
      <c r="O643" s="2" t="s">
        <v>10</v>
      </c>
    </row>
    <row r="644" spans="1:15" hidden="1" x14ac:dyDescent="0.25">
      <c r="A644" s="2" t="s">
        <v>796</v>
      </c>
      <c r="B644" s="3">
        <v>45431</v>
      </c>
      <c r="C644" s="5">
        <v>45413</v>
      </c>
      <c r="D644" s="2" t="s">
        <v>28</v>
      </c>
      <c r="E644" s="2">
        <v>6900</v>
      </c>
      <c r="F644" s="2" t="s">
        <v>27</v>
      </c>
      <c r="G644" s="2" t="s">
        <v>1041</v>
      </c>
      <c r="H644" s="4">
        <v>-26.76</v>
      </c>
      <c r="I644" s="4">
        <v>-26.76</v>
      </c>
      <c r="J644" s="4">
        <v>-26.76</v>
      </c>
      <c r="K644" s="4">
        <v>26.76</v>
      </c>
      <c r="L644" s="4"/>
      <c r="M644" s="2" t="s">
        <v>1084</v>
      </c>
      <c r="N644" s="2" t="s">
        <v>10</v>
      </c>
      <c r="O644" s="2" t="s">
        <v>10</v>
      </c>
    </row>
    <row r="645" spans="1:15" hidden="1" x14ac:dyDescent="0.25">
      <c r="A645" s="2" t="s">
        <v>677</v>
      </c>
      <c r="B645" s="3">
        <v>45298</v>
      </c>
      <c r="C645" s="5">
        <v>45292</v>
      </c>
      <c r="D645" s="2" t="s">
        <v>24</v>
      </c>
      <c r="E645" s="2">
        <v>6300</v>
      </c>
      <c r="F645" s="2" t="s">
        <v>127</v>
      </c>
      <c r="G645" s="2" t="s">
        <v>1035</v>
      </c>
      <c r="H645" s="4">
        <v>-198.46</v>
      </c>
      <c r="I645" s="4">
        <v>-198.46</v>
      </c>
      <c r="J645" s="4">
        <v>-198.46</v>
      </c>
      <c r="K645" s="4">
        <v>198.46</v>
      </c>
      <c r="L645" s="4"/>
      <c r="M645" s="2" t="s">
        <v>1084</v>
      </c>
      <c r="N645" s="2" t="s">
        <v>10</v>
      </c>
      <c r="O645" s="2" t="s">
        <v>10</v>
      </c>
    </row>
    <row r="646" spans="1:15" hidden="1" x14ac:dyDescent="0.25">
      <c r="A646" s="2" t="s">
        <v>281</v>
      </c>
      <c r="B646" s="3">
        <v>45548</v>
      </c>
      <c r="C646" s="5">
        <v>45536</v>
      </c>
      <c r="D646" s="2" t="s">
        <v>39</v>
      </c>
      <c r="E646" s="2">
        <v>6500</v>
      </c>
      <c r="F646" s="2" t="s">
        <v>69</v>
      </c>
      <c r="G646" s="2" t="s">
        <v>1052</v>
      </c>
      <c r="H646" s="4">
        <v>-5839.81</v>
      </c>
      <c r="I646" s="4">
        <v>-5839.81</v>
      </c>
      <c r="J646" s="4">
        <v>-5839.81</v>
      </c>
      <c r="K646" s="4">
        <v>5839.81</v>
      </c>
      <c r="L646" s="4"/>
      <c r="M646" s="2" t="s">
        <v>1084</v>
      </c>
      <c r="N646" s="2" t="s">
        <v>10</v>
      </c>
      <c r="O646" s="2" t="s">
        <v>10</v>
      </c>
    </row>
    <row r="647" spans="1:15" hidden="1" x14ac:dyDescent="0.25">
      <c r="A647" s="2" t="s">
        <v>1016</v>
      </c>
      <c r="B647" s="3">
        <v>45352</v>
      </c>
      <c r="C647" s="5">
        <v>45352</v>
      </c>
      <c r="D647" s="2" t="s">
        <v>59</v>
      </c>
      <c r="E647" s="2">
        <v>6200</v>
      </c>
      <c r="F647" s="2" t="s">
        <v>58</v>
      </c>
      <c r="G647" s="2" t="s">
        <v>1038</v>
      </c>
      <c r="H647" s="4">
        <v>-739.34</v>
      </c>
      <c r="I647" s="4">
        <v>-739.34</v>
      </c>
      <c r="J647" s="4">
        <v>-739.34</v>
      </c>
      <c r="K647" s="4">
        <v>739.34</v>
      </c>
      <c r="L647" s="4"/>
      <c r="M647" s="2" t="s">
        <v>1084</v>
      </c>
      <c r="N647" s="2" t="s">
        <v>10</v>
      </c>
      <c r="O647" s="2" t="s">
        <v>10</v>
      </c>
    </row>
    <row r="648" spans="1:15" hidden="1" x14ac:dyDescent="0.25">
      <c r="A648" s="2" t="s">
        <v>828</v>
      </c>
      <c r="B648" s="3">
        <v>45532</v>
      </c>
      <c r="C648" s="5">
        <v>45505</v>
      </c>
      <c r="D648" s="2" t="s">
        <v>24</v>
      </c>
      <c r="E648" s="2">
        <v>6300</v>
      </c>
      <c r="F648" s="2" t="s">
        <v>94</v>
      </c>
      <c r="G648" s="2" t="s">
        <v>1053</v>
      </c>
      <c r="H648" s="4">
        <v>-454.78</v>
      </c>
      <c r="I648" s="4">
        <v>-454.78</v>
      </c>
      <c r="J648" s="4">
        <v>-454.78</v>
      </c>
      <c r="K648" s="4">
        <v>454.78</v>
      </c>
      <c r="L648" s="4"/>
      <c r="M648" s="2" t="s">
        <v>1084</v>
      </c>
      <c r="N648" s="2" t="s">
        <v>10</v>
      </c>
      <c r="O648" s="2" t="s">
        <v>10</v>
      </c>
    </row>
    <row r="649" spans="1:15" hidden="1" x14ac:dyDescent="0.25">
      <c r="A649" s="2" t="s">
        <v>283</v>
      </c>
      <c r="B649" s="3">
        <v>45556</v>
      </c>
      <c r="C649" s="5">
        <v>45536</v>
      </c>
      <c r="D649" s="2" t="s">
        <v>13</v>
      </c>
      <c r="E649" s="2">
        <v>6400</v>
      </c>
      <c r="F649" s="2" t="s">
        <v>12</v>
      </c>
      <c r="G649" s="2" t="s">
        <v>1032</v>
      </c>
      <c r="H649" s="4">
        <v>-1106.93</v>
      </c>
      <c r="I649" s="4">
        <v>-1106.93</v>
      </c>
      <c r="J649" s="4">
        <v>-1106.93</v>
      </c>
      <c r="K649" s="4">
        <v>1106.93</v>
      </c>
      <c r="L649" s="4"/>
      <c r="M649" s="2" t="s">
        <v>1084</v>
      </c>
      <c r="N649" s="2" t="s">
        <v>10</v>
      </c>
      <c r="O649" s="2" t="s">
        <v>10</v>
      </c>
    </row>
    <row r="650" spans="1:15" hidden="1" x14ac:dyDescent="0.25">
      <c r="A650" s="2" t="s">
        <v>928</v>
      </c>
      <c r="B650" s="3">
        <v>45600</v>
      </c>
      <c r="C650" s="5">
        <v>45597</v>
      </c>
      <c r="D650" s="2" t="s">
        <v>31</v>
      </c>
      <c r="E650" s="2">
        <v>4900</v>
      </c>
      <c r="F650" s="2" t="s">
        <v>146</v>
      </c>
      <c r="G650" s="2" t="s">
        <v>1031</v>
      </c>
      <c r="H650" s="4">
        <v>147.07</v>
      </c>
      <c r="I650" s="4">
        <v>147.07</v>
      </c>
      <c r="J650" s="4">
        <v>147.07</v>
      </c>
      <c r="K650" s="4">
        <v>147.07</v>
      </c>
      <c r="L650" s="4"/>
      <c r="M650" s="2" t="s">
        <v>1084</v>
      </c>
      <c r="N650" s="2" t="s">
        <v>10</v>
      </c>
      <c r="O650" s="2" t="s">
        <v>10</v>
      </c>
    </row>
    <row r="651" spans="1:15" hidden="1" x14ac:dyDescent="0.25">
      <c r="A651" s="2" t="s">
        <v>409</v>
      </c>
      <c r="B651" s="3">
        <v>45550</v>
      </c>
      <c r="C651" s="5">
        <v>45536</v>
      </c>
      <c r="D651" s="2" t="s">
        <v>28</v>
      </c>
      <c r="E651" s="2">
        <v>6900</v>
      </c>
      <c r="F651" s="2" t="s">
        <v>27</v>
      </c>
      <c r="G651" s="2" t="s">
        <v>1041</v>
      </c>
      <c r="H651" s="4">
        <v>-37.54</v>
      </c>
      <c r="I651" s="4">
        <v>-37.54</v>
      </c>
      <c r="J651" s="4">
        <v>-37.54</v>
      </c>
      <c r="K651" s="4">
        <v>37.54</v>
      </c>
      <c r="L651" s="4"/>
      <c r="M651" s="2" t="s">
        <v>1084</v>
      </c>
      <c r="N651" s="2" t="s">
        <v>10</v>
      </c>
      <c r="O651" s="2" t="s">
        <v>10</v>
      </c>
    </row>
    <row r="652" spans="1:15" hidden="1" x14ac:dyDescent="0.25">
      <c r="A652" s="2" t="s">
        <v>369</v>
      </c>
      <c r="B652" s="3">
        <v>45402</v>
      </c>
      <c r="C652" s="5">
        <v>45383</v>
      </c>
      <c r="D652" s="2" t="s">
        <v>24</v>
      </c>
      <c r="E652" s="2">
        <v>6300</v>
      </c>
      <c r="F652" s="2" t="s">
        <v>94</v>
      </c>
      <c r="G652" s="2" t="s">
        <v>1053</v>
      </c>
      <c r="H652" s="4">
        <v>-329.95</v>
      </c>
      <c r="I652" s="4">
        <v>-329.95</v>
      </c>
      <c r="J652" s="4">
        <v>-329.95</v>
      </c>
      <c r="K652" s="4">
        <v>329.95</v>
      </c>
      <c r="L652" s="4"/>
      <c r="M652" s="2" t="s">
        <v>1084</v>
      </c>
      <c r="N652" s="2" t="s">
        <v>10</v>
      </c>
      <c r="O652" s="2" t="s">
        <v>10</v>
      </c>
    </row>
    <row r="653" spans="1:15" hidden="1" x14ac:dyDescent="0.25">
      <c r="A653" s="2" t="s">
        <v>43</v>
      </c>
      <c r="B653" s="3">
        <v>45561</v>
      </c>
      <c r="C653" s="5">
        <v>45536</v>
      </c>
      <c r="D653" s="2" t="s">
        <v>9</v>
      </c>
      <c r="E653" s="2">
        <v>6100</v>
      </c>
      <c r="F653" s="2" t="s">
        <v>44</v>
      </c>
      <c r="G653" s="2" t="s">
        <v>1054</v>
      </c>
      <c r="H653" s="4">
        <v>-4499.33</v>
      </c>
      <c r="I653" s="4">
        <v>-4499.33</v>
      </c>
      <c r="J653" s="4">
        <v>-4499.33</v>
      </c>
      <c r="K653" s="4">
        <v>4499.33</v>
      </c>
      <c r="L653" s="4"/>
      <c r="M653" s="2" t="s">
        <v>1084</v>
      </c>
      <c r="N653" s="2" t="s">
        <v>10</v>
      </c>
      <c r="O653" s="2" t="s">
        <v>10</v>
      </c>
    </row>
    <row r="654" spans="1:15" hidden="1" x14ac:dyDescent="0.25">
      <c r="A654" s="2" t="s">
        <v>670</v>
      </c>
      <c r="B654" s="3">
        <v>45593</v>
      </c>
      <c r="C654" s="5">
        <v>45566</v>
      </c>
      <c r="D654" s="2" t="s">
        <v>52</v>
      </c>
      <c r="E654" s="2">
        <v>6000</v>
      </c>
      <c r="F654" s="2" t="s">
        <v>51</v>
      </c>
      <c r="G654" s="2" t="s">
        <v>1033</v>
      </c>
      <c r="H654" s="4">
        <v>-6111.37</v>
      </c>
      <c r="I654" s="4">
        <v>-6111.37</v>
      </c>
      <c r="J654" s="4">
        <v>-6111.37</v>
      </c>
      <c r="K654" s="4">
        <v>6111.37</v>
      </c>
      <c r="L654" s="4"/>
      <c r="M654" s="2" t="s">
        <v>1084</v>
      </c>
      <c r="N654" s="2" t="s">
        <v>10</v>
      </c>
      <c r="O654" s="2" t="s">
        <v>10</v>
      </c>
    </row>
    <row r="655" spans="1:15" hidden="1" x14ac:dyDescent="0.25">
      <c r="A655" s="2" t="s">
        <v>973</v>
      </c>
      <c r="B655" s="3">
        <v>45407</v>
      </c>
      <c r="C655" s="5">
        <v>45383</v>
      </c>
      <c r="D655" s="2" t="s">
        <v>28</v>
      </c>
      <c r="E655" s="2">
        <v>6900</v>
      </c>
      <c r="F655" s="2" t="s">
        <v>76</v>
      </c>
      <c r="G655" s="2" t="s">
        <v>1047</v>
      </c>
      <c r="H655" s="4">
        <v>-98.38</v>
      </c>
      <c r="I655" s="4">
        <v>-98.38</v>
      </c>
      <c r="J655" s="4">
        <v>-98.38</v>
      </c>
      <c r="K655" s="4">
        <v>98.38</v>
      </c>
      <c r="L655" s="4"/>
      <c r="M655" s="2" t="s">
        <v>1084</v>
      </c>
      <c r="N655" s="2" t="s">
        <v>10</v>
      </c>
      <c r="O655" s="2" t="s">
        <v>10</v>
      </c>
    </row>
    <row r="656" spans="1:15" hidden="1" x14ac:dyDescent="0.25">
      <c r="A656" s="2" t="s">
        <v>287</v>
      </c>
      <c r="B656" s="3">
        <v>45337</v>
      </c>
      <c r="C656" s="5">
        <v>45323</v>
      </c>
      <c r="D656" s="2" t="s">
        <v>13</v>
      </c>
      <c r="E656" s="2">
        <v>6400</v>
      </c>
      <c r="F656" s="2" t="s">
        <v>15</v>
      </c>
      <c r="G656" s="2" t="s">
        <v>1044</v>
      </c>
      <c r="H656" s="4">
        <v>-2736.14</v>
      </c>
      <c r="I656" s="4">
        <v>-2736.14</v>
      </c>
      <c r="J656" s="4">
        <v>-2736.14</v>
      </c>
      <c r="K656" s="4">
        <v>2736.14</v>
      </c>
      <c r="L656" s="4"/>
      <c r="M656" s="2" t="s">
        <v>1084</v>
      </c>
      <c r="N656" s="2" t="s">
        <v>10</v>
      </c>
      <c r="O656" s="2" t="s">
        <v>10</v>
      </c>
    </row>
    <row r="657" spans="1:15" hidden="1" x14ac:dyDescent="0.25">
      <c r="A657" s="2" t="s">
        <v>923</v>
      </c>
      <c r="B657" s="3">
        <v>45616</v>
      </c>
      <c r="C657" s="5">
        <v>45597</v>
      </c>
      <c r="D657" s="2" t="s">
        <v>13</v>
      </c>
      <c r="E657" s="2">
        <v>6400</v>
      </c>
      <c r="F657" s="2" t="s">
        <v>21</v>
      </c>
      <c r="G657" s="2" t="s">
        <v>1030</v>
      </c>
      <c r="H657" s="4">
        <v>-2851.98</v>
      </c>
      <c r="I657" s="4">
        <v>-2851.98</v>
      </c>
      <c r="J657" s="4">
        <v>-2851.98</v>
      </c>
      <c r="K657" s="4">
        <v>2851.98</v>
      </c>
      <c r="L657" s="4"/>
      <c r="M657" s="2" t="s">
        <v>1084</v>
      </c>
      <c r="N657" s="2" t="s">
        <v>10</v>
      </c>
      <c r="O657" s="2" t="s">
        <v>10</v>
      </c>
    </row>
    <row r="658" spans="1:15" hidden="1" x14ac:dyDescent="0.25">
      <c r="A658" s="2" t="s">
        <v>808</v>
      </c>
      <c r="B658" s="3">
        <v>45345</v>
      </c>
      <c r="C658" s="5">
        <v>45323</v>
      </c>
      <c r="D658" s="2" t="s">
        <v>39</v>
      </c>
      <c r="E658" s="2">
        <v>6500</v>
      </c>
      <c r="F658" s="2" t="s">
        <v>38</v>
      </c>
      <c r="G658" s="2" t="s">
        <v>1029</v>
      </c>
      <c r="H658" s="4">
        <v>-956.96</v>
      </c>
      <c r="I658" s="4">
        <v>-956.96</v>
      </c>
      <c r="J658" s="4">
        <v>-956.96</v>
      </c>
      <c r="K658" s="4">
        <v>956.96</v>
      </c>
      <c r="L658" s="4"/>
      <c r="M658" s="2" t="s">
        <v>1084</v>
      </c>
      <c r="N658" s="2" t="s">
        <v>10</v>
      </c>
      <c r="O658" s="2" t="s">
        <v>10</v>
      </c>
    </row>
    <row r="659" spans="1:15" hidden="1" x14ac:dyDescent="0.25">
      <c r="A659" s="2" t="s">
        <v>745</v>
      </c>
      <c r="B659" s="3">
        <v>45508</v>
      </c>
      <c r="C659" s="5">
        <v>45505</v>
      </c>
      <c r="D659" s="2" t="s">
        <v>9</v>
      </c>
      <c r="E659" s="2">
        <v>6100</v>
      </c>
      <c r="F659" s="2" t="s">
        <v>8</v>
      </c>
      <c r="G659" s="2" t="s">
        <v>1042</v>
      </c>
      <c r="H659" s="4">
        <v>-3270.12</v>
      </c>
      <c r="I659" s="4">
        <v>-3270.12</v>
      </c>
      <c r="J659" s="4">
        <v>-3270.12</v>
      </c>
      <c r="K659" s="4">
        <v>3270.12</v>
      </c>
      <c r="L659" s="4"/>
      <c r="M659" s="2" t="s">
        <v>1084</v>
      </c>
      <c r="N659" s="2" t="s">
        <v>10</v>
      </c>
      <c r="O659" s="2" t="s">
        <v>10</v>
      </c>
    </row>
    <row r="660" spans="1:15" hidden="1" x14ac:dyDescent="0.25">
      <c r="A660" s="2" t="s">
        <v>343</v>
      </c>
      <c r="B660" s="3">
        <v>45378</v>
      </c>
      <c r="C660" s="5">
        <v>45352</v>
      </c>
      <c r="D660" s="2" t="s">
        <v>35</v>
      </c>
      <c r="E660" s="2">
        <v>4000</v>
      </c>
      <c r="F660" s="2" t="s">
        <v>34</v>
      </c>
      <c r="G660" s="2" t="s">
        <v>1027</v>
      </c>
      <c r="H660" s="4">
        <v>6516.37</v>
      </c>
      <c r="I660" s="4">
        <v>6516.37</v>
      </c>
      <c r="J660" s="4">
        <v>6516.37</v>
      </c>
      <c r="K660" s="4">
        <v>6516.37</v>
      </c>
      <c r="L660" s="4"/>
      <c r="M660" s="2" t="s">
        <v>1084</v>
      </c>
      <c r="N660" s="2" t="s">
        <v>10</v>
      </c>
      <c r="O660" s="2" t="s">
        <v>10</v>
      </c>
    </row>
    <row r="661" spans="1:15" hidden="1" x14ac:dyDescent="0.25">
      <c r="A661" s="2" t="s">
        <v>60</v>
      </c>
      <c r="B661" s="3">
        <v>45337</v>
      </c>
      <c r="C661" s="5">
        <v>45323</v>
      </c>
      <c r="D661" s="2" t="s">
        <v>52</v>
      </c>
      <c r="E661" s="2">
        <v>6000</v>
      </c>
      <c r="F661" s="2" t="s">
        <v>51</v>
      </c>
      <c r="G661" s="2" t="s">
        <v>1033</v>
      </c>
      <c r="H661" s="4">
        <v>-1946.79</v>
      </c>
      <c r="I661" s="4">
        <v>-1946.79</v>
      </c>
      <c r="J661" s="4">
        <v>-1946.79</v>
      </c>
      <c r="K661" s="4">
        <v>1946.79</v>
      </c>
      <c r="L661" s="4"/>
      <c r="M661" s="2" t="s">
        <v>1084</v>
      </c>
      <c r="N661" s="2" t="s">
        <v>10</v>
      </c>
      <c r="O661" s="2" t="s">
        <v>10</v>
      </c>
    </row>
    <row r="662" spans="1:15" hidden="1" x14ac:dyDescent="0.25">
      <c r="A662" s="2" t="s">
        <v>875</v>
      </c>
      <c r="B662" s="3">
        <v>45575</v>
      </c>
      <c r="C662" s="5">
        <v>45566</v>
      </c>
      <c r="D662" s="2" t="s">
        <v>18</v>
      </c>
      <c r="E662" s="2">
        <v>5100</v>
      </c>
      <c r="F662" s="2" t="s">
        <v>81</v>
      </c>
      <c r="G662" s="2" t="s">
        <v>1039</v>
      </c>
      <c r="H662" s="4">
        <v>-6932.44</v>
      </c>
      <c r="I662" s="4">
        <v>-6932.44</v>
      </c>
      <c r="J662" s="4">
        <v>-6932.44</v>
      </c>
      <c r="K662" s="4">
        <v>6932.44</v>
      </c>
      <c r="L662" s="4"/>
      <c r="M662" s="2" t="s">
        <v>1084</v>
      </c>
      <c r="N662" s="2" t="s">
        <v>10</v>
      </c>
      <c r="O662" s="2" t="s">
        <v>10</v>
      </c>
    </row>
    <row r="663" spans="1:15" hidden="1" x14ac:dyDescent="0.25">
      <c r="A663" s="2" t="s">
        <v>467</v>
      </c>
      <c r="B663" s="3">
        <v>45344</v>
      </c>
      <c r="C663" s="5">
        <v>45323</v>
      </c>
      <c r="D663" s="2" t="s">
        <v>39</v>
      </c>
      <c r="E663" s="2">
        <v>6500</v>
      </c>
      <c r="F663" s="2" t="s">
        <v>38</v>
      </c>
      <c r="G663" s="2" t="s">
        <v>1029</v>
      </c>
      <c r="H663" s="4">
        <v>-3399.35</v>
      </c>
      <c r="I663" s="4">
        <v>-3399.35</v>
      </c>
      <c r="J663" s="4">
        <v>-3399.35</v>
      </c>
      <c r="K663" s="4">
        <v>3399.35</v>
      </c>
      <c r="L663" s="4"/>
      <c r="M663" s="2" t="s">
        <v>1084</v>
      </c>
      <c r="N663" s="2" t="s">
        <v>10</v>
      </c>
      <c r="O663" s="2" t="s">
        <v>10</v>
      </c>
    </row>
    <row r="664" spans="1:15" hidden="1" x14ac:dyDescent="0.25">
      <c r="A664" s="2" t="s">
        <v>735</v>
      </c>
      <c r="B664" s="3">
        <v>45536</v>
      </c>
      <c r="C664" s="5">
        <v>45536</v>
      </c>
      <c r="D664" s="2" t="s">
        <v>35</v>
      </c>
      <c r="E664" s="2">
        <v>4000</v>
      </c>
      <c r="F664" s="2" t="s">
        <v>103</v>
      </c>
      <c r="G664" s="2" t="s">
        <v>1049</v>
      </c>
      <c r="H664" s="4">
        <v>20698.18</v>
      </c>
      <c r="I664" s="4">
        <v>20698.18</v>
      </c>
      <c r="J664" s="4">
        <v>20698.18</v>
      </c>
      <c r="K664" s="4">
        <v>20698.18</v>
      </c>
      <c r="L664" s="4"/>
      <c r="M664" s="2" t="s">
        <v>1084</v>
      </c>
      <c r="N664" s="2" t="s">
        <v>10</v>
      </c>
      <c r="O664" s="2" t="s">
        <v>10</v>
      </c>
    </row>
    <row r="665" spans="1:15" hidden="1" x14ac:dyDescent="0.25">
      <c r="A665" s="2" t="s">
        <v>122</v>
      </c>
      <c r="B665" s="3">
        <v>45544</v>
      </c>
      <c r="C665" s="5">
        <v>45536</v>
      </c>
      <c r="D665" s="2" t="s">
        <v>52</v>
      </c>
      <c r="E665" s="2">
        <v>6000</v>
      </c>
      <c r="F665" s="2" t="s">
        <v>63</v>
      </c>
      <c r="G665" s="2" t="s">
        <v>1051</v>
      </c>
      <c r="H665" s="4">
        <v>-11219.71</v>
      </c>
      <c r="I665" s="4">
        <v>-11219.71</v>
      </c>
      <c r="J665" s="4">
        <v>-11219.71</v>
      </c>
      <c r="K665" s="4">
        <v>11219.71</v>
      </c>
      <c r="L665" s="4"/>
      <c r="M665" s="2" t="s">
        <v>1084</v>
      </c>
      <c r="N665" s="2" t="s">
        <v>10</v>
      </c>
      <c r="O665" s="2" t="s">
        <v>123</v>
      </c>
    </row>
    <row r="666" spans="1:15" hidden="1" x14ac:dyDescent="0.25">
      <c r="A666" s="2" t="s">
        <v>308</v>
      </c>
      <c r="B666" s="3">
        <v>45313</v>
      </c>
      <c r="C666" s="5">
        <v>45292</v>
      </c>
      <c r="D666" s="2" t="s">
        <v>13</v>
      </c>
      <c r="E666" s="2">
        <v>6400</v>
      </c>
      <c r="F666" s="2" t="s">
        <v>21</v>
      </c>
      <c r="G666" s="2" t="s">
        <v>1030</v>
      </c>
      <c r="H666" s="4">
        <v>-3259.14</v>
      </c>
      <c r="I666" s="4">
        <v>-3259.14</v>
      </c>
      <c r="J666" s="4">
        <v>-3259.14</v>
      </c>
      <c r="K666" s="4">
        <v>3259.14</v>
      </c>
      <c r="L666" s="4"/>
      <c r="M666" s="2" t="s">
        <v>1084</v>
      </c>
      <c r="N666" s="2" t="s">
        <v>10</v>
      </c>
      <c r="O666" s="2" t="s">
        <v>10</v>
      </c>
    </row>
    <row r="667" spans="1:15" hidden="1" x14ac:dyDescent="0.25">
      <c r="A667" s="2" t="s">
        <v>941</v>
      </c>
      <c r="B667" s="3">
        <v>45355</v>
      </c>
      <c r="C667" s="5">
        <v>45352</v>
      </c>
      <c r="D667" s="2" t="s">
        <v>9</v>
      </c>
      <c r="E667" s="2">
        <v>6100</v>
      </c>
      <c r="F667" s="2" t="s">
        <v>44</v>
      </c>
      <c r="G667" s="2" t="s">
        <v>1054</v>
      </c>
      <c r="H667" s="4">
        <v>-892.88</v>
      </c>
      <c r="I667" s="4">
        <v>-892.88</v>
      </c>
      <c r="J667" s="4">
        <v>-892.88</v>
      </c>
      <c r="K667" s="4">
        <v>892.88</v>
      </c>
      <c r="L667" s="4"/>
      <c r="M667" s="2" t="s">
        <v>1084</v>
      </c>
      <c r="N667" s="2" t="s">
        <v>10</v>
      </c>
      <c r="O667" s="2" t="s">
        <v>10</v>
      </c>
    </row>
    <row r="668" spans="1:15" hidden="1" x14ac:dyDescent="0.25">
      <c r="A668" s="2" t="s">
        <v>765</v>
      </c>
      <c r="B668" s="3">
        <v>45581</v>
      </c>
      <c r="C668" s="5">
        <v>45566</v>
      </c>
      <c r="D668" s="2" t="s">
        <v>13</v>
      </c>
      <c r="E668" s="2">
        <v>6400</v>
      </c>
      <c r="F668" s="2" t="s">
        <v>15</v>
      </c>
      <c r="G668" s="2" t="s">
        <v>1044</v>
      </c>
      <c r="H668" s="4">
        <v>-3335.6</v>
      </c>
      <c r="I668" s="4">
        <v>-3335.6</v>
      </c>
      <c r="J668" s="4">
        <v>-3335.6</v>
      </c>
      <c r="K668" s="4">
        <v>3335.6</v>
      </c>
      <c r="L668" s="4"/>
      <c r="M668" s="2" t="s">
        <v>1084</v>
      </c>
      <c r="N668" s="2" t="s">
        <v>10</v>
      </c>
      <c r="O668" s="2" t="s">
        <v>10</v>
      </c>
    </row>
    <row r="669" spans="1:15" hidden="1" x14ac:dyDescent="0.25">
      <c r="A669" s="2" t="s">
        <v>532</v>
      </c>
      <c r="B669" s="3">
        <v>45477</v>
      </c>
      <c r="C669" s="5">
        <v>45474</v>
      </c>
      <c r="D669" s="2" t="s">
        <v>28</v>
      </c>
      <c r="E669" s="2">
        <v>6900</v>
      </c>
      <c r="F669" s="2" t="s">
        <v>195</v>
      </c>
      <c r="G669" s="2" t="s">
        <v>1048</v>
      </c>
      <c r="H669" s="4">
        <v>-6.75</v>
      </c>
      <c r="I669" s="4">
        <v>-6.75</v>
      </c>
      <c r="J669" s="4">
        <v>-6.75</v>
      </c>
      <c r="K669" s="4">
        <v>6.75</v>
      </c>
      <c r="L669" s="4"/>
      <c r="M669" s="2" t="s">
        <v>1084</v>
      </c>
      <c r="N669" s="2" t="s">
        <v>10</v>
      </c>
      <c r="O669" s="2" t="s">
        <v>10</v>
      </c>
    </row>
    <row r="670" spans="1:15" hidden="1" x14ac:dyDescent="0.25">
      <c r="A670" s="2" t="s">
        <v>997</v>
      </c>
      <c r="B670" s="3">
        <v>45336</v>
      </c>
      <c r="C670" s="5">
        <v>45323</v>
      </c>
      <c r="D670" s="2" t="s">
        <v>31</v>
      </c>
      <c r="E670" s="2">
        <v>4900</v>
      </c>
      <c r="F670" s="2" t="s">
        <v>146</v>
      </c>
      <c r="G670" s="2" t="s">
        <v>1031</v>
      </c>
      <c r="H670" s="4">
        <v>388.23</v>
      </c>
      <c r="I670" s="4">
        <v>388.23</v>
      </c>
      <c r="J670" s="4">
        <v>388.23</v>
      </c>
      <c r="K670" s="4">
        <v>388.23</v>
      </c>
      <c r="L670" s="4"/>
      <c r="M670" s="2" t="s">
        <v>1084</v>
      </c>
      <c r="N670" s="2" t="s">
        <v>10</v>
      </c>
      <c r="O670" s="2" t="s">
        <v>10</v>
      </c>
    </row>
    <row r="671" spans="1:15" x14ac:dyDescent="0.25">
      <c r="A671" s="2" t="s">
        <v>285</v>
      </c>
      <c r="B671" s="3">
        <v>45653</v>
      </c>
      <c r="C671" s="5">
        <v>45627</v>
      </c>
      <c r="D671" s="2" t="s">
        <v>18</v>
      </c>
      <c r="E671" s="2">
        <v>5100</v>
      </c>
      <c r="F671" s="2" t="s">
        <v>81</v>
      </c>
      <c r="G671" s="2" t="s">
        <v>1039</v>
      </c>
      <c r="H671" s="4">
        <v>-13607.35</v>
      </c>
      <c r="I671" s="4">
        <v>-13.6</v>
      </c>
      <c r="J671" s="4">
        <v>-13607.35</v>
      </c>
      <c r="K671" s="4">
        <v>13607.35</v>
      </c>
      <c r="L671" s="4">
        <v>-13593.75</v>
      </c>
      <c r="M671" s="2" t="s">
        <v>1085</v>
      </c>
      <c r="N671" s="2" t="s">
        <v>123</v>
      </c>
      <c r="O671" s="2" t="s">
        <v>10</v>
      </c>
    </row>
    <row r="672" spans="1:15" hidden="1" x14ac:dyDescent="0.25">
      <c r="A672" s="2" t="s">
        <v>769</v>
      </c>
      <c r="B672" s="3">
        <v>45388</v>
      </c>
      <c r="C672" s="5">
        <v>45383</v>
      </c>
      <c r="D672" s="2" t="s">
        <v>31</v>
      </c>
      <c r="E672" s="2">
        <v>4900</v>
      </c>
      <c r="F672" s="2" t="s">
        <v>30</v>
      </c>
      <c r="G672" s="2" t="s">
        <v>1024</v>
      </c>
      <c r="H672" s="4">
        <v>222.38</v>
      </c>
      <c r="I672" s="4">
        <v>222.38</v>
      </c>
      <c r="J672" s="4">
        <v>222.38</v>
      </c>
      <c r="K672" s="4">
        <v>222.38</v>
      </c>
      <c r="L672" s="4"/>
      <c r="M672" s="2" t="s">
        <v>1084</v>
      </c>
      <c r="N672" s="2" t="s">
        <v>10</v>
      </c>
      <c r="O672" s="2" t="s">
        <v>10</v>
      </c>
    </row>
    <row r="673" spans="1:15" hidden="1" x14ac:dyDescent="0.25">
      <c r="A673" s="2" t="s">
        <v>110</v>
      </c>
      <c r="B673" s="3">
        <v>45293</v>
      </c>
      <c r="C673" s="5">
        <v>45292</v>
      </c>
      <c r="D673" s="2" t="s">
        <v>9</v>
      </c>
      <c r="E673" s="2">
        <v>6100</v>
      </c>
      <c r="F673" s="2" t="s">
        <v>8</v>
      </c>
      <c r="G673" s="2" t="s">
        <v>1042</v>
      </c>
      <c r="H673" s="4">
        <v>-1206.4100000000001</v>
      </c>
      <c r="I673" s="4">
        <v>-1206.4100000000001</v>
      </c>
      <c r="J673" s="4">
        <v>-1206.4100000000001</v>
      </c>
      <c r="K673" s="4">
        <v>1206.4100000000001</v>
      </c>
      <c r="L673" s="4"/>
      <c r="M673" s="2" t="s">
        <v>1084</v>
      </c>
      <c r="N673" s="2" t="s">
        <v>10</v>
      </c>
      <c r="O673" s="2" t="s">
        <v>10</v>
      </c>
    </row>
    <row r="674" spans="1:15" hidden="1" x14ac:dyDescent="0.25">
      <c r="A674" s="2" t="s">
        <v>509</v>
      </c>
      <c r="B674" s="3">
        <v>45629</v>
      </c>
      <c r="C674" s="5">
        <v>45627</v>
      </c>
      <c r="D674" s="2" t="s">
        <v>9</v>
      </c>
      <c r="E674" s="2">
        <v>6100</v>
      </c>
      <c r="F674" s="2" t="s">
        <v>44</v>
      </c>
      <c r="G674" s="2" t="s">
        <v>1054</v>
      </c>
      <c r="H674" s="4">
        <v>-3991.91</v>
      </c>
      <c r="I674" s="4">
        <v>-3991.91</v>
      </c>
      <c r="J674" s="4">
        <v>-3991.91</v>
      </c>
      <c r="K674" s="4">
        <v>3991.91</v>
      </c>
      <c r="L674" s="4"/>
      <c r="M674" s="2" t="s">
        <v>1084</v>
      </c>
      <c r="N674" s="2" t="s">
        <v>10</v>
      </c>
      <c r="O674" s="2" t="s">
        <v>10</v>
      </c>
    </row>
    <row r="675" spans="1:15" hidden="1" x14ac:dyDescent="0.25">
      <c r="A675" s="2" t="s">
        <v>121</v>
      </c>
      <c r="B675" s="3">
        <v>45298</v>
      </c>
      <c r="C675" s="5">
        <v>45292</v>
      </c>
      <c r="D675" s="2" t="s">
        <v>35</v>
      </c>
      <c r="E675" s="2">
        <v>4000</v>
      </c>
      <c r="F675" s="2" t="s">
        <v>116</v>
      </c>
      <c r="G675" s="2" t="s">
        <v>1034</v>
      </c>
      <c r="H675" s="4">
        <v>15561.05</v>
      </c>
      <c r="I675" s="4">
        <v>15561.05</v>
      </c>
      <c r="J675" s="4">
        <v>15561.05</v>
      </c>
      <c r="K675" s="4">
        <v>15561.05</v>
      </c>
      <c r="L675" s="4"/>
      <c r="M675" s="2" t="s">
        <v>1084</v>
      </c>
      <c r="N675" s="2" t="s">
        <v>10</v>
      </c>
      <c r="O675" s="2" t="s">
        <v>10</v>
      </c>
    </row>
    <row r="676" spans="1:15" hidden="1" x14ac:dyDescent="0.25">
      <c r="A676" s="2" t="s">
        <v>487</v>
      </c>
      <c r="B676" s="3">
        <v>45493</v>
      </c>
      <c r="C676" s="5">
        <v>45474</v>
      </c>
      <c r="D676" s="2" t="s">
        <v>9</v>
      </c>
      <c r="E676" s="2">
        <v>6100</v>
      </c>
      <c r="F676" s="2" t="s">
        <v>48</v>
      </c>
      <c r="G676" s="2" t="s">
        <v>1043</v>
      </c>
      <c r="H676" s="4">
        <v>-3773.58</v>
      </c>
      <c r="I676" s="4">
        <v>-3773.58</v>
      </c>
      <c r="J676" s="4">
        <v>-3773.58</v>
      </c>
      <c r="K676" s="4">
        <v>3773.58</v>
      </c>
      <c r="L676" s="4"/>
      <c r="M676" s="2" t="s">
        <v>1084</v>
      </c>
      <c r="N676" s="2" t="s">
        <v>10</v>
      </c>
      <c r="O676" s="2" t="s">
        <v>10</v>
      </c>
    </row>
    <row r="677" spans="1:15" hidden="1" x14ac:dyDescent="0.25">
      <c r="A677" s="2" t="s">
        <v>686</v>
      </c>
      <c r="B677" s="3">
        <v>45654</v>
      </c>
      <c r="C677" s="5">
        <v>45627</v>
      </c>
      <c r="D677" s="2" t="s">
        <v>39</v>
      </c>
      <c r="E677" s="2">
        <v>6500</v>
      </c>
      <c r="F677" s="2" t="s">
        <v>42</v>
      </c>
      <c r="G677" s="2" t="s">
        <v>1036</v>
      </c>
      <c r="H677" s="4">
        <v>-1355.6</v>
      </c>
      <c r="I677" s="4">
        <v>-1355.6</v>
      </c>
      <c r="J677" s="4">
        <v>-1355.6</v>
      </c>
      <c r="K677" s="4">
        <v>1355.6</v>
      </c>
      <c r="L677" s="4"/>
      <c r="M677" s="2" t="s">
        <v>1084</v>
      </c>
      <c r="N677" s="2" t="s">
        <v>10</v>
      </c>
      <c r="O677" s="2" t="s">
        <v>10</v>
      </c>
    </row>
    <row r="678" spans="1:15" x14ac:dyDescent="0.25">
      <c r="A678" s="2" t="s">
        <v>244</v>
      </c>
      <c r="B678" s="3">
        <v>45502</v>
      </c>
      <c r="C678" s="5">
        <v>45474</v>
      </c>
      <c r="D678" s="2" t="s">
        <v>13</v>
      </c>
      <c r="E678" s="2">
        <v>6400</v>
      </c>
      <c r="F678" s="2" t="s">
        <v>21</v>
      </c>
      <c r="G678" s="2" t="s">
        <v>1030</v>
      </c>
      <c r="H678" s="4">
        <v>-336.56</v>
      </c>
      <c r="I678" s="4">
        <v>-3365.6</v>
      </c>
      <c r="J678" s="4">
        <v>-336.56</v>
      </c>
      <c r="K678" s="4">
        <v>336.56</v>
      </c>
      <c r="L678" s="4">
        <v>3029.04</v>
      </c>
      <c r="M678" s="2" t="s">
        <v>1085</v>
      </c>
      <c r="N678" s="2" t="s">
        <v>123</v>
      </c>
      <c r="O678" s="2" t="s">
        <v>10</v>
      </c>
    </row>
    <row r="679" spans="1:15" hidden="1" x14ac:dyDescent="0.25">
      <c r="A679" s="2" t="s">
        <v>142</v>
      </c>
      <c r="B679" s="3">
        <v>45505</v>
      </c>
      <c r="C679" s="5">
        <v>45505</v>
      </c>
      <c r="D679" s="2" t="s">
        <v>35</v>
      </c>
      <c r="E679" s="2">
        <v>4000</v>
      </c>
      <c r="F679" s="2" t="s">
        <v>116</v>
      </c>
      <c r="G679" s="2" t="s">
        <v>1034</v>
      </c>
      <c r="H679" s="4">
        <v>18379.63</v>
      </c>
      <c r="I679" s="4">
        <v>18379.63</v>
      </c>
      <c r="J679" s="4">
        <v>18379.63</v>
      </c>
      <c r="K679" s="4">
        <v>18379.63</v>
      </c>
      <c r="L679" s="4"/>
      <c r="M679" s="2" t="s">
        <v>1084</v>
      </c>
      <c r="N679" s="2" t="s">
        <v>10</v>
      </c>
      <c r="O679" s="2" t="s">
        <v>10</v>
      </c>
    </row>
    <row r="680" spans="1:15" hidden="1" x14ac:dyDescent="0.25">
      <c r="A680" s="2" t="s">
        <v>457</v>
      </c>
      <c r="B680" s="3">
        <v>45433</v>
      </c>
      <c r="C680" s="5">
        <v>45413</v>
      </c>
      <c r="D680" s="2" t="s">
        <v>13</v>
      </c>
      <c r="E680" s="2">
        <v>6400</v>
      </c>
      <c r="F680" s="2" t="s">
        <v>15</v>
      </c>
      <c r="G680" s="2" t="s">
        <v>1044</v>
      </c>
      <c r="H680" s="4">
        <v>-1695.84</v>
      </c>
      <c r="I680" s="4">
        <v>-1695.84</v>
      </c>
      <c r="J680" s="4">
        <v>-1695.84</v>
      </c>
      <c r="K680" s="4">
        <v>1695.84</v>
      </c>
      <c r="L680" s="4"/>
      <c r="M680" s="2" t="s">
        <v>1084</v>
      </c>
      <c r="N680" s="2" t="s">
        <v>10</v>
      </c>
      <c r="O680" s="2" t="s">
        <v>10</v>
      </c>
    </row>
    <row r="681" spans="1:15" hidden="1" x14ac:dyDescent="0.25">
      <c r="A681" s="2" t="s">
        <v>163</v>
      </c>
      <c r="B681" s="3">
        <v>45338</v>
      </c>
      <c r="C681" s="5">
        <v>45323</v>
      </c>
      <c r="D681" s="2" t="s">
        <v>31</v>
      </c>
      <c r="E681" s="2">
        <v>4900</v>
      </c>
      <c r="F681" s="2" t="s">
        <v>146</v>
      </c>
      <c r="G681" s="2" t="s">
        <v>1031</v>
      </c>
      <c r="H681" s="4">
        <v>206.38</v>
      </c>
      <c r="I681" s="4">
        <v>206.38</v>
      </c>
      <c r="J681" s="4">
        <v>206.38</v>
      </c>
      <c r="K681" s="4">
        <v>206.38</v>
      </c>
      <c r="L681" s="4"/>
      <c r="M681" s="2" t="s">
        <v>1084</v>
      </c>
      <c r="N681" s="2" t="s">
        <v>10</v>
      </c>
      <c r="O681" s="2" t="s">
        <v>10</v>
      </c>
    </row>
    <row r="682" spans="1:15" hidden="1" x14ac:dyDescent="0.25">
      <c r="A682" s="2" t="s">
        <v>138</v>
      </c>
      <c r="B682" s="3">
        <v>45501</v>
      </c>
      <c r="C682" s="5">
        <v>45474</v>
      </c>
      <c r="D682" s="2" t="s">
        <v>39</v>
      </c>
      <c r="E682" s="2">
        <v>6500</v>
      </c>
      <c r="F682" s="2" t="s">
        <v>42</v>
      </c>
      <c r="G682" s="2" t="s">
        <v>1036</v>
      </c>
      <c r="H682" s="4">
        <v>-7760.25</v>
      </c>
      <c r="I682" s="4">
        <v>-7760.25</v>
      </c>
      <c r="J682" s="4">
        <v>-7760.25</v>
      </c>
      <c r="K682" s="4">
        <v>7760.25</v>
      </c>
      <c r="L682" s="4"/>
      <c r="M682" s="2" t="s">
        <v>1084</v>
      </c>
      <c r="N682" s="2" t="s">
        <v>10</v>
      </c>
      <c r="O682" s="2" t="s">
        <v>10</v>
      </c>
    </row>
    <row r="683" spans="1:15" hidden="1" x14ac:dyDescent="0.25">
      <c r="A683" s="2" t="s">
        <v>734</v>
      </c>
      <c r="B683" s="3">
        <v>45619</v>
      </c>
      <c r="C683" s="5">
        <v>45597</v>
      </c>
      <c r="D683" s="2" t="s">
        <v>18</v>
      </c>
      <c r="E683" s="2">
        <v>5100</v>
      </c>
      <c r="F683" s="2" t="s">
        <v>17</v>
      </c>
      <c r="G683" s="2" t="s">
        <v>1037</v>
      </c>
      <c r="H683" s="4">
        <v>-11050.24</v>
      </c>
      <c r="I683" s="4">
        <v>-11050.24</v>
      </c>
      <c r="J683" s="4">
        <v>-11050.24</v>
      </c>
      <c r="K683" s="4">
        <v>11050.24</v>
      </c>
      <c r="L683" s="4"/>
      <c r="M683" s="2" t="s">
        <v>1084</v>
      </c>
      <c r="N683" s="2" t="s">
        <v>10</v>
      </c>
      <c r="O683" s="2" t="s">
        <v>10</v>
      </c>
    </row>
    <row r="684" spans="1:15" hidden="1" x14ac:dyDescent="0.25">
      <c r="A684" s="2" t="s">
        <v>565</v>
      </c>
      <c r="B684" s="3">
        <v>45325</v>
      </c>
      <c r="C684" s="5">
        <v>45323</v>
      </c>
      <c r="D684" s="2" t="s">
        <v>31</v>
      </c>
      <c r="E684" s="2">
        <v>4900</v>
      </c>
      <c r="F684" s="2" t="s">
        <v>30</v>
      </c>
      <c r="G684" s="2" t="s">
        <v>1024</v>
      </c>
      <c r="H684" s="4">
        <v>74.05</v>
      </c>
      <c r="I684" s="4">
        <v>74.05</v>
      </c>
      <c r="J684" s="4">
        <v>74.05</v>
      </c>
      <c r="K684" s="4">
        <v>74.05</v>
      </c>
      <c r="L684" s="4"/>
      <c r="M684" s="2" t="s">
        <v>1084</v>
      </c>
      <c r="N684" s="2" t="s">
        <v>10</v>
      </c>
      <c r="O684" s="2" t="s">
        <v>10</v>
      </c>
    </row>
    <row r="685" spans="1:15" hidden="1" x14ac:dyDescent="0.25">
      <c r="A685" s="2" t="s">
        <v>166</v>
      </c>
      <c r="B685" s="3">
        <v>45613</v>
      </c>
      <c r="C685" s="5">
        <v>45597</v>
      </c>
      <c r="D685" s="2" t="s">
        <v>31</v>
      </c>
      <c r="E685" s="2">
        <v>4900</v>
      </c>
      <c r="F685" s="2" t="s">
        <v>79</v>
      </c>
      <c r="G685" s="2" t="s">
        <v>1026</v>
      </c>
      <c r="H685" s="4">
        <v>91.73</v>
      </c>
      <c r="I685" s="4">
        <v>91.73</v>
      </c>
      <c r="J685" s="4">
        <v>91.73</v>
      </c>
      <c r="K685" s="4">
        <v>91.73</v>
      </c>
      <c r="L685" s="4"/>
      <c r="M685" s="2" t="s">
        <v>1084</v>
      </c>
      <c r="N685" s="2" t="s">
        <v>10</v>
      </c>
      <c r="O685" s="2" t="s">
        <v>10</v>
      </c>
    </row>
    <row r="686" spans="1:15" hidden="1" x14ac:dyDescent="0.25">
      <c r="A686" s="2" t="s">
        <v>428</v>
      </c>
      <c r="B686" s="3">
        <v>45443</v>
      </c>
      <c r="C686" s="5">
        <v>45413</v>
      </c>
      <c r="D686" s="2" t="s">
        <v>18</v>
      </c>
      <c r="E686" s="2">
        <v>5100</v>
      </c>
      <c r="F686" s="2" t="s">
        <v>81</v>
      </c>
      <c r="G686" s="2" t="s">
        <v>1039</v>
      </c>
      <c r="H686" s="4">
        <v>-14150.01</v>
      </c>
      <c r="I686" s="4">
        <v>-14150.01</v>
      </c>
      <c r="J686" s="4">
        <v>-14150.01</v>
      </c>
      <c r="K686" s="4">
        <v>14150.01</v>
      </c>
      <c r="L686" s="4"/>
      <c r="M686" s="2" t="s">
        <v>1084</v>
      </c>
      <c r="N686" s="2" t="s">
        <v>10</v>
      </c>
      <c r="O686" s="2" t="s">
        <v>10</v>
      </c>
    </row>
    <row r="687" spans="1:15" hidden="1" x14ac:dyDescent="0.25">
      <c r="A687" s="2" t="s">
        <v>666</v>
      </c>
      <c r="B687" s="3">
        <v>45487</v>
      </c>
      <c r="C687" s="5">
        <v>45474</v>
      </c>
      <c r="D687" s="2" t="s">
        <v>28</v>
      </c>
      <c r="E687" s="2">
        <v>6900</v>
      </c>
      <c r="F687" s="2" t="s">
        <v>27</v>
      </c>
      <c r="G687" s="2" t="s">
        <v>1041</v>
      </c>
      <c r="H687" s="4">
        <v>-111.45</v>
      </c>
      <c r="I687" s="4">
        <v>-111.45</v>
      </c>
      <c r="J687" s="4">
        <v>-111.45</v>
      </c>
      <c r="K687" s="4">
        <v>111.45</v>
      </c>
      <c r="L687" s="4"/>
      <c r="M687" s="2" t="s">
        <v>1084</v>
      </c>
      <c r="N687" s="2" t="s">
        <v>10</v>
      </c>
      <c r="O687" s="2" t="s">
        <v>10</v>
      </c>
    </row>
    <row r="688" spans="1:15" hidden="1" x14ac:dyDescent="0.25">
      <c r="A688" s="2" t="s">
        <v>36</v>
      </c>
      <c r="B688" s="3">
        <v>45352</v>
      </c>
      <c r="C688" s="5">
        <v>45352</v>
      </c>
      <c r="D688" s="2" t="s">
        <v>24</v>
      </c>
      <c r="E688" s="2">
        <v>6300</v>
      </c>
      <c r="F688" s="2" t="s">
        <v>23</v>
      </c>
      <c r="G688" s="2" t="s">
        <v>1045</v>
      </c>
      <c r="H688" s="4">
        <v>-776.41</v>
      </c>
      <c r="I688" s="4">
        <v>-776.41</v>
      </c>
      <c r="J688" s="4">
        <v>-776.41</v>
      </c>
      <c r="K688" s="4">
        <v>776.41</v>
      </c>
      <c r="L688" s="4"/>
      <c r="M688" s="2" t="s">
        <v>1084</v>
      </c>
      <c r="N688" s="2" t="s">
        <v>10</v>
      </c>
      <c r="O688" s="2" t="s">
        <v>10</v>
      </c>
    </row>
    <row r="689" spans="1:15" hidden="1" x14ac:dyDescent="0.25">
      <c r="A689" s="2" t="s">
        <v>752</v>
      </c>
      <c r="B689" s="3">
        <v>45518</v>
      </c>
      <c r="C689" s="5">
        <v>45505</v>
      </c>
      <c r="D689" s="2" t="s">
        <v>13</v>
      </c>
      <c r="E689" s="2">
        <v>6400</v>
      </c>
      <c r="F689" s="2" t="s">
        <v>15</v>
      </c>
      <c r="G689" s="2" t="s">
        <v>1044</v>
      </c>
      <c r="H689" s="4">
        <v>-1373.45</v>
      </c>
      <c r="I689" s="4">
        <v>-1373.45</v>
      </c>
      <c r="J689" s="4">
        <v>-1373.45</v>
      </c>
      <c r="K689" s="4">
        <v>1373.45</v>
      </c>
      <c r="L689" s="4"/>
      <c r="M689" s="2" t="s">
        <v>1084</v>
      </c>
      <c r="N689" s="2" t="s">
        <v>10</v>
      </c>
      <c r="O689" s="2" t="s">
        <v>10</v>
      </c>
    </row>
    <row r="690" spans="1:15" hidden="1" x14ac:dyDescent="0.25">
      <c r="A690" s="2" t="s">
        <v>342</v>
      </c>
      <c r="B690" s="3">
        <v>45358</v>
      </c>
      <c r="C690" s="5">
        <v>45352</v>
      </c>
      <c r="D690" s="2" t="s">
        <v>24</v>
      </c>
      <c r="E690" s="2">
        <v>6300</v>
      </c>
      <c r="F690" s="2" t="s">
        <v>23</v>
      </c>
      <c r="G690" s="2" t="s">
        <v>1045</v>
      </c>
      <c r="H690" s="4">
        <v>-232.7</v>
      </c>
      <c r="I690" s="4">
        <v>-232.7</v>
      </c>
      <c r="J690" s="4">
        <v>-232.7</v>
      </c>
      <c r="K690" s="4">
        <v>232.7</v>
      </c>
      <c r="L690" s="4"/>
      <c r="M690" s="2" t="s">
        <v>1084</v>
      </c>
      <c r="N690" s="2" t="s">
        <v>10</v>
      </c>
      <c r="O690" s="2" t="s">
        <v>10</v>
      </c>
    </row>
    <row r="691" spans="1:15" hidden="1" x14ac:dyDescent="0.25">
      <c r="A691" s="2" t="s">
        <v>814</v>
      </c>
      <c r="B691" s="3">
        <v>45391</v>
      </c>
      <c r="C691" s="5">
        <v>45383</v>
      </c>
      <c r="D691" s="2" t="s">
        <v>39</v>
      </c>
      <c r="E691" s="2">
        <v>6500</v>
      </c>
      <c r="F691" s="2" t="s">
        <v>69</v>
      </c>
      <c r="G691" s="2" t="s">
        <v>1052</v>
      </c>
      <c r="H691" s="4">
        <v>-5006.49</v>
      </c>
      <c r="I691" s="4">
        <v>-5006.49</v>
      </c>
      <c r="J691" s="4">
        <v>-5006.49</v>
      </c>
      <c r="K691" s="4">
        <v>5006.49</v>
      </c>
      <c r="L691" s="4"/>
      <c r="M691" s="2" t="s">
        <v>1084</v>
      </c>
      <c r="N691" s="2" t="s">
        <v>10</v>
      </c>
      <c r="O691" s="2" t="s">
        <v>10</v>
      </c>
    </row>
    <row r="692" spans="1:15" hidden="1" x14ac:dyDescent="0.25">
      <c r="A692" s="2" t="s">
        <v>482</v>
      </c>
      <c r="B692" s="3">
        <v>45555</v>
      </c>
      <c r="C692" s="5">
        <v>45536</v>
      </c>
      <c r="D692" s="2" t="s">
        <v>31</v>
      </c>
      <c r="E692" s="2">
        <v>4900</v>
      </c>
      <c r="F692" s="2" t="s">
        <v>79</v>
      </c>
      <c r="G692" s="2" t="s">
        <v>1026</v>
      </c>
      <c r="H692" s="4">
        <v>106.87</v>
      </c>
      <c r="I692" s="4">
        <v>106.87</v>
      </c>
      <c r="J692" s="4">
        <v>106.87</v>
      </c>
      <c r="K692" s="4">
        <v>106.87</v>
      </c>
      <c r="L692" s="4"/>
      <c r="M692" s="2" t="s">
        <v>1084</v>
      </c>
      <c r="N692" s="2" t="s">
        <v>10</v>
      </c>
      <c r="O692" s="2" t="s">
        <v>10</v>
      </c>
    </row>
    <row r="693" spans="1:15" hidden="1" x14ac:dyDescent="0.25">
      <c r="A693" s="2" t="s">
        <v>429</v>
      </c>
      <c r="B693" s="3">
        <v>45310</v>
      </c>
      <c r="C693" s="5">
        <v>45292</v>
      </c>
      <c r="D693" s="2" t="s">
        <v>39</v>
      </c>
      <c r="E693" s="2">
        <v>6500</v>
      </c>
      <c r="F693" s="2" t="s">
        <v>69</v>
      </c>
      <c r="G693" s="2" t="s">
        <v>1052</v>
      </c>
      <c r="H693" s="4">
        <v>-5589.47</v>
      </c>
      <c r="I693" s="4">
        <v>-5589.47</v>
      </c>
      <c r="J693" s="4">
        <v>-5589.47</v>
      </c>
      <c r="K693" s="4">
        <v>5589.47</v>
      </c>
      <c r="L693" s="4"/>
      <c r="M693" s="2" t="s">
        <v>1084</v>
      </c>
      <c r="N693" s="2" t="s">
        <v>10</v>
      </c>
      <c r="O693" s="2" t="s">
        <v>10</v>
      </c>
    </row>
    <row r="694" spans="1:15" hidden="1" x14ac:dyDescent="0.25">
      <c r="A694" s="2" t="s">
        <v>78</v>
      </c>
      <c r="B694" s="3">
        <v>45455</v>
      </c>
      <c r="C694" s="5">
        <v>45444</v>
      </c>
      <c r="D694" s="2" t="s">
        <v>31</v>
      </c>
      <c r="E694" s="2">
        <v>4900</v>
      </c>
      <c r="F694" s="2" t="s">
        <v>79</v>
      </c>
      <c r="G694" s="2" t="s">
        <v>1026</v>
      </c>
      <c r="H694" s="4">
        <v>64.489999999999995</v>
      </c>
      <c r="I694" s="4">
        <v>64.489999999999995</v>
      </c>
      <c r="J694" s="4">
        <v>64.489999999999995</v>
      </c>
      <c r="K694" s="4">
        <v>64.489999999999995</v>
      </c>
      <c r="L694" s="4"/>
      <c r="M694" s="2" t="s">
        <v>1084</v>
      </c>
      <c r="N694" s="2" t="s">
        <v>10</v>
      </c>
      <c r="O694" s="2" t="s">
        <v>10</v>
      </c>
    </row>
    <row r="695" spans="1:15" hidden="1" x14ac:dyDescent="0.25">
      <c r="A695" s="2" t="s">
        <v>844</v>
      </c>
      <c r="B695" s="3">
        <v>45509</v>
      </c>
      <c r="C695" s="5">
        <v>45505</v>
      </c>
      <c r="D695" s="2" t="s">
        <v>31</v>
      </c>
      <c r="E695" s="2">
        <v>4900</v>
      </c>
      <c r="F695" s="2" t="s">
        <v>146</v>
      </c>
      <c r="G695" s="2" t="s">
        <v>1031</v>
      </c>
      <c r="H695" s="4">
        <v>39.92</v>
      </c>
      <c r="I695" s="4">
        <v>39.92</v>
      </c>
      <c r="J695" s="4">
        <v>39.92</v>
      </c>
      <c r="K695" s="4">
        <v>39.92</v>
      </c>
      <c r="L695" s="4"/>
      <c r="M695" s="2" t="s">
        <v>1084</v>
      </c>
      <c r="N695" s="2" t="s">
        <v>10</v>
      </c>
      <c r="O695" s="2" t="s">
        <v>10</v>
      </c>
    </row>
    <row r="696" spans="1:15" hidden="1" x14ac:dyDescent="0.25">
      <c r="A696" s="2" t="s">
        <v>861</v>
      </c>
      <c r="B696" s="3">
        <v>45340</v>
      </c>
      <c r="C696" s="5">
        <v>45323</v>
      </c>
      <c r="D696" s="2" t="s">
        <v>35</v>
      </c>
      <c r="E696" s="2">
        <v>4000</v>
      </c>
      <c r="F696" s="2" t="s">
        <v>116</v>
      </c>
      <c r="G696" s="2" t="s">
        <v>1034</v>
      </c>
      <c r="H696" s="4">
        <v>8823.5300000000007</v>
      </c>
      <c r="I696" s="4">
        <v>8823.5300000000007</v>
      </c>
      <c r="J696" s="4">
        <v>8823.5300000000007</v>
      </c>
      <c r="K696" s="4">
        <v>8823.5300000000007</v>
      </c>
      <c r="L696" s="4"/>
      <c r="M696" s="2" t="s">
        <v>1084</v>
      </c>
      <c r="N696" s="2" t="s">
        <v>10</v>
      </c>
      <c r="O696" s="2" t="s">
        <v>10</v>
      </c>
    </row>
    <row r="697" spans="1:15" hidden="1" x14ac:dyDescent="0.25">
      <c r="A697" s="2" t="s">
        <v>912</v>
      </c>
      <c r="B697" s="3">
        <v>45399</v>
      </c>
      <c r="C697" s="5">
        <v>45383</v>
      </c>
      <c r="D697" s="2" t="s">
        <v>52</v>
      </c>
      <c r="E697" s="2">
        <v>6000</v>
      </c>
      <c r="F697" s="2" t="s">
        <v>97</v>
      </c>
      <c r="G697" s="2" t="s">
        <v>1046</v>
      </c>
      <c r="H697" s="4">
        <v>-2248.0700000000002</v>
      </c>
      <c r="I697" s="4">
        <v>-2248.0700000000002</v>
      </c>
      <c r="J697" s="4">
        <v>-2248.0700000000002</v>
      </c>
      <c r="K697" s="4">
        <v>2248.0700000000002</v>
      </c>
      <c r="L697" s="4"/>
      <c r="M697" s="2" t="s">
        <v>1084</v>
      </c>
      <c r="N697" s="2" t="s">
        <v>10</v>
      </c>
      <c r="O697" s="2" t="s">
        <v>10</v>
      </c>
    </row>
    <row r="698" spans="1:15" hidden="1" x14ac:dyDescent="0.25">
      <c r="A698" s="2" t="s">
        <v>826</v>
      </c>
      <c r="B698" s="3">
        <v>45417</v>
      </c>
      <c r="C698" s="5">
        <v>45413</v>
      </c>
      <c r="D698" s="2" t="s">
        <v>39</v>
      </c>
      <c r="E698" s="2">
        <v>6500</v>
      </c>
      <c r="F698" s="2" t="s">
        <v>42</v>
      </c>
      <c r="G698" s="2" t="s">
        <v>1036</v>
      </c>
      <c r="H698" s="4">
        <v>-6067.1</v>
      </c>
      <c r="I698" s="4">
        <v>-6067.1</v>
      </c>
      <c r="J698" s="4">
        <v>-6067.1</v>
      </c>
      <c r="K698" s="4">
        <v>6067.1</v>
      </c>
      <c r="L698" s="4"/>
      <c r="M698" s="2" t="s">
        <v>1084</v>
      </c>
      <c r="N698" s="2" t="s">
        <v>10</v>
      </c>
      <c r="O698" s="2" t="s">
        <v>10</v>
      </c>
    </row>
    <row r="699" spans="1:15" hidden="1" x14ac:dyDescent="0.25">
      <c r="A699" s="2" t="s">
        <v>203</v>
      </c>
      <c r="B699" s="3">
        <v>45534</v>
      </c>
      <c r="C699" s="5">
        <v>45505</v>
      </c>
      <c r="D699" s="2" t="s">
        <v>13</v>
      </c>
      <c r="E699" s="2">
        <v>6400</v>
      </c>
      <c r="F699" s="2" t="s">
        <v>21</v>
      </c>
      <c r="G699" s="2" t="s">
        <v>1030</v>
      </c>
      <c r="H699" s="4">
        <v>-1055.1199999999999</v>
      </c>
      <c r="I699" s="4">
        <v>-1055.1199999999999</v>
      </c>
      <c r="J699" s="4">
        <v>-1055.1199999999999</v>
      </c>
      <c r="K699" s="4">
        <v>1055.1199999999999</v>
      </c>
      <c r="L699" s="4"/>
      <c r="M699" s="2" t="s">
        <v>1084</v>
      </c>
      <c r="N699" s="2" t="s">
        <v>10</v>
      </c>
      <c r="O699" s="2" t="s">
        <v>10</v>
      </c>
    </row>
    <row r="700" spans="1:15" hidden="1" x14ac:dyDescent="0.25">
      <c r="A700" s="2" t="s">
        <v>212</v>
      </c>
      <c r="B700" s="3">
        <v>45648</v>
      </c>
      <c r="C700" s="5">
        <v>45627</v>
      </c>
      <c r="D700" s="2" t="s">
        <v>35</v>
      </c>
      <c r="E700" s="2">
        <v>4000</v>
      </c>
      <c r="F700" s="2" t="s">
        <v>34</v>
      </c>
      <c r="G700" s="2" t="s">
        <v>1027</v>
      </c>
      <c r="H700" s="4">
        <v>21219.64</v>
      </c>
      <c r="I700" s="4">
        <v>21219.64</v>
      </c>
      <c r="J700" s="4">
        <v>21219.64</v>
      </c>
      <c r="K700" s="4">
        <v>21219.64</v>
      </c>
      <c r="L700" s="4"/>
      <c r="M700" s="2" t="s">
        <v>1084</v>
      </c>
      <c r="N700" s="2" t="s">
        <v>10</v>
      </c>
      <c r="O700" s="2" t="s">
        <v>10</v>
      </c>
    </row>
    <row r="701" spans="1:15" hidden="1" x14ac:dyDescent="0.25">
      <c r="A701" s="2" t="s">
        <v>716</v>
      </c>
      <c r="B701" s="3">
        <v>45597</v>
      </c>
      <c r="C701" s="5">
        <v>45597</v>
      </c>
      <c r="D701" s="2" t="s">
        <v>35</v>
      </c>
      <c r="E701" s="2">
        <v>4000</v>
      </c>
      <c r="F701" s="2" t="s">
        <v>34</v>
      </c>
      <c r="G701" s="2" t="s">
        <v>1027</v>
      </c>
      <c r="H701" s="4">
        <v>13241.76</v>
      </c>
      <c r="I701" s="4">
        <v>13241.76</v>
      </c>
      <c r="J701" s="4">
        <v>13241.76</v>
      </c>
      <c r="K701" s="4">
        <v>13241.76</v>
      </c>
      <c r="L701" s="4"/>
      <c r="M701" s="2" t="s">
        <v>1084</v>
      </c>
      <c r="N701" s="2" t="s">
        <v>10</v>
      </c>
      <c r="O701" s="2" t="s">
        <v>10</v>
      </c>
    </row>
    <row r="702" spans="1:15" hidden="1" x14ac:dyDescent="0.25">
      <c r="A702" s="2" t="s">
        <v>440</v>
      </c>
      <c r="B702" s="3">
        <v>45361</v>
      </c>
      <c r="C702" s="5">
        <v>45352</v>
      </c>
      <c r="D702" s="2" t="s">
        <v>13</v>
      </c>
      <c r="E702" s="2">
        <v>6400</v>
      </c>
      <c r="F702" s="2" t="s">
        <v>15</v>
      </c>
      <c r="G702" s="2" t="s">
        <v>1044</v>
      </c>
      <c r="H702" s="4">
        <v>-1606.65</v>
      </c>
      <c r="I702" s="4">
        <v>-1606.65</v>
      </c>
      <c r="J702" s="4">
        <v>-1606.65</v>
      </c>
      <c r="K702" s="4">
        <v>1606.65</v>
      </c>
      <c r="L702" s="4"/>
      <c r="M702" s="2" t="s">
        <v>1084</v>
      </c>
      <c r="N702" s="2" t="s">
        <v>10</v>
      </c>
      <c r="O702" s="2" t="s">
        <v>10</v>
      </c>
    </row>
    <row r="703" spans="1:15" hidden="1" x14ac:dyDescent="0.25">
      <c r="A703" s="2" t="s">
        <v>590</v>
      </c>
      <c r="B703" s="3">
        <v>45298</v>
      </c>
      <c r="C703" s="5">
        <v>45292</v>
      </c>
      <c r="D703" s="2" t="s">
        <v>9</v>
      </c>
      <c r="E703" s="2">
        <v>6100</v>
      </c>
      <c r="F703" s="2" t="s">
        <v>8</v>
      </c>
      <c r="G703" s="2" t="s">
        <v>1042</v>
      </c>
      <c r="H703" s="4">
        <v>-5755.47</v>
      </c>
      <c r="I703" s="4">
        <v>-5755.47</v>
      </c>
      <c r="J703" s="4">
        <v>-5755.47</v>
      </c>
      <c r="K703" s="4">
        <v>5755.47</v>
      </c>
      <c r="L703" s="4"/>
      <c r="M703" s="2" t="s">
        <v>1084</v>
      </c>
      <c r="N703" s="2" t="s">
        <v>10</v>
      </c>
      <c r="O703" s="2" t="s">
        <v>10</v>
      </c>
    </row>
    <row r="704" spans="1:15" hidden="1" x14ac:dyDescent="0.25">
      <c r="A704" s="2" t="s">
        <v>512</v>
      </c>
      <c r="B704" s="3">
        <v>45310</v>
      </c>
      <c r="C704" s="5">
        <v>45292</v>
      </c>
      <c r="D704" s="2" t="s">
        <v>18</v>
      </c>
      <c r="E704" s="2">
        <v>5100</v>
      </c>
      <c r="F704" s="2" t="s">
        <v>17</v>
      </c>
      <c r="G704" s="2" t="s">
        <v>1037</v>
      </c>
      <c r="H704" s="4">
        <v>-1915.3</v>
      </c>
      <c r="I704" s="4">
        <v>-1915.3</v>
      </c>
      <c r="J704" s="4">
        <v>-1915.3</v>
      </c>
      <c r="K704" s="4">
        <v>1915.3</v>
      </c>
      <c r="L704" s="4"/>
      <c r="M704" s="2" t="s">
        <v>1084</v>
      </c>
      <c r="N704" s="2" t="s">
        <v>10</v>
      </c>
      <c r="O704" s="2" t="s">
        <v>10</v>
      </c>
    </row>
    <row r="705" spans="1:15" hidden="1" x14ac:dyDescent="0.25">
      <c r="A705" s="2" t="s">
        <v>169</v>
      </c>
      <c r="B705" s="3">
        <v>45509</v>
      </c>
      <c r="C705" s="5">
        <v>45505</v>
      </c>
      <c r="D705" s="2" t="s">
        <v>18</v>
      </c>
      <c r="E705" s="2">
        <v>5100</v>
      </c>
      <c r="F705" s="2" t="s">
        <v>56</v>
      </c>
      <c r="G705" s="2" t="s">
        <v>1025</v>
      </c>
      <c r="H705" s="4">
        <v>-13299.38</v>
      </c>
      <c r="I705" s="4">
        <v>-13299.38</v>
      </c>
      <c r="J705" s="4">
        <v>-13299.38</v>
      </c>
      <c r="K705" s="4">
        <v>13299.38</v>
      </c>
      <c r="L705" s="4"/>
      <c r="M705" s="2" t="s">
        <v>1084</v>
      </c>
      <c r="N705" s="2" t="s">
        <v>10</v>
      </c>
      <c r="O705" s="2" t="s">
        <v>10</v>
      </c>
    </row>
    <row r="706" spans="1:15" hidden="1" x14ac:dyDescent="0.25">
      <c r="A706" s="2" t="s">
        <v>246</v>
      </c>
      <c r="B706" s="3">
        <v>45349</v>
      </c>
      <c r="C706" s="5">
        <v>45323</v>
      </c>
      <c r="D706" s="2" t="s">
        <v>18</v>
      </c>
      <c r="E706" s="2">
        <v>5100</v>
      </c>
      <c r="F706" s="2" t="s">
        <v>81</v>
      </c>
      <c r="G706" s="2" t="s">
        <v>1039</v>
      </c>
      <c r="H706" s="4">
        <v>-2296.2600000000002</v>
      </c>
      <c r="I706" s="4">
        <v>-2296.2600000000002</v>
      </c>
      <c r="J706" s="4">
        <v>-2296.2600000000002</v>
      </c>
      <c r="K706" s="4">
        <v>2296.2600000000002</v>
      </c>
      <c r="L706" s="4"/>
      <c r="M706" s="2" t="s">
        <v>1084</v>
      </c>
      <c r="N706" s="2" t="s">
        <v>10</v>
      </c>
      <c r="O706" s="2" t="s">
        <v>10</v>
      </c>
    </row>
    <row r="707" spans="1:15" hidden="1" x14ac:dyDescent="0.25">
      <c r="A707" s="2" t="s">
        <v>449</v>
      </c>
      <c r="B707" s="3">
        <v>45376</v>
      </c>
      <c r="C707" s="5">
        <v>45352</v>
      </c>
      <c r="D707" s="2" t="s">
        <v>13</v>
      </c>
      <c r="E707" s="2">
        <v>6400</v>
      </c>
      <c r="F707" s="2" t="s">
        <v>21</v>
      </c>
      <c r="G707" s="2" t="s">
        <v>1030</v>
      </c>
      <c r="H707" s="4">
        <v>-602.20000000000005</v>
      </c>
      <c r="I707" s="4">
        <v>-602.20000000000005</v>
      </c>
      <c r="J707" s="4">
        <v>-602.20000000000005</v>
      </c>
      <c r="K707" s="4">
        <v>602.20000000000005</v>
      </c>
      <c r="L707" s="4"/>
      <c r="M707" s="2" t="s">
        <v>1084</v>
      </c>
      <c r="N707" s="2" t="s">
        <v>10</v>
      </c>
      <c r="O707" s="2" t="s">
        <v>10</v>
      </c>
    </row>
    <row r="708" spans="1:15" hidden="1" x14ac:dyDescent="0.25">
      <c r="A708" s="2" t="s">
        <v>857</v>
      </c>
      <c r="B708" s="3">
        <v>45601</v>
      </c>
      <c r="C708" s="5">
        <v>45597</v>
      </c>
      <c r="D708" s="2" t="s">
        <v>35</v>
      </c>
      <c r="E708" s="2">
        <v>4000</v>
      </c>
      <c r="F708" s="2" t="s">
        <v>103</v>
      </c>
      <c r="G708" s="2" t="s">
        <v>1049</v>
      </c>
      <c r="H708" s="4">
        <v>1660.63</v>
      </c>
      <c r="I708" s="4">
        <v>1660.63</v>
      </c>
      <c r="J708" s="4">
        <v>1660.63</v>
      </c>
      <c r="K708" s="4">
        <v>1660.63</v>
      </c>
      <c r="L708" s="4"/>
      <c r="M708" s="2" t="s">
        <v>1084</v>
      </c>
      <c r="N708" s="2" t="s">
        <v>10</v>
      </c>
      <c r="O708" s="2" t="s">
        <v>10</v>
      </c>
    </row>
    <row r="709" spans="1:15" hidden="1" x14ac:dyDescent="0.25">
      <c r="A709" s="2" t="s">
        <v>937</v>
      </c>
      <c r="B709" s="3">
        <v>45610</v>
      </c>
      <c r="C709" s="5">
        <v>45597</v>
      </c>
      <c r="D709" s="2" t="s">
        <v>13</v>
      </c>
      <c r="E709" s="2">
        <v>6400</v>
      </c>
      <c r="F709" s="2" t="s">
        <v>12</v>
      </c>
      <c r="G709" s="2" t="s">
        <v>1032</v>
      </c>
      <c r="H709" s="4">
        <v>-1060.1500000000001</v>
      </c>
      <c r="I709" s="4">
        <v>-1060.1500000000001</v>
      </c>
      <c r="J709" s="4">
        <v>-1060.1500000000001</v>
      </c>
      <c r="K709" s="4">
        <v>1060.1500000000001</v>
      </c>
      <c r="L709" s="4"/>
      <c r="M709" s="2" t="s">
        <v>1084</v>
      </c>
      <c r="N709" s="2" t="s">
        <v>10</v>
      </c>
      <c r="O709" s="2" t="s">
        <v>10</v>
      </c>
    </row>
    <row r="710" spans="1:15" hidden="1" x14ac:dyDescent="0.25">
      <c r="A710" s="2" t="s">
        <v>379</v>
      </c>
      <c r="B710" s="3">
        <v>45598</v>
      </c>
      <c r="C710" s="5">
        <v>45597</v>
      </c>
      <c r="D710" s="2" t="s">
        <v>24</v>
      </c>
      <c r="E710" s="2">
        <v>6300</v>
      </c>
      <c r="F710" s="2" t="s">
        <v>127</v>
      </c>
      <c r="G710" s="2" t="s">
        <v>1035</v>
      </c>
      <c r="H710" s="4">
        <v>-408.15</v>
      </c>
      <c r="I710" s="4">
        <v>-408.15</v>
      </c>
      <c r="J710" s="4">
        <v>-408.15</v>
      </c>
      <c r="K710" s="4">
        <v>408.15</v>
      </c>
      <c r="L710" s="4"/>
      <c r="M710" s="2" t="s">
        <v>1084</v>
      </c>
      <c r="N710" s="2" t="s">
        <v>10</v>
      </c>
      <c r="O710" s="2" t="s">
        <v>10</v>
      </c>
    </row>
    <row r="711" spans="1:15" hidden="1" x14ac:dyDescent="0.25">
      <c r="A711" s="2" t="s">
        <v>673</v>
      </c>
      <c r="B711" s="3">
        <v>45384</v>
      </c>
      <c r="C711" s="5">
        <v>45383</v>
      </c>
      <c r="D711" s="2" t="s">
        <v>24</v>
      </c>
      <c r="E711" s="2">
        <v>6300</v>
      </c>
      <c r="F711" s="2" t="s">
        <v>23</v>
      </c>
      <c r="G711" s="2" t="s">
        <v>1045</v>
      </c>
      <c r="H711" s="4">
        <v>-384.63</v>
      </c>
      <c r="I711" s="4">
        <v>-384.63</v>
      </c>
      <c r="J711" s="4">
        <v>-384.63</v>
      </c>
      <c r="K711" s="4">
        <v>384.63</v>
      </c>
      <c r="L711" s="4"/>
      <c r="M711" s="2" t="s">
        <v>1084</v>
      </c>
      <c r="N711" s="2" t="s">
        <v>10</v>
      </c>
      <c r="O711" s="2" t="s">
        <v>10</v>
      </c>
    </row>
    <row r="712" spans="1:15" hidden="1" x14ac:dyDescent="0.25">
      <c r="A712" s="2" t="s">
        <v>444</v>
      </c>
      <c r="B712" s="3">
        <v>45518</v>
      </c>
      <c r="C712" s="5">
        <v>45505</v>
      </c>
      <c r="D712" s="2" t="s">
        <v>9</v>
      </c>
      <c r="E712" s="2">
        <v>6100</v>
      </c>
      <c r="F712" s="2" t="s">
        <v>48</v>
      </c>
      <c r="G712" s="2" t="s">
        <v>1043</v>
      </c>
      <c r="H712" s="4">
        <v>-2254.11</v>
      </c>
      <c r="I712" s="4">
        <v>-2254.11</v>
      </c>
      <c r="J712" s="4">
        <v>-2254.11</v>
      </c>
      <c r="K712" s="4">
        <v>2254.11</v>
      </c>
      <c r="L712" s="4"/>
      <c r="M712" s="2" t="s">
        <v>1084</v>
      </c>
      <c r="N712" s="2" t="s">
        <v>10</v>
      </c>
      <c r="O712" s="2" t="s">
        <v>10</v>
      </c>
    </row>
    <row r="713" spans="1:15" hidden="1" x14ac:dyDescent="0.25">
      <c r="A713" s="2" t="s">
        <v>528</v>
      </c>
      <c r="B713" s="3">
        <v>45514</v>
      </c>
      <c r="C713" s="5">
        <v>45505</v>
      </c>
      <c r="D713" s="2" t="s">
        <v>13</v>
      </c>
      <c r="E713" s="2">
        <v>6400</v>
      </c>
      <c r="F713" s="2" t="s">
        <v>21</v>
      </c>
      <c r="G713" s="2" t="s">
        <v>1030</v>
      </c>
      <c r="H713" s="4">
        <v>-189.59</v>
      </c>
      <c r="I713" s="4">
        <v>-189.59</v>
      </c>
      <c r="J713" s="4">
        <v>-189.59</v>
      </c>
      <c r="K713" s="4">
        <v>189.59</v>
      </c>
      <c r="L713" s="4"/>
      <c r="M713" s="2" t="s">
        <v>1084</v>
      </c>
      <c r="N713" s="2" t="s">
        <v>10</v>
      </c>
      <c r="O713" s="2" t="s">
        <v>10</v>
      </c>
    </row>
    <row r="714" spans="1:15" hidden="1" x14ac:dyDescent="0.25">
      <c r="A714" s="2" t="s">
        <v>895</v>
      </c>
      <c r="B714" s="3">
        <v>45359</v>
      </c>
      <c r="C714" s="5">
        <v>45352</v>
      </c>
      <c r="D714" s="2" t="s">
        <v>39</v>
      </c>
      <c r="E714" s="2">
        <v>6500</v>
      </c>
      <c r="F714" s="2" t="s">
        <v>69</v>
      </c>
      <c r="G714" s="2" t="s">
        <v>1052</v>
      </c>
      <c r="H714" s="4">
        <v>-3083.69</v>
      </c>
      <c r="I714" s="4">
        <v>-3083.69</v>
      </c>
      <c r="J714" s="4">
        <v>-3083.69</v>
      </c>
      <c r="K714" s="4">
        <v>3083.69</v>
      </c>
      <c r="L714" s="4"/>
      <c r="M714" s="2" t="s">
        <v>1084</v>
      </c>
      <c r="N714" s="2" t="s">
        <v>10</v>
      </c>
      <c r="O714" s="2" t="s">
        <v>10</v>
      </c>
    </row>
    <row r="715" spans="1:15" hidden="1" x14ac:dyDescent="0.25">
      <c r="A715" s="2" t="s">
        <v>419</v>
      </c>
      <c r="B715" s="3">
        <v>45494</v>
      </c>
      <c r="C715" s="5">
        <v>45474</v>
      </c>
      <c r="D715" s="2" t="s">
        <v>39</v>
      </c>
      <c r="E715" s="2">
        <v>6500</v>
      </c>
      <c r="F715" s="2" t="s">
        <v>42</v>
      </c>
      <c r="G715" s="2" t="s">
        <v>1036</v>
      </c>
      <c r="H715" s="4">
        <v>-5262.98</v>
      </c>
      <c r="I715" s="4">
        <v>-5262.98</v>
      </c>
      <c r="J715" s="4">
        <v>-5262.98</v>
      </c>
      <c r="K715" s="4">
        <v>5262.98</v>
      </c>
      <c r="L715" s="4"/>
      <c r="M715" s="2" t="s">
        <v>1084</v>
      </c>
      <c r="N715" s="2" t="s">
        <v>10</v>
      </c>
      <c r="O715" s="2" t="s">
        <v>10</v>
      </c>
    </row>
    <row r="716" spans="1:15" hidden="1" x14ac:dyDescent="0.25">
      <c r="A716" s="2" t="s">
        <v>877</v>
      </c>
      <c r="B716" s="3">
        <v>45483</v>
      </c>
      <c r="C716" s="5">
        <v>45474</v>
      </c>
      <c r="D716" s="2" t="s">
        <v>31</v>
      </c>
      <c r="E716" s="2">
        <v>4900</v>
      </c>
      <c r="F716" s="2" t="s">
        <v>146</v>
      </c>
      <c r="G716" s="2" t="s">
        <v>1031</v>
      </c>
      <c r="H716" s="4">
        <v>10.44</v>
      </c>
      <c r="I716" s="4">
        <v>10.44</v>
      </c>
      <c r="J716" s="4">
        <v>10.44</v>
      </c>
      <c r="K716" s="4">
        <v>10.44</v>
      </c>
      <c r="L716" s="4"/>
      <c r="M716" s="2" t="s">
        <v>1084</v>
      </c>
      <c r="N716" s="2" t="s">
        <v>10</v>
      </c>
      <c r="O716" s="2" t="s">
        <v>10</v>
      </c>
    </row>
    <row r="717" spans="1:15" hidden="1" x14ac:dyDescent="0.25">
      <c r="A717" s="2" t="s">
        <v>1017</v>
      </c>
      <c r="B717" s="3">
        <v>45436</v>
      </c>
      <c r="C717" s="5">
        <v>45413</v>
      </c>
      <c r="D717" s="2" t="s">
        <v>39</v>
      </c>
      <c r="E717" s="2">
        <v>6500</v>
      </c>
      <c r="F717" s="2" t="s">
        <v>38</v>
      </c>
      <c r="G717" s="2" t="s">
        <v>1029</v>
      </c>
      <c r="H717" s="4">
        <v>-2099.11</v>
      </c>
      <c r="I717" s="4">
        <v>-2099.11</v>
      </c>
      <c r="J717" s="4">
        <v>-2099.11</v>
      </c>
      <c r="K717" s="4">
        <v>2099.11</v>
      </c>
      <c r="L717" s="4"/>
      <c r="M717" s="2" t="s">
        <v>1084</v>
      </c>
      <c r="N717" s="2" t="s">
        <v>10</v>
      </c>
      <c r="O717" s="2" t="s">
        <v>10</v>
      </c>
    </row>
    <row r="718" spans="1:15" hidden="1" x14ac:dyDescent="0.25">
      <c r="A718" s="2" t="s">
        <v>304</v>
      </c>
      <c r="B718" s="3">
        <v>45566</v>
      </c>
      <c r="C718" s="5">
        <v>45566</v>
      </c>
      <c r="D718" s="2" t="s">
        <v>13</v>
      </c>
      <c r="E718" s="2">
        <v>6400</v>
      </c>
      <c r="F718" s="2" t="s">
        <v>21</v>
      </c>
      <c r="G718" s="2" t="s">
        <v>1030</v>
      </c>
      <c r="H718" s="4">
        <v>-1427.73</v>
      </c>
      <c r="I718" s="4">
        <v>-1427.73</v>
      </c>
      <c r="J718" s="4">
        <v>-1427.73</v>
      </c>
      <c r="K718" s="4">
        <v>1427.73</v>
      </c>
      <c r="L718" s="4"/>
      <c r="M718" s="2" t="s">
        <v>1084</v>
      </c>
      <c r="N718" s="2" t="s">
        <v>10</v>
      </c>
      <c r="O718" s="2" t="s">
        <v>10</v>
      </c>
    </row>
    <row r="719" spans="1:15" hidden="1" x14ac:dyDescent="0.25">
      <c r="A719" s="2" t="s">
        <v>827</v>
      </c>
      <c r="B719" s="3">
        <v>45539</v>
      </c>
      <c r="C719" s="5">
        <v>45536</v>
      </c>
      <c r="D719" s="2" t="s">
        <v>24</v>
      </c>
      <c r="E719" s="2">
        <v>6300</v>
      </c>
      <c r="F719" s="2" t="s">
        <v>127</v>
      </c>
      <c r="G719" s="2" t="s">
        <v>1035</v>
      </c>
      <c r="H719" s="4">
        <v>-733.07</v>
      </c>
      <c r="I719" s="4">
        <v>-733.07</v>
      </c>
      <c r="J719" s="4">
        <v>-733.07</v>
      </c>
      <c r="K719" s="4">
        <v>733.07</v>
      </c>
      <c r="L719" s="4"/>
      <c r="M719" s="2" t="s">
        <v>1084</v>
      </c>
      <c r="N719" s="2" t="s">
        <v>10</v>
      </c>
      <c r="O719" s="2" t="s">
        <v>10</v>
      </c>
    </row>
    <row r="720" spans="1:15" hidden="1" x14ac:dyDescent="0.25">
      <c r="A720" s="2" t="s">
        <v>175</v>
      </c>
      <c r="B720" s="3">
        <v>45486</v>
      </c>
      <c r="C720" s="5">
        <v>45474</v>
      </c>
      <c r="D720" s="2" t="s">
        <v>52</v>
      </c>
      <c r="E720" s="2">
        <v>6000</v>
      </c>
      <c r="F720" s="2" t="s">
        <v>63</v>
      </c>
      <c r="G720" s="2" t="s">
        <v>1051</v>
      </c>
      <c r="H720" s="4">
        <v>-7069.63</v>
      </c>
      <c r="I720" s="4">
        <v>-7069.63</v>
      </c>
      <c r="J720" s="4">
        <v>-7069.63</v>
      </c>
      <c r="K720" s="4">
        <v>7069.63</v>
      </c>
      <c r="L720" s="4"/>
      <c r="M720" s="2" t="s">
        <v>1084</v>
      </c>
      <c r="N720" s="2" t="s">
        <v>10</v>
      </c>
      <c r="O720" s="2" t="s">
        <v>10</v>
      </c>
    </row>
    <row r="721" spans="1:15" hidden="1" x14ac:dyDescent="0.25">
      <c r="A721" s="2" t="s">
        <v>458</v>
      </c>
      <c r="B721" s="3">
        <v>45556</v>
      </c>
      <c r="C721" s="5">
        <v>45536</v>
      </c>
      <c r="D721" s="2" t="s">
        <v>13</v>
      </c>
      <c r="E721" s="2">
        <v>6400</v>
      </c>
      <c r="F721" s="2" t="s">
        <v>21</v>
      </c>
      <c r="G721" s="2" t="s">
        <v>1030</v>
      </c>
      <c r="H721" s="4">
        <v>-2109.8200000000002</v>
      </c>
      <c r="I721" s="4">
        <v>-2109.8200000000002</v>
      </c>
      <c r="J721" s="4">
        <v>-2109.8200000000002</v>
      </c>
      <c r="K721" s="4">
        <v>2109.8200000000002</v>
      </c>
      <c r="L721" s="4"/>
      <c r="M721" s="2" t="s">
        <v>1084</v>
      </c>
      <c r="N721" s="2" t="s">
        <v>10</v>
      </c>
      <c r="O721" s="2" t="s">
        <v>10</v>
      </c>
    </row>
    <row r="722" spans="1:15" hidden="1" x14ac:dyDescent="0.25">
      <c r="A722" s="2" t="s">
        <v>489</v>
      </c>
      <c r="B722" s="3">
        <v>45570</v>
      </c>
      <c r="C722" s="5">
        <v>45566</v>
      </c>
      <c r="D722" s="2" t="s">
        <v>18</v>
      </c>
      <c r="E722" s="2">
        <v>5100</v>
      </c>
      <c r="F722" s="2" t="s">
        <v>17</v>
      </c>
      <c r="G722" s="2" t="s">
        <v>1037</v>
      </c>
      <c r="H722" s="4">
        <v>-7823.97</v>
      </c>
      <c r="I722" s="4">
        <v>-7823.97</v>
      </c>
      <c r="J722" s="4">
        <v>-7823.97</v>
      </c>
      <c r="K722" s="4">
        <v>7823.97</v>
      </c>
      <c r="L722" s="4"/>
      <c r="M722" s="2" t="s">
        <v>1084</v>
      </c>
      <c r="N722" s="2" t="s">
        <v>10</v>
      </c>
      <c r="O722" s="2" t="s">
        <v>10</v>
      </c>
    </row>
    <row r="723" spans="1:15" hidden="1" x14ac:dyDescent="0.25">
      <c r="A723" s="2" t="s">
        <v>346</v>
      </c>
      <c r="B723" s="3">
        <v>45498</v>
      </c>
      <c r="C723" s="5">
        <v>45474</v>
      </c>
      <c r="D723" s="2" t="s">
        <v>31</v>
      </c>
      <c r="E723" s="2">
        <v>4900</v>
      </c>
      <c r="F723" s="2" t="s">
        <v>30</v>
      </c>
      <c r="G723" s="2" t="s">
        <v>1024</v>
      </c>
      <c r="H723" s="4">
        <v>141.21</v>
      </c>
      <c r="I723" s="4">
        <v>141.21</v>
      </c>
      <c r="J723" s="4">
        <v>141.21</v>
      </c>
      <c r="K723" s="4">
        <v>141.21</v>
      </c>
      <c r="L723" s="4"/>
      <c r="M723" s="2" t="s">
        <v>1084</v>
      </c>
      <c r="N723" s="2" t="s">
        <v>10</v>
      </c>
      <c r="O723" s="2" t="s">
        <v>10</v>
      </c>
    </row>
    <row r="724" spans="1:15" hidden="1" x14ac:dyDescent="0.25">
      <c r="A724" s="2" t="s">
        <v>764</v>
      </c>
      <c r="B724" s="3">
        <v>45389</v>
      </c>
      <c r="C724" s="5">
        <v>45383</v>
      </c>
      <c r="D724" s="2" t="s">
        <v>28</v>
      </c>
      <c r="E724" s="2">
        <v>6900</v>
      </c>
      <c r="F724" s="2" t="s">
        <v>195</v>
      </c>
      <c r="G724" s="2" t="s">
        <v>1048</v>
      </c>
      <c r="H724" s="4">
        <v>-19.54</v>
      </c>
      <c r="I724" s="4">
        <v>-19.54</v>
      </c>
      <c r="J724" s="4">
        <v>-19.54</v>
      </c>
      <c r="K724" s="4">
        <v>19.54</v>
      </c>
      <c r="L724" s="4"/>
      <c r="M724" s="2" t="s">
        <v>1084</v>
      </c>
      <c r="N724" s="2" t="s">
        <v>10</v>
      </c>
      <c r="O724" s="2" t="s">
        <v>123</v>
      </c>
    </row>
    <row r="725" spans="1:15" hidden="1" x14ac:dyDescent="0.25">
      <c r="A725" s="2" t="s">
        <v>697</v>
      </c>
      <c r="B725" s="3">
        <v>45568</v>
      </c>
      <c r="C725" s="5">
        <v>45566</v>
      </c>
      <c r="D725" s="2" t="s">
        <v>18</v>
      </c>
      <c r="E725" s="2">
        <v>5100</v>
      </c>
      <c r="F725" s="2" t="s">
        <v>56</v>
      </c>
      <c r="G725" s="2" t="s">
        <v>1025</v>
      </c>
      <c r="H725" s="4">
        <v>-11785.74</v>
      </c>
      <c r="I725" s="4">
        <v>-11785.74</v>
      </c>
      <c r="J725" s="4">
        <v>-11785.74</v>
      </c>
      <c r="K725" s="4">
        <v>11785.74</v>
      </c>
      <c r="L725" s="4"/>
      <c r="M725" s="2" t="s">
        <v>1084</v>
      </c>
      <c r="N725" s="2" t="s">
        <v>10</v>
      </c>
      <c r="O725" s="2" t="s">
        <v>10</v>
      </c>
    </row>
    <row r="726" spans="1:15" hidden="1" x14ac:dyDescent="0.25">
      <c r="A726" s="2" t="s">
        <v>746</v>
      </c>
      <c r="B726" s="3">
        <v>45553</v>
      </c>
      <c r="C726" s="5">
        <v>45536</v>
      </c>
      <c r="D726" s="2" t="s">
        <v>39</v>
      </c>
      <c r="E726" s="2">
        <v>6500</v>
      </c>
      <c r="F726" s="2" t="s">
        <v>69</v>
      </c>
      <c r="G726" s="2" t="s">
        <v>1052</v>
      </c>
      <c r="H726" s="4">
        <v>-324.81</v>
      </c>
      <c r="I726" s="4">
        <v>-324.81</v>
      </c>
      <c r="J726" s="4">
        <v>-324.81</v>
      </c>
      <c r="K726" s="4">
        <v>324.81</v>
      </c>
      <c r="L726" s="4"/>
      <c r="M726" s="2" t="s">
        <v>1084</v>
      </c>
      <c r="N726" s="2" t="s">
        <v>10</v>
      </c>
      <c r="O726" s="2" t="s">
        <v>10</v>
      </c>
    </row>
    <row r="727" spans="1:15" hidden="1" x14ac:dyDescent="0.25">
      <c r="A727" s="2" t="s">
        <v>456</v>
      </c>
      <c r="B727" s="3">
        <v>45650</v>
      </c>
      <c r="C727" s="5">
        <v>45627</v>
      </c>
      <c r="D727" s="2" t="s">
        <v>18</v>
      </c>
      <c r="E727" s="2">
        <v>5100</v>
      </c>
      <c r="F727" s="2" t="s">
        <v>81</v>
      </c>
      <c r="G727" s="2" t="s">
        <v>1039</v>
      </c>
      <c r="H727" s="4">
        <v>-9100.32</v>
      </c>
      <c r="I727" s="4">
        <v>-9100.32</v>
      </c>
      <c r="J727" s="4">
        <v>-9100.32</v>
      </c>
      <c r="K727" s="4">
        <v>9100.32</v>
      </c>
      <c r="L727" s="4"/>
      <c r="M727" s="2" t="s">
        <v>1084</v>
      </c>
      <c r="N727" s="2" t="s">
        <v>10</v>
      </c>
      <c r="O727" s="2" t="s">
        <v>10</v>
      </c>
    </row>
    <row r="728" spans="1:15" hidden="1" x14ac:dyDescent="0.25">
      <c r="A728" s="2" t="s">
        <v>119</v>
      </c>
      <c r="B728" s="3">
        <v>45346</v>
      </c>
      <c r="C728" s="5">
        <v>45323</v>
      </c>
      <c r="D728" s="2" t="s">
        <v>39</v>
      </c>
      <c r="E728" s="2">
        <v>6500</v>
      </c>
      <c r="F728" s="2" t="s">
        <v>38</v>
      </c>
      <c r="G728" s="2" t="s">
        <v>1029</v>
      </c>
      <c r="H728" s="4">
        <v>-2385.7399999999998</v>
      </c>
      <c r="I728" s="4">
        <v>-2385.7399999999998</v>
      </c>
      <c r="J728" s="4">
        <v>-2385.7399999999998</v>
      </c>
      <c r="K728" s="4">
        <v>2385.7399999999998</v>
      </c>
      <c r="L728" s="4"/>
      <c r="M728" s="2" t="s">
        <v>1084</v>
      </c>
      <c r="N728" s="2" t="s">
        <v>10</v>
      </c>
      <c r="O728" s="2" t="s">
        <v>10</v>
      </c>
    </row>
    <row r="729" spans="1:15" hidden="1" x14ac:dyDescent="0.25">
      <c r="A729" s="2" t="s">
        <v>375</v>
      </c>
      <c r="B729" s="3">
        <v>45445</v>
      </c>
      <c r="C729" s="5">
        <v>45444</v>
      </c>
      <c r="D729" s="2" t="s">
        <v>35</v>
      </c>
      <c r="E729" s="2">
        <v>4000</v>
      </c>
      <c r="F729" s="2" t="s">
        <v>116</v>
      </c>
      <c r="G729" s="2" t="s">
        <v>1034</v>
      </c>
      <c r="H729" s="4">
        <v>19795.11</v>
      </c>
      <c r="I729" s="4">
        <v>19795.11</v>
      </c>
      <c r="J729" s="4">
        <v>19795.11</v>
      </c>
      <c r="K729" s="4">
        <v>19795.11</v>
      </c>
      <c r="L729" s="4"/>
      <c r="M729" s="2" t="s">
        <v>1084</v>
      </c>
      <c r="N729" s="2" t="s">
        <v>10</v>
      </c>
      <c r="O729" s="2" t="s">
        <v>10</v>
      </c>
    </row>
    <row r="730" spans="1:15" hidden="1" x14ac:dyDescent="0.25">
      <c r="A730" s="2" t="s">
        <v>974</v>
      </c>
      <c r="B730" s="3">
        <v>45629</v>
      </c>
      <c r="C730" s="5">
        <v>45627</v>
      </c>
      <c r="D730" s="2" t="s">
        <v>24</v>
      </c>
      <c r="E730" s="2">
        <v>6300</v>
      </c>
      <c r="F730" s="2" t="s">
        <v>127</v>
      </c>
      <c r="G730" s="2" t="s">
        <v>1035</v>
      </c>
      <c r="H730" s="4">
        <v>-837.66</v>
      </c>
      <c r="I730" s="4">
        <v>-837.66</v>
      </c>
      <c r="J730" s="4">
        <v>-837.66</v>
      </c>
      <c r="K730" s="4">
        <v>837.66</v>
      </c>
      <c r="L730" s="4"/>
      <c r="M730" s="2" t="s">
        <v>1084</v>
      </c>
      <c r="N730" s="2" t="s">
        <v>10</v>
      </c>
      <c r="O730" s="2" t="s">
        <v>10</v>
      </c>
    </row>
    <row r="731" spans="1:15" hidden="1" x14ac:dyDescent="0.25">
      <c r="A731" s="2" t="s">
        <v>838</v>
      </c>
      <c r="B731" s="3">
        <v>45479</v>
      </c>
      <c r="C731" s="5">
        <v>45474</v>
      </c>
      <c r="D731" s="2" t="s">
        <v>9</v>
      </c>
      <c r="E731" s="2">
        <v>6100</v>
      </c>
      <c r="F731" s="2" t="s">
        <v>48</v>
      </c>
      <c r="G731" s="2" t="s">
        <v>1043</v>
      </c>
      <c r="H731" s="4">
        <v>-5901.23</v>
      </c>
      <c r="I731" s="4">
        <v>-5901.23</v>
      </c>
      <c r="J731" s="4">
        <v>-5901.23</v>
      </c>
      <c r="K731" s="4">
        <v>5901.23</v>
      </c>
      <c r="L731" s="4"/>
      <c r="M731" s="2" t="s">
        <v>1084</v>
      </c>
      <c r="N731" s="2" t="s">
        <v>10</v>
      </c>
      <c r="O731" s="2" t="s">
        <v>10</v>
      </c>
    </row>
    <row r="732" spans="1:15" hidden="1" x14ac:dyDescent="0.25">
      <c r="A732" s="2" t="s">
        <v>272</v>
      </c>
      <c r="B732" s="3">
        <v>45636</v>
      </c>
      <c r="C732" s="5">
        <v>45627</v>
      </c>
      <c r="D732" s="2" t="s">
        <v>39</v>
      </c>
      <c r="E732" s="2">
        <v>6500</v>
      </c>
      <c r="F732" s="2" t="s">
        <v>69</v>
      </c>
      <c r="G732" s="2" t="s">
        <v>1052</v>
      </c>
      <c r="H732" s="4">
        <v>-3642.76</v>
      </c>
      <c r="I732" s="4">
        <v>-3642.76</v>
      </c>
      <c r="J732" s="4">
        <v>-3642.76</v>
      </c>
      <c r="K732" s="4">
        <v>3642.76</v>
      </c>
      <c r="L732" s="4"/>
      <c r="M732" s="2" t="s">
        <v>1084</v>
      </c>
      <c r="N732" s="2" t="s">
        <v>10</v>
      </c>
      <c r="O732" s="2" t="s">
        <v>10</v>
      </c>
    </row>
    <row r="733" spans="1:15" hidden="1" x14ac:dyDescent="0.25">
      <c r="A733" s="2" t="s">
        <v>267</v>
      </c>
      <c r="B733" s="3">
        <v>45296</v>
      </c>
      <c r="C733" s="5">
        <v>45292</v>
      </c>
      <c r="D733" s="2" t="s">
        <v>24</v>
      </c>
      <c r="E733" s="2">
        <v>6300</v>
      </c>
      <c r="F733" s="2" t="s">
        <v>23</v>
      </c>
      <c r="G733" s="2" t="s">
        <v>1045</v>
      </c>
      <c r="H733" s="4">
        <v>-501.35</v>
      </c>
      <c r="I733" s="4">
        <v>-501.35</v>
      </c>
      <c r="J733" s="4">
        <v>-501.35</v>
      </c>
      <c r="K733" s="4">
        <v>501.35</v>
      </c>
      <c r="L733" s="4"/>
      <c r="M733" s="2" t="s">
        <v>1084</v>
      </c>
      <c r="N733" s="2" t="s">
        <v>10</v>
      </c>
      <c r="O733" s="2" t="s">
        <v>10</v>
      </c>
    </row>
    <row r="734" spans="1:15" hidden="1" x14ac:dyDescent="0.25">
      <c r="A734" s="2" t="s">
        <v>864</v>
      </c>
      <c r="B734" s="3">
        <v>45304</v>
      </c>
      <c r="C734" s="5">
        <v>45292</v>
      </c>
      <c r="D734" s="2" t="s">
        <v>31</v>
      </c>
      <c r="E734" s="2">
        <v>4900</v>
      </c>
      <c r="F734" s="2" t="s">
        <v>79</v>
      </c>
      <c r="G734" s="2" t="s">
        <v>1026</v>
      </c>
      <c r="H734" s="4">
        <v>137.83000000000001</v>
      </c>
      <c r="I734" s="4">
        <v>137.83000000000001</v>
      </c>
      <c r="J734" s="4">
        <v>137.83000000000001</v>
      </c>
      <c r="K734" s="4">
        <v>137.83000000000001</v>
      </c>
      <c r="L734" s="4"/>
      <c r="M734" s="2" t="s">
        <v>1084</v>
      </c>
      <c r="N734" s="2" t="s">
        <v>10</v>
      </c>
      <c r="O734" s="2" t="s">
        <v>10</v>
      </c>
    </row>
    <row r="735" spans="1:15" hidden="1" x14ac:dyDescent="0.25">
      <c r="A735" s="2" t="s">
        <v>45</v>
      </c>
      <c r="B735" s="3">
        <v>45582</v>
      </c>
      <c r="C735" s="5">
        <v>45566</v>
      </c>
      <c r="D735" s="2" t="s">
        <v>39</v>
      </c>
      <c r="E735" s="2">
        <v>6500</v>
      </c>
      <c r="F735" s="2" t="s">
        <v>38</v>
      </c>
      <c r="G735" s="2" t="s">
        <v>1029</v>
      </c>
      <c r="H735" s="4">
        <v>-7903.03</v>
      </c>
      <c r="I735" s="4">
        <v>-7903.03</v>
      </c>
      <c r="J735" s="4">
        <v>-7903.03</v>
      </c>
      <c r="K735" s="4">
        <v>7903.03</v>
      </c>
      <c r="L735" s="4"/>
      <c r="M735" s="2" t="s">
        <v>1084</v>
      </c>
      <c r="N735" s="2" t="s">
        <v>10</v>
      </c>
      <c r="O735" s="2" t="s">
        <v>10</v>
      </c>
    </row>
    <row r="736" spans="1:15" hidden="1" x14ac:dyDescent="0.25">
      <c r="A736" s="2" t="s">
        <v>85</v>
      </c>
      <c r="B736" s="3">
        <v>45422</v>
      </c>
      <c r="C736" s="5">
        <v>45413</v>
      </c>
      <c r="D736" s="2" t="s">
        <v>52</v>
      </c>
      <c r="E736" s="2">
        <v>6000</v>
      </c>
      <c r="F736" s="2" t="s">
        <v>63</v>
      </c>
      <c r="G736" s="2" t="s">
        <v>1051</v>
      </c>
      <c r="H736" s="4">
        <v>-6251.33</v>
      </c>
      <c r="I736" s="4">
        <v>-6251.33</v>
      </c>
      <c r="J736" s="4">
        <v>-6251.33</v>
      </c>
      <c r="K736" s="4">
        <v>6251.33</v>
      </c>
      <c r="L736" s="4"/>
      <c r="M736" s="2" t="s">
        <v>1084</v>
      </c>
      <c r="N736" s="2" t="s">
        <v>10</v>
      </c>
      <c r="O736" s="2" t="s">
        <v>10</v>
      </c>
    </row>
    <row r="737" spans="1:15" hidden="1" x14ac:dyDescent="0.25">
      <c r="A737" s="2" t="s">
        <v>363</v>
      </c>
      <c r="B737" s="3">
        <v>45481</v>
      </c>
      <c r="C737" s="5">
        <v>45474</v>
      </c>
      <c r="D737" s="2" t="s">
        <v>9</v>
      </c>
      <c r="E737" s="2">
        <v>6100</v>
      </c>
      <c r="F737" s="2" t="s">
        <v>44</v>
      </c>
      <c r="G737" s="2" t="s">
        <v>1054</v>
      </c>
      <c r="H737" s="4">
        <v>-5181.8</v>
      </c>
      <c r="I737" s="4">
        <v>-5181.8</v>
      </c>
      <c r="J737" s="4">
        <v>-5181.8</v>
      </c>
      <c r="K737" s="4">
        <v>5181.8</v>
      </c>
      <c r="L737" s="4"/>
      <c r="M737" s="2" t="s">
        <v>1084</v>
      </c>
      <c r="N737" s="2" t="s">
        <v>10</v>
      </c>
      <c r="O737" s="2" t="s">
        <v>10</v>
      </c>
    </row>
    <row r="738" spans="1:15" hidden="1" x14ac:dyDescent="0.25">
      <c r="A738" s="2" t="s">
        <v>356</v>
      </c>
      <c r="B738" s="3">
        <v>45448</v>
      </c>
      <c r="C738" s="5">
        <v>45444</v>
      </c>
      <c r="D738" s="2" t="s">
        <v>39</v>
      </c>
      <c r="E738" s="2">
        <v>6500</v>
      </c>
      <c r="F738" s="2" t="s">
        <v>42</v>
      </c>
      <c r="G738" s="2" t="s">
        <v>1036</v>
      </c>
      <c r="H738" s="4">
        <v>-3916.42</v>
      </c>
      <c r="I738" s="4">
        <v>-3916.42</v>
      </c>
      <c r="J738" s="4">
        <v>-3916.42</v>
      </c>
      <c r="K738" s="4">
        <v>3916.42</v>
      </c>
      <c r="L738" s="4"/>
      <c r="M738" s="2" t="s">
        <v>1084</v>
      </c>
      <c r="N738" s="2" t="s">
        <v>10</v>
      </c>
      <c r="O738" s="2" t="s">
        <v>10</v>
      </c>
    </row>
    <row r="739" spans="1:15" hidden="1" x14ac:dyDescent="0.25">
      <c r="A739" s="2" t="s">
        <v>589</v>
      </c>
      <c r="B739" s="3">
        <v>45440</v>
      </c>
      <c r="C739" s="5">
        <v>45413</v>
      </c>
      <c r="D739" s="2" t="s">
        <v>59</v>
      </c>
      <c r="E739" s="2">
        <v>6200</v>
      </c>
      <c r="F739" s="2" t="s">
        <v>71</v>
      </c>
      <c r="G739" s="2" t="s">
        <v>1050</v>
      </c>
      <c r="H739" s="4">
        <v>-1174.75</v>
      </c>
      <c r="I739" s="4">
        <v>-1174.75</v>
      </c>
      <c r="J739" s="4">
        <v>-1174.75</v>
      </c>
      <c r="K739" s="4">
        <v>1174.75</v>
      </c>
      <c r="L739" s="4"/>
      <c r="M739" s="2" t="s">
        <v>1084</v>
      </c>
      <c r="N739" s="2" t="s">
        <v>10</v>
      </c>
      <c r="O739" s="2" t="s">
        <v>10</v>
      </c>
    </row>
    <row r="740" spans="1:15" hidden="1" x14ac:dyDescent="0.25">
      <c r="A740" s="2" t="s">
        <v>944</v>
      </c>
      <c r="B740" s="3">
        <v>45634</v>
      </c>
      <c r="C740" s="5">
        <v>45627</v>
      </c>
      <c r="D740" s="2" t="s">
        <v>39</v>
      </c>
      <c r="E740" s="2">
        <v>6500</v>
      </c>
      <c r="F740" s="2" t="s">
        <v>38</v>
      </c>
      <c r="G740" s="2" t="s">
        <v>1029</v>
      </c>
      <c r="H740" s="4">
        <v>-1177.73</v>
      </c>
      <c r="I740" s="4">
        <v>-1177.73</v>
      </c>
      <c r="J740" s="4">
        <v>-1177.73</v>
      </c>
      <c r="K740" s="4">
        <v>1177.73</v>
      </c>
      <c r="L740" s="4"/>
      <c r="M740" s="2" t="s">
        <v>1084</v>
      </c>
      <c r="N740" s="2" t="s">
        <v>10</v>
      </c>
      <c r="O740" s="2" t="s">
        <v>10</v>
      </c>
    </row>
    <row r="741" spans="1:15" hidden="1" x14ac:dyDescent="0.25">
      <c r="A741" s="2" t="s">
        <v>593</v>
      </c>
      <c r="B741" s="3">
        <v>45326</v>
      </c>
      <c r="C741" s="5">
        <v>45323</v>
      </c>
      <c r="D741" s="2" t="s">
        <v>28</v>
      </c>
      <c r="E741" s="2">
        <v>6900</v>
      </c>
      <c r="F741" s="2" t="s">
        <v>27</v>
      </c>
      <c r="G741" s="2" t="s">
        <v>1041</v>
      </c>
      <c r="H741" s="4">
        <v>-12.5</v>
      </c>
      <c r="I741" s="4">
        <v>-12.5</v>
      </c>
      <c r="J741" s="4">
        <v>-12.5</v>
      </c>
      <c r="K741" s="4">
        <v>12.5</v>
      </c>
      <c r="L741" s="4"/>
      <c r="M741" s="2" t="s">
        <v>1084</v>
      </c>
      <c r="N741" s="2" t="s">
        <v>10</v>
      </c>
      <c r="O741" s="2" t="s">
        <v>10</v>
      </c>
    </row>
    <row r="742" spans="1:15" hidden="1" x14ac:dyDescent="0.25">
      <c r="A742" s="2" t="s">
        <v>293</v>
      </c>
      <c r="B742" s="3">
        <v>45573</v>
      </c>
      <c r="C742" s="5">
        <v>45566</v>
      </c>
      <c r="D742" s="2" t="s">
        <v>28</v>
      </c>
      <c r="E742" s="2">
        <v>6900</v>
      </c>
      <c r="F742" s="2" t="s">
        <v>195</v>
      </c>
      <c r="G742" s="2" t="s">
        <v>1048</v>
      </c>
      <c r="H742" s="4">
        <v>-43.54</v>
      </c>
      <c r="I742" s="4">
        <v>-43.54</v>
      </c>
      <c r="J742" s="4">
        <v>-43.54</v>
      </c>
      <c r="K742" s="4">
        <v>43.54</v>
      </c>
      <c r="L742" s="4"/>
      <c r="M742" s="2" t="s">
        <v>1084</v>
      </c>
      <c r="N742" s="2" t="s">
        <v>10</v>
      </c>
      <c r="O742" s="2" t="s">
        <v>10</v>
      </c>
    </row>
    <row r="743" spans="1:15" hidden="1" x14ac:dyDescent="0.25">
      <c r="A743" s="2" t="s">
        <v>68</v>
      </c>
      <c r="B743" s="3">
        <v>45616</v>
      </c>
      <c r="C743" s="5">
        <v>45597</v>
      </c>
      <c r="D743" s="2" t="s">
        <v>39</v>
      </c>
      <c r="E743" s="2">
        <v>6500</v>
      </c>
      <c r="F743" s="2" t="s">
        <v>69</v>
      </c>
      <c r="G743" s="2" t="s">
        <v>1052</v>
      </c>
      <c r="H743" s="4">
        <v>-4106.8999999999996</v>
      </c>
      <c r="I743" s="4">
        <v>-4106.8999999999996</v>
      </c>
      <c r="J743" s="4">
        <v>-4106.8999999999996</v>
      </c>
      <c r="K743" s="4">
        <v>4106.8999999999996</v>
      </c>
      <c r="L743" s="4"/>
      <c r="M743" s="2" t="s">
        <v>1084</v>
      </c>
      <c r="N743" s="2" t="s">
        <v>10</v>
      </c>
      <c r="O743" s="2" t="s">
        <v>10</v>
      </c>
    </row>
    <row r="744" spans="1:15" hidden="1" x14ac:dyDescent="0.25">
      <c r="A744" s="2" t="s">
        <v>585</v>
      </c>
      <c r="B744" s="3">
        <v>45531</v>
      </c>
      <c r="C744" s="5">
        <v>45505</v>
      </c>
      <c r="D744" s="2" t="s">
        <v>9</v>
      </c>
      <c r="E744" s="2">
        <v>6100</v>
      </c>
      <c r="F744" s="2" t="s">
        <v>44</v>
      </c>
      <c r="G744" s="2" t="s">
        <v>1054</v>
      </c>
      <c r="H744" s="4">
        <v>-3003.01</v>
      </c>
      <c r="I744" s="4">
        <v>-3003.01</v>
      </c>
      <c r="J744" s="4">
        <v>-3003.01</v>
      </c>
      <c r="K744" s="4">
        <v>3003.01</v>
      </c>
      <c r="L744" s="4"/>
      <c r="M744" s="2" t="s">
        <v>1084</v>
      </c>
      <c r="N744" s="2" t="s">
        <v>10</v>
      </c>
      <c r="O744" s="2" t="s">
        <v>10</v>
      </c>
    </row>
    <row r="745" spans="1:15" hidden="1" x14ac:dyDescent="0.25">
      <c r="A745" s="2" t="s">
        <v>566</v>
      </c>
      <c r="B745" s="3">
        <v>45436</v>
      </c>
      <c r="C745" s="5">
        <v>45413</v>
      </c>
      <c r="D745" s="2" t="s">
        <v>52</v>
      </c>
      <c r="E745" s="2">
        <v>6000</v>
      </c>
      <c r="F745" s="2" t="s">
        <v>63</v>
      </c>
      <c r="G745" s="2" t="s">
        <v>1051</v>
      </c>
      <c r="H745" s="4">
        <v>-11266.11</v>
      </c>
      <c r="I745" s="4">
        <v>-11266.11</v>
      </c>
      <c r="J745" s="4">
        <v>-11266.11</v>
      </c>
      <c r="K745" s="4">
        <v>11266.11</v>
      </c>
      <c r="L745" s="4"/>
      <c r="M745" s="2" t="s">
        <v>1084</v>
      </c>
      <c r="N745" s="2" t="s">
        <v>10</v>
      </c>
      <c r="O745" s="2" t="s">
        <v>10</v>
      </c>
    </row>
    <row r="746" spans="1:15" hidden="1" x14ac:dyDescent="0.25">
      <c r="A746" s="2" t="s">
        <v>628</v>
      </c>
      <c r="B746" s="3">
        <v>45350</v>
      </c>
      <c r="C746" s="5">
        <v>45323</v>
      </c>
      <c r="D746" s="2" t="s">
        <v>39</v>
      </c>
      <c r="E746" s="2">
        <v>6500</v>
      </c>
      <c r="F746" s="2" t="s">
        <v>69</v>
      </c>
      <c r="G746" s="2" t="s">
        <v>1052</v>
      </c>
      <c r="H746" s="4">
        <v>-7773.41</v>
      </c>
      <c r="I746" s="4">
        <v>-7773.41</v>
      </c>
      <c r="J746" s="4">
        <v>-7773.41</v>
      </c>
      <c r="K746" s="4">
        <v>7773.41</v>
      </c>
      <c r="L746" s="4"/>
      <c r="M746" s="2" t="s">
        <v>1084</v>
      </c>
      <c r="N746" s="2" t="s">
        <v>10</v>
      </c>
      <c r="O746" s="2" t="s">
        <v>10</v>
      </c>
    </row>
    <row r="747" spans="1:15" hidden="1" x14ac:dyDescent="0.25">
      <c r="A747" s="2" t="s">
        <v>265</v>
      </c>
      <c r="B747" s="3">
        <v>45541</v>
      </c>
      <c r="C747" s="5">
        <v>45536</v>
      </c>
      <c r="D747" s="2" t="s">
        <v>59</v>
      </c>
      <c r="E747" s="2">
        <v>6200</v>
      </c>
      <c r="F747" s="2" t="s">
        <v>58</v>
      </c>
      <c r="G747" s="2" t="s">
        <v>1038</v>
      </c>
      <c r="H747" s="4">
        <v>-347.66</v>
      </c>
      <c r="I747" s="4">
        <v>-347.66</v>
      </c>
      <c r="J747" s="4">
        <v>-347.66</v>
      </c>
      <c r="K747" s="4">
        <v>347.66</v>
      </c>
      <c r="L747" s="4"/>
      <c r="M747" s="2" t="s">
        <v>1084</v>
      </c>
      <c r="N747" s="2" t="s">
        <v>10</v>
      </c>
      <c r="O747" s="2" t="s">
        <v>10</v>
      </c>
    </row>
    <row r="748" spans="1:15" hidden="1" x14ac:dyDescent="0.25">
      <c r="A748" s="2" t="s">
        <v>736</v>
      </c>
      <c r="B748" s="3">
        <v>45463</v>
      </c>
      <c r="C748" s="5">
        <v>45444</v>
      </c>
      <c r="D748" s="2" t="s">
        <v>13</v>
      </c>
      <c r="E748" s="2">
        <v>6400</v>
      </c>
      <c r="F748" s="2" t="s">
        <v>12</v>
      </c>
      <c r="G748" s="2" t="s">
        <v>1032</v>
      </c>
      <c r="H748" s="4">
        <v>-3019.6</v>
      </c>
      <c r="I748" s="4">
        <v>-3019.6</v>
      </c>
      <c r="J748" s="4">
        <v>-3019.6</v>
      </c>
      <c r="K748" s="4">
        <v>3019.6</v>
      </c>
      <c r="L748" s="4"/>
      <c r="M748" s="2" t="s">
        <v>1084</v>
      </c>
      <c r="N748" s="2" t="s">
        <v>10</v>
      </c>
      <c r="O748" s="2" t="s">
        <v>10</v>
      </c>
    </row>
    <row r="749" spans="1:15" hidden="1" x14ac:dyDescent="0.25">
      <c r="A749" s="2" t="s">
        <v>685</v>
      </c>
      <c r="B749" s="3">
        <v>45346</v>
      </c>
      <c r="C749" s="5">
        <v>45323</v>
      </c>
      <c r="D749" s="2" t="s">
        <v>59</v>
      </c>
      <c r="E749" s="2">
        <v>6200</v>
      </c>
      <c r="F749" s="2" t="s">
        <v>58</v>
      </c>
      <c r="G749" s="2" t="s">
        <v>1038</v>
      </c>
      <c r="H749" s="4">
        <v>-565.49</v>
      </c>
      <c r="I749" s="4">
        <v>-565.49</v>
      </c>
      <c r="J749" s="4">
        <v>-565.49</v>
      </c>
      <c r="K749" s="4">
        <v>565.49</v>
      </c>
      <c r="L749" s="4"/>
      <c r="M749" s="2" t="s">
        <v>1084</v>
      </c>
      <c r="N749" s="2" t="s">
        <v>10</v>
      </c>
      <c r="O749" s="2" t="s">
        <v>10</v>
      </c>
    </row>
    <row r="750" spans="1:15" hidden="1" x14ac:dyDescent="0.25">
      <c r="A750" s="2" t="s">
        <v>351</v>
      </c>
      <c r="B750" s="3">
        <v>45423</v>
      </c>
      <c r="C750" s="5">
        <v>45413</v>
      </c>
      <c r="D750" s="2" t="s">
        <v>59</v>
      </c>
      <c r="E750" s="2">
        <v>6200</v>
      </c>
      <c r="F750" s="2" t="s">
        <v>71</v>
      </c>
      <c r="G750" s="2" t="s">
        <v>1050</v>
      </c>
      <c r="H750" s="4">
        <v>-1033.8</v>
      </c>
      <c r="I750" s="4">
        <v>-1033.8</v>
      </c>
      <c r="J750" s="4">
        <v>-1033.8</v>
      </c>
      <c r="K750" s="4">
        <v>1033.8</v>
      </c>
      <c r="L750" s="4"/>
      <c r="M750" s="2" t="s">
        <v>1084</v>
      </c>
      <c r="N750" s="2" t="s">
        <v>10</v>
      </c>
      <c r="O750" s="2" t="s">
        <v>10</v>
      </c>
    </row>
    <row r="751" spans="1:15" hidden="1" x14ac:dyDescent="0.25">
      <c r="A751" s="2" t="s">
        <v>1010</v>
      </c>
      <c r="B751" s="3">
        <v>45642</v>
      </c>
      <c r="C751" s="5">
        <v>45627</v>
      </c>
      <c r="D751" s="2" t="s">
        <v>18</v>
      </c>
      <c r="E751" s="2">
        <v>5100</v>
      </c>
      <c r="F751" s="2" t="s">
        <v>17</v>
      </c>
      <c r="G751" s="2" t="s">
        <v>1037</v>
      </c>
      <c r="H751" s="4">
        <v>-5970.36</v>
      </c>
      <c r="I751" s="4">
        <v>-5970.36</v>
      </c>
      <c r="J751" s="4">
        <v>-5970.36</v>
      </c>
      <c r="K751" s="4">
        <v>5970.36</v>
      </c>
      <c r="L751" s="4"/>
      <c r="M751" s="2" t="s">
        <v>1084</v>
      </c>
      <c r="N751" s="2" t="s">
        <v>10</v>
      </c>
      <c r="O751" s="2" t="s">
        <v>10</v>
      </c>
    </row>
    <row r="752" spans="1:15" hidden="1" x14ac:dyDescent="0.25">
      <c r="A752" s="2" t="s">
        <v>634</v>
      </c>
      <c r="B752" s="3">
        <v>45388</v>
      </c>
      <c r="C752" s="5">
        <v>45383</v>
      </c>
      <c r="D752" s="2" t="s">
        <v>31</v>
      </c>
      <c r="E752" s="2">
        <v>4900</v>
      </c>
      <c r="F752" s="2" t="s">
        <v>30</v>
      </c>
      <c r="G752" s="2" t="s">
        <v>1024</v>
      </c>
      <c r="H752" s="4">
        <v>390.73</v>
      </c>
      <c r="I752" s="4">
        <v>390.73</v>
      </c>
      <c r="J752" s="4">
        <v>390.73</v>
      </c>
      <c r="K752" s="4">
        <v>390.73</v>
      </c>
      <c r="L752" s="4"/>
      <c r="M752" s="2" t="s">
        <v>1084</v>
      </c>
      <c r="N752" s="2" t="s">
        <v>10</v>
      </c>
      <c r="O752" s="2" t="s">
        <v>10</v>
      </c>
    </row>
    <row r="753" spans="1:15" hidden="1" x14ac:dyDescent="0.25">
      <c r="A753" s="2" t="s">
        <v>922</v>
      </c>
      <c r="B753" s="3">
        <v>45357</v>
      </c>
      <c r="C753" s="5">
        <v>45352</v>
      </c>
      <c r="D753" s="2" t="s">
        <v>18</v>
      </c>
      <c r="E753" s="2">
        <v>5100</v>
      </c>
      <c r="F753" s="2" t="s">
        <v>56</v>
      </c>
      <c r="G753" s="2" t="s">
        <v>1025</v>
      </c>
      <c r="H753" s="4">
        <v>-2959.95</v>
      </c>
      <c r="I753" s="4">
        <v>-2959.95</v>
      </c>
      <c r="J753" s="4">
        <v>-2959.95</v>
      </c>
      <c r="K753" s="4">
        <v>2959.95</v>
      </c>
      <c r="L753" s="4"/>
      <c r="M753" s="2" t="s">
        <v>1084</v>
      </c>
      <c r="N753" s="2" t="s">
        <v>10</v>
      </c>
      <c r="O753" s="2" t="s">
        <v>10</v>
      </c>
    </row>
    <row r="754" spans="1:15" hidden="1" x14ac:dyDescent="0.25">
      <c r="A754" s="2" t="s">
        <v>885</v>
      </c>
      <c r="B754" s="3">
        <v>45540</v>
      </c>
      <c r="C754" s="5">
        <v>45536</v>
      </c>
      <c r="D754" s="2" t="s">
        <v>35</v>
      </c>
      <c r="E754" s="2">
        <v>4000</v>
      </c>
      <c r="F754" s="2" t="s">
        <v>116</v>
      </c>
      <c r="G754" s="2" t="s">
        <v>1034</v>
      </c>
      <c r="H754" s="4">
        <v>1261.21</v>
      </c>
      <c r="I754" s="4">
        <v>1261.21</v>
      </c>
      <c r="J754" s="4">
        <v>1261.21</v>
      </c>
      <c r="K754" s="4">
        <v>1261.21</v>
      </c>
      <c r="L754" s="4"/>
      <c r="M754" s="2" t="s">
        <v>1084</v>
      </c>
      <c r="N754" s="2" t="s">
        <v>10</v>
      </c>
      <c r="O754" s="2" t="s">
        <v>10</v>
      </c>
    </row>
    <row r="755" spans="1:15" hidden="1" x14ac:dyDescent="0.25">
      <c r="A755" s="2" t="s">
        <v>991</v>
      </c>
      <c r="B755" s="3">
        <v>45364</v>
      </c>
      <c r="C755" s="5">
        <v>45352</v>
      </c>
      <c r="D755" s="2" t="s">
        <v>31</v>
      </c>
      <c r="E755" s="2">
        <v>4900</v>
      </c>
      <c r="F755" s="2" t="s">
        <v>30</v>
      </c>
      <c r="G755" s="2" t="s">
        <v>1024</v>
      </c>
      <c r="H755" s="4">
        <v>159.78</v>
      </c>
      <c r="I755" s="4">
        <v>159.78</v>
      </c>
      <c r="J755" s="4">
        <v>159.78</v>
      </c>
      <c r="K755" s="4">
        <v>159.78</v>
      </c>
      <c r="L755" s="4"/>
      <c r="M755" s="2" t="s">
        <v>1084</v>
      </c>
      <c r="N755" s="2" t="s">
        <v>10</v>
      </c>
      <c r="O755" s="2" t="s">
        <v>10</v>
      </c>
    </row>
    <row r="756" spans="1:15" hidden="1" x14ac:dyDescent="0.25">
      <c r="A756" s="2" t="s">
        <v>179</v>
      </c>
      <c r="B756" s="3">
        <v>45627</v>
      </c>
      <c r="C756" s="5">
        <v>45627</v>
      </c>
      <c r="D756" s="2" t="s">
        <v>13</v>
      </c>
      <c r="E756" s="2">
        <v>6400</v>
      </c>
      <c r="F756" s="2" t="s">
        <v>21</v>
      </c>
      <c r="G756" s="2" t="s">
        <v>1030</v>
      </c>
      <c r="H756" s="4">
        <v>-2405.7199999999998</v>
      </c>
      <c r="I756" s="4">
        <v>-2405.7199999999998</v>
      </c>
      <c r="J756" s="4">
        <v>-2405.7199999999998</v>
      </c>
      <c r="K756" s="4">
        <v>2405.7199999999998</v>
      </c>
      <c r="L756" s="4"/>
      <c r="M756" s="2" t="s">
        <v>1084</v>
      </c>
      <c r="N756" s="2" t="s">
        <v>10</v>
      </c>
      <c r="O756" s="2" t="s">
        <v>10</v>
      </c>
    </row>
    <row r="757" spans="1:15" hidden="1" x14ac:dyDescent="0.25">
      <c r="A757" s="2" t="s">
        <v>357</v>
      </c>
      <c r="B757" s="3">
        <v>45605</v>
      </c>
      <c r="C757" s="5">
        <v>45597</v>
      </c>
      <c r="D757" s="2" t="s">
        <v>24</v>
      </c>
      <c r="E757" s="2">
        <v>6300</v>
      </c>
      <c r="F757" s="2" t="s">
        <v>23</v>
      </c>
      <c r="G757" s="2" t="s">
        <v>1045</v>
      </c>
      <c r="H757" s="4">
        <v>-179.56</v>
      </c>
      <c r="I757" s="4">
        <v>-179.56</v>
      </c>
      <c r="J757" s="4">
        <v>-179.56</v>
      </c>
      <c r="K757" s="4">
        <v>179.56</v>
      </c>
      <c r="L757" s="4"/>
      <c r="M757" s="2" t="s">
        <v>1084</v>
      </c>
      <c r="N757" s="2" t="s">
        <v>10</v>
      </c>
      <c r="O757" s="2" t="s">
        <v>10</v>
      </c>
    </row>
    <row r="758" spans="1:15" hidden="1" x14ac:dyDescent="0.25">
      <c r="A758" s="2" t="s">
        <v>510</v>
      </c>
      <c r="B758" s="3">
        <v>45650</v>
      </c>
      <c r="C758" s="5">
        <v>45627</v>
      </c>
      <c r="D758" s="2" t="s">
        <v>39</v>
      </c>
      <c r="E758" s="2">
        <v>6500</v>
      </c>
      <c r="F758" s="2" t="s">
        <v>42</v>
      </c>
      <c r="G758" s="2" t="s">
        <v>1036</v>
      </c>
      <c r="H758" s="4">
        <v>-2218.2800000000002</v>
      </c>
      <c r="I758" s="4">
        <v>-2218.2800000000002</v>
      </c>
      <c r="J758" s="4">
        <v>-2218.2800000000002</v>
      </c>
      <c r="K758" s="4">
        <v>2218.2800000000002</v>
      </c>
      <c r="L758" s="4"/>
      <c r="M758" s="2" t="s">
        <v>1084</v>
      </c>
      <c r="N758" s="2" t="s">
        <v>10</v>
      </c>
      <c r="O758" s="2" t="s">
        <v>10</v>
      </c>
    </row>
    <row r="759" spans="1:15" hidden="1" x14ac:dyDescent="0.25">
      <c r="A759" s="2" t="s">
        <v>231</v>
      </c>
      <c r="B759" s="3">
        <v>45625</v>
      </c>
      <c r="C759" s="5">
        <v>45597</v>
      </c>
      <c r="D759" s="2" t="s">
        <v>59</v>
      </c>
      <c r="E759" s="2">
        <v>6200</v>
      </c>
      <c r="F759" s="2" t="s">
        <v>67</v>
      </c>
      <c r="G759" s="2" t="s">
        <v>1028</v>
      </c>
      <c r="H759" s="4">
        <v>-458.5</v>
      </c>
      <c r="I759" s="4">
        <v>-458.5</v>
      </c>
      <c r="J759" s="4">
        <v>-458.5</v>
      </c>
      <c r="K759" s="4">
        <v>458.5</v>
      </c>
      <c r="L759" s="4"/>
      <c r="M759" s="2" t="s">
        <v>1084</v>
      </c>
      <c r="N759" s="2" t="s">
        <v>10</v>
      </c>
      <c r="O759" s="2" t="s">
        <v>10</v>
      </c>
    </row>
    <row r="760" spans="1:15" hidden="1" x14ac:dyDescent="0.25">
      <c r="A760" s="2" t="s">
        <v>98</v>
      </c>
      <c r="B760" s="3">
        <v>45380</v>
      </c>
      <c r="C760" s="5">
        <v>45352</v>
      </c>
      <c r="D760" s="2" t="s">
        <v>18</v>
      </c>
      <c r="E760" s="2">
        <v>5100</v>
      </c>
      <c r="F760" s="2" t="s">
        <v>56</v>
      </c>
      <c r="G760" s="2" t="s">
        <v>1025</v>
      </c>
      <c r="H760" s="4">
        <v>-10807.93</v>
      </c>
      <c r="I760" s="4">
        <v>-10807.93</v>
      </c>
      <c r="J760" s="4">
        <v>-10807.93</v>
      </c>
      <c r="K760" s="4">
        <v>10807.93</v>
      </c>
      <c r="L760" s="4"/>
      <c r="M760" s="2" t="s">
        <v>1084</v>
      </c>
      <c r="N760" s="2" t="s">
        <v>10</v>
      </c>
      <c r="O760" s="2" t="s">
        <v>10</v>
      </c>
    </row>
    <row r="761" spans="1:15" hidden="1" x14ac:dyDescent="0.25">
      <c r="A761" s="2" t="s">
        <v>638</v>
      </c>
      <c r="B761" s="3">
        <v>45369</v>
      </c>
      <c r="C761" s="5">
        <v>45352</v>
      </c>
      <c r="D761" s="2" t="s">
        <v>39</v>
      </c>
      <c r="E761" s="2">
        <v>6500</v>
      </c>
      <c r="F761" s="2" t="s">
        <v>42</v>
      </c>
      <c r="G761" s="2" t="s">
        <v>1036</v>
      </c>
      <c r="H761" s="4">
        <v>-3812.1</v>
      </c>
      <c r="I761" s="4">
        <v>-3812.1</v>
      </c>
      <c r="J761" s="4">
        <v>-3812.1</v>
      </c>
      <c r="K761" s="4">
        <v>3812.1</v>
      </c>
      <c r="L761" s="4"/>
      <c r="M761" s="2" t="s">
        <v>1084</v>
      </c>
      <c r="N761" s="2" t="s">
        <v>10</v>
      </c>
      <c r="O761" s="2" t="s">
        <v>10</v>
      </c>
    </row>
    <row r="762" spans="1:15" hidden="1" x14ac:dyDescent="0.25">
      <c r="A762" s="2" t="s">
        <v>819</v>
      </c>
      <c r="B762" s="3">
        <v>45417</v>
      </c>
      <c r="C762" s="5">
        <v>45413</v>
      </c>
      <c r="D762" s="2" t="s">
        <v>18</v>
      </c>
      <c r="E762" s="2">
        <v>5100</v>
      </c>
      <c r="F762" s="2" t="s">
        <v>56</v>
      </c>
      <c r="G762" s="2" t="s">
        <v>1025</v>
      </c>
      <c r="H762" s="4">
        <v>-12818.82</v>
      </c>
      <c r="I762" s="4">
        <v>-12818.82</v>
      </c>
      <c r="J762" s="4">
        <v>-12818.82</v>
      </c>
      <c r="K762" s="4">
        <v>12818.82</v>
      </c>
      <c r="L762" s="4"/>
      <c r="M762" s="2" t="s">
        <v>1084</v>
      </c>
      <c r="N762" s="2" t="s">
        <v>10</v>
      </c>
      <c r="O762" s="2" t="s">
        <v>10</v>
      </c>
    </row>
    <row r="763" spans="1:15" hidden="1" x14ac:dyDescent="0.25">
      <c r="A763" s="2" t="s">
        <v>756</v>
      </c>
      <c r="B763" s="3">
        <v>45463</v>
      </c>
      <c r="C763" s="5">
        <v>45444</v>
      </c>
      <c r="D763" s="2" t="s">
        <v>13</v>
      </c>
      <c r="E763" s="2">
        <v>6400</v>
      </c>
      <c r="F763" s="2" t="s">
        <v>21</v>
      </c>
      <c r="G763" s="2" t="s">
        <v>1030</v>
      </c>
      <c r="H763" s="4">
        <v>-2036.07</v>
      </c>
      <c r="I763" s="4">
        <v>-2036.07</v>
      </c>
      <c r="J763" s="4">
        <v>-2036.07</v>
      </c>
      <c r="K763" s="4">
        <v>2036.07</v>
      </c>
      <c r="L763" s="4"/>
      <c r="M763" s="2" t="s">
        <v>1084</v>
      </c>
      <c r="N763" s="2" t="s">
        <v>10</v>
      </c>
      <c r="O763" s="2" t="s">
        <v>10</v>
      </c>
    </row>
    <row r="764" spans="1:15" hidden="1" x14ac:dyDescent="0.25">
      <c r="A764" s="2" t="s">
        <v>29</v>
      </c>
      <c r="B764" s="3">
        <v>45613</v>
      </c>
      <c r="C764" s="5">
        <v>45597</v>
      </c>
      <c r="D764" s="2" t="s">
        <v>31</v>
      </c>
      <c r="E764" s="2">
        <v>4900</v>
      </c>
      <c r="F764" s="2" t="s">
        <v>30</v>
      </c>
      <c r="G764" s="2" t="s">
        <v>1024</v>
      </c>
      <c r="H764" s="4">
        <v>360.54</v>
      </c>
      <c r="I764" s="4">
        <v>360.54</v>
      </c>
      <c r="J764" s="4">
        <v>360.54</v>
      </c>
      <c r="K764" s="4">
        <v>360.54</v>
      </c>
      <c r="L764" s="4"/>
      <c r="M764" s="2" t="s">
        <v>1084</v>
      </c>
      <c r="N764" s="2" t="s">
        <v>10</v>
      </c>
      <c r="O764" s="2" t="s">
        <v>10</v>
      </c>
    </row>
    <row r="765" spans="1:15" hidden="1" x14ac:dyDescent="0.25">
      <c r="A765" s="2" t="s">
        <v>613</v>
      </c>
      <c r="B765" s="3">
        <v>45559</v>
      </c>
      <c r="C765" s="5">
        <v>45536</v>
      </c>
      <c r="D765" s="2" t="s">
        <v>31</v>
      </c>
      <c r="E765" s="2">
        <v>4900</v>
      </c>
      <c r="F765" s="2" t="s">
        <v>30</v>
      </c>
      <c r="G765" s="2" t="s">
        <v>1024</v>
      </c>
      <c r="H765" s="4">
        <v>140.35</v>
      </c>
      <c r="I765" s="4">
        <v>140.35</v>
      </c>
      <c r="J765" s="4">
        <v>140.35</v>
      </c>
      <c r="K765" s="4">
        <v>140.35</v>
      </c>
      <c r="L765" s="4"/>
      <c r="M765" s="2" t="s">
        <v>1084</v>
      </c>
      <c r="N765" s="2" t="s">
        <v>10</v>
      </c>
      <c r="O765" s="2" t="s">
        <v>10</v>
      </c>
    </row>
    <row r="766" spans="1:15" hidden="1" x14ac:dyDescent="0.25">
      <c r="A766" s="2" t="s">
        <v>454</v>
      </c>
      <c r="B766" s="3">
        <v>45527</v>
      </c>
      <c r="C766" s="5">
        <v>45505</v>
      </c>
      <c r="D766" s="2" t="s">
        <v>59</v>
      </c>
      <c r="E766" s="2">
        <v>6200</v>
      </c>
      <c r="F766" s="2" t="s">
        <v>67</v>
      </c>
      <c r="G766" s="2" t="s">
        <v>1028</v>
      </c>
      <c r="H766" s="4">
        <v>-618.79</v>
      </c>
      <c r="I766" s="4">
        <v>-618.79</v>
      </c>
      <c r="J766" s="4">
        <v>-618.79</v>
      </c>
      <c r="K766" s="4">
        <v>618.79</v>
      </c>
      <c r="L766" s="4"/>
      <c r="M766" s="2" t="s">
        <v>1084</v>
      </c>
      <c r="N766" s="2" t="s">
        <v>10</v>
      </c>
      <c r="O766" s="2" t="s">
        <v>10</v>
      </c>
    </row>
    <row r="767" spans="1:15" hidden="1" x14ac:dyDescent="0.25">
      <c r="A767" s="2" t="s">
        <v>806</v>
      </c>
      <c r="B767" s="3">
        <v>45612</v>
      </c>
      <c r="C767" s="5">
        <v>45597</v>
      </c>
      <c r="D767" s="2" t="s">
        <v>39</v>
      </c>
      <c r="E767" s="2">
        <v>6500</v>
      </c>
      <c r="F767" s="2" t="s">
        <v>38</v>
      </c>
      <c r="G767" s="2" t="s">
        <v>1029</v>
      </c>
      <c r="H767" s="4">
        <v>-1122.9100000000001</v>
      </c>
      <c r="I767" s="4">
        <v>-1122.9100000000001</v>
      </c>
      <c r="J767" s="4">
        <v>-1122.9100000000001</v>
      </c>
      <c r="K767" s="4">
        <v>1122.9100000000001</v>
      </c>
      <c r="L767" s="4"/>
      <c r="M767" s="2" t="s">
        <v>1084</v>
      </c>
      <c r="N767" s="2" t="s">
        <v>10</v>
      </c>
      <c r="O767" s="2" t="s">
        <v>10</v>
      </c>
    </row>
    <row r="768" spans="1:15" hidden="1" x14ac:dyDescent="0.25">
      <c r="A768" s="2" t="s">
        <v>542</v>
      </c>
      <c r="B768" s="3">
        <v>45527</v>
      </c>
      <c r="C768" s="5">
        <v>45505</v>
      </c>
      <c r="D768" s="2" t="s">
        <v>9</v>
      </c>
      <c r="E768" s="2">
        <v>6100</v>
      </c>
      <c r="F768" s="2" t="s">
        <v>8</v>
      </c>
      <c r="G768" s="2" t="s">
        <v>1042</v>
      </c>
      <c r="H768" s="4">
        <v>-4684.9799999999996</v>
      </c>
      <c r="I768" s="4">
        <v>-4684.9799999999996</v>
      </c>
      <c r="J768" s="4">
        <v>-4684.9799999999996</v>
      </c>
      <c r="K768" s="4">
        <v>4684.9799999999996</v>
      </c>
      <c r="L768" s="4"/>
      <c r="M768" s="2" t="s">
        <v>1084</v>
      </c>
      <c r="N768" s="2" t="s">
        <v>10</v>
      </c>
      <c r="O768" s="2" t="s">
        <v>10</v>
      </c>
    </row>
    <row r="769" spans="1:15" hidden="1" x14ac:dyDescent="0.25">
      <c r="A769" s="2" t="s">
        <v>1019</v>
      </c>
      <c r="B769" s="3">
        <v>45430</v>
      </c>
      <c r="C769" s="5">
        <v>45413</v>
      </c>
      <c r="D769" s="2" t="s">
        <v>24</v>
      </c>
      <c r="E769" s="2">
        <v>6300</v>
      </c>
      <c r="F769" s="2" t="s">
        <v>23</v>
      </c>
      <c r="G769" s="2" t="s">
        <v>1045</v>
      </c>
      <c r="H769" s="4">
        <v>-135.06</v>
      </c>
      <c r="I769" s="4">
        <v>-135.06</v>
      </c>
      <c r="J769" s="4">
        <v>-135.06</v>
      </c>
      <c r="K769" s="4">
        <v>135.06</v>
      </c>
      <c r="L769" s="4"/>
      <c r="M769" s="2" t="s">
        <v>1084</v>
      </c>
      <c r="N769" s="2" t="s">
        <v>10</v>
      </c>
      <c r="O769" s="2" t="s">
        <v>10</v>
      </c>
    </row>
    <row r="770" spans="1:15" hidden="1" x14ac:dyDescent="0.25">
      <c r="A770" s="2" t="s">
        <v>40</v>
      </c>
      <c r="B770" s="3">
        <v>45442</v>
      </c>
      <c r="C770" s="5">
        <v>45413</v>
      </c>
      <c r="D770" s="2" t="s">
        <v>18</v>
      </c>
      <c r="E770" s="2">
        <v>5100</v>
      </c>
      <c r="F770" s="2" t="s">
        <v>17</v>
      </c>
      <c r="G770" s="2" t="s">
        <v>1037</v>
      </c>
      <c r="H770" s="4">
        <v>-14066.23</v>
      </c>
      <c r="I770" s="4">
        <v>-14066.23</v>
      </c>
      <c r="J770" s="4">
        <v>-14066.23</v>
      </c>
      <c r="K770" s="4">
        <v>14066.23</v>
      </c>
      <c r="L770" s="4"/>
      <c r="M770" s="2" t="s">
        <v>1084</v>
      </c>
      <c r="N770" s="2" t="s">
        <v>10</v>
      </c>
      <c r="O770" s="2" t="s">
        <v>10</v>
      </c>
    </row>
    <row r="771" spans="1:15" x14ac:dyDescent="0.25">
      <c r="A771" s="2" t="s">
        <v>101</v>
      </c>
      <c r="B771" s="3">
        <v>45480</v>
      </c>
      <c r="C771" s="5">
        <v>45474</v>
      </c>
      <c r="D771" s="2" t="s">
        <v>59</v>
      </c>
      <c r="E771" s="2">
        <v>6200</v>
      </c>
      <c r="F771" s="2" t="s">
        <v>67</v>
      </c>
      <c r="G771" s="2" t="s">
        <v>1028</v>
      </c>
      <c r="H771" s="4">
        <v>-747.51</v>
      </c>
      <c r="I771" s="4">
        <v>-689.45</v>
      </c>
      <c r="J771" s="4">
        <v>-747.51</v>
      </c>
      <c r="K771" s="4">
        <v>747.51</v>
      </c>
      <c r="L771" s="4">
        <v>-58.06</v>
      </c>
      <c r="M771" s="2" t="s">
        <v>1085</v>
      </c>
      <c r="N771" s="2" t="s">
        <v>123</v>
      </c>
      <c r="O771" s="2" t="s">
        <v>10</v>
      </c>
    </row>
    <row r="772" spans="1:15" hidden="1" x14ac:dyDescent="0.25">
      <c r="A772" s="2" t="s">
        <v>185</v>
      </c>
      <c r="B772" s="3">
        <v>45324</v>
      </c>
      <c r="C772" s="5">
        <v>45323</v>
      </c>
      <c r="D772" s="2" t="s">
        <v>9</v>
      </c>
      <c r="E772" s="2">
        <v>6100</v>
      </c>
      <c r="F772" s="2" t="s">
        <v>44</v>
      </c>
      <c r="G772" s="2" t="s">
        <v>1054</v>
      </c>
      <c r="H772" s="4">
        <v>-4510.6499999999996</v>
      </c>
      <c r="I772" s="4">
        <v>-4510.6499999999996</v>
      </c>
      <c r="J772" s="4">
        <v>-4510.6499999999996</v>
      </c>
      <c r="K772" s="4">
        <v>4510.6499999999996</v>
      </c>
      <c r="L772" s="4"/>
      <c r="M772" s="2" t="s">
        <v>1084</v>
      </c>
      <c r="N772" s="2" t="s">
        <v>10</v>
      </c>
      <c r="O772" s="2" t="s">
        <v>10</v>
      </c>
    </row>
    <row r="773" spans="1:15" hidden="1" x14ac:dyDescent="0.25">
      <c r="A773" s="2" t="s">
        <v>908</v>
      </c>
      <c r="B773" s="3">
        <v>45562</v>
      </c>
      <c r="C773" s="5">
        <v>45536</v>
      </c>
      <c r="D773" s="2" t="s">
        <v>31</v>
      </c>
      <c r="E773" s="2">
        <v>4900</v>
      </c>
      <c r="F773" s="2" t="s">
        <v>146</v>
      </c>
      <c r="G773" s="2" t="s">
        <v>1031</v>
      </c>
      <c r="H773" s="4">
        <v>397.16</v>
      </c>
      <c r="I773" s="4">
        <v>397.16</v>
      </c>
      <c r="J773" s="4">
        <v>397.16</v>
      </c>
      <c r="K773" s="4">
        <v>397.16</v>
      </c>
      <c r="L773" s="4"/>
      <c r="M773" s="2" t="s">
        <v>1084</v>
      </c>
      <c r="N773" s="2" t="s">
        <v>10</v>
      </c>
      <c r="O773" s="2" t="s">
        <v>10</v>
      </c>
    </row>
    <row r="774" spans="1:15" hidden="1" x14ac:dyDescent="0.25">
      <c r="A774" s="2" t="s">
        <v>548</v>
      </c>
      <c r="B774" s="3">
        <v>45530</v>
      </c>
      <c r="C774" s="5">
        <v>45505</v>
      </c>
      <c r="D774" s="2" t="s">
        <v>35</v>
      </c>
      <c r="E774" s="2">
        <v>4000</v>
      </c>
      <c r="F774" s="2" t="s">
        <v>34</v>
      </c>
      <c r="G774" s="2" t="s">
        <v>1027</v>
      </c>
      <c r="H774" s="4">
        <v>4489.99</v>
      </c>
      <c r="I774" s="4">
        <v>4489.99</v>
      </c>
      <c r="J774" s="4">
        <v>4489.99</v>
      </c>
      <c r="K774" s="4">
        <v>4489.99</v>
      </c>
      <c r="L774" s="4"/>
      <c r="M774" s="2" t="s">
        <v>1084</v>
      </c>
      <c r="N774" s="2" t="s">
        <v>10</v>
      </c>
      <c r="O774" s="2" t="s">
        <v>10</v>
      </c>
    </row>
    <row r="775" spans="1:15" hidden="1" x14ac:dyDescent="0.25">
      <c r="A775" s="2" t="s">
        <v>535</v>
      </c>
      <c r="B775" s="3">
        <v>45558</v>
      </c>
      <c r="C775" s="5">
        <v>45536</v>
      </c>
      <c r="D775" s="2" t="s">
        <v>39</v>
      </c>
      <c r="E775" s="2">
        <v>6500</v>
      </c>
      <c r="F775" s="2" t="s">
        <v>42</v>
      </c>
      <c r="G775" s="2" t="s">
        <v>1036</v>
      </c>
      <c r="H775" s="4">
        <v>-4225.46</v>
      </c>
      <c r="I775" s="4">
        <v>-4225.46</v>
      </c>
      <c r="J775" s="4">
        <v>-4225.46</v>
      </c>
      <c r="K775" s="4">
        <v>4225.46</v>
      </c>
      <c r="L775" s="4"/>
      <c r="M775" s="2" t="s">
        <v>1084</v>
      </c>
      <c r="N775" s="2" t="s">
        <v>10</v>
      </c>
      <c r="O775" s="2" t="s">
        <v>10</v>
      </c>
    </row>
    <row r="776" spans="1:15" hidden="1" x14ac:dyDescent="0.25">
      <c r="A776" s="2" t="s">
        <v>905</v>
      </c>
      <c r="B776" s="3">
        <v>45486</v>
      </c>
      <c r="C776" s="5">
        <v>45474</v>
      </c>
      <c r="D776" s="2" t="s">
        <v>28</v>
      </c>
      <c r="E776" s="2">
        <v>6900</v>
      </c>
      <c r="F776" s="2" t="s">
        <v>195</v>
      </c>
      <c r="G776" s="2" t="s">
        <v>1048</v>
      </c>
      <c r="H776" s="4">
        <v>-30.8</v>
      </c>
      <c r="I776" s="4">
        <v>-30.8</v>
      </c>
      <c r="J776" s="4">
        <v>-30.8</v>
      </c>
      <c r="K776" s="4">
        <v>30.8</v>
      </c>
      <c r="L776" s="4"/>
      <c r="M776" s="2" t="s">
        <v>1084</v>
      </c>
      <c r="N776" s="2" t="s">
        <v>10</v>
      </c>
      <c r="O776" s="2" t="s">
        <v>10</v>
      </c>
    </row>
    <row r="777" spans="1:15" hidden="1" x14ac:dyDescent="0.25">
      <c r="A777" s="2" t="s">
        <v>888</v>
      </c>
      <c r="B777" s="3">
        <v>45577</v>
      </c>
      <c r="C777" s="5">
        <v>45566</v>
      </c>
      <c r="D777" s="2" t="s">
        <v>31</v>
      </c>
      <c r="E777" s="2">
        <v>4900</v>
      </c>
      <c r="F777" s="2" t="s">
        <v>79</v>
      </c>
      <c r="G777" s="2" t="s">
        <v>1026</v>
      </c>
      <c r="H777" s="4">
        <v>247.18</v>
      </c>
      <c r="I777" s="4">
        <v>247.18</v>
      </c>
      <c r="J777" s="4">
        <v>247.18</v>
      </c>
      <c r="K777" s="4">
        <v>247.18</v>
      </c>
      <c r="L777" s="4"/>
      <c r="M777" s="2" t="s">
        <v>1084</v>
      </c>
      <c r="N777" s="2" t="s">
        <v>10</v>
      </c>
      <c r="O777" s="2" t="s">
        <v>10</v>
      </c>
    </row>
    <row r="778" spans="1:15" hidden="1" x14ac:dyDescent="0.25">
      <c r="A778" s="2" t="s">
        <v>143</v>
      </c>
      <c r="B778" s="3">
        <v>45638</v>
      </c>
      <c r="C778" s="5">
        <v>45627</v>
      </c>
      <c r="D778" s="2" t="s">
        <v>24</v>
      </c>
      <c r="E778" s="2">
        <v>6300</v>
      </c>
      <c r="F778" s="2" t="s">
        <v>127</v>
      </c>
      <c r="G778" s="2" t="s">
        <v>1035</v>
      </c>
      <c r="H778" s="4">
        <v>-836.35</v>
      </c>
      <c r="I778" s="4">
        <v>-836.35</v>
      </c>
      <c r="J778" s="4">
        <v>-836.35</v>
      </c>
      <c r="K778" s="4">
        <v>836.35</v>
      </c>
      <c r="L778" s="4"/>
      <c r="M778" s="2" t="s">
        <v>1084</v>
      </c>
      <c r="N778" s="2" t="s">
        <v>10</v>
      </c>
      <c r="O778" s="2" t="s">
        <v>10</v>
      </c>
    </row>
    <row r="779" spans="1:15" hidden="1" x14ac:dyDescent="0.25">
      <c r="A779" s="2" t="s">
        <v>938</v>
      </c>
      <c r="B779" s="3">
        <v>45500</v>
      </c>
      <c r="C779" s="5">
        <v>45474</v>
      </c>
      <c r="D779" s="2" t="s">
        <v>18</v>
      </c>
      <c r="E779" s="2">
        <v>5100</v>
      </c>
      <c r="F779" s="2" t="s">
        <v>17</v>
      </c>
      <c r="G779" s="2" t="s">
        <v>1037</v>
      </c>
      <c r="H779" s="4">
        <v>-4115.7</v>
      </c>
      <c r="I779" s="4">
        <v>-4115.7</v>
      </c>
      <c r="J779" s="4">
        <v>-4115.7</v>
      </c>
      <c r="K779" s="4">
        <v>4115.7</v>
      </c>
      <c r="L779" s="4"/>
      <c r="M779" s="2" t="s">
        <v>1084</v>
      </c>
      <c r="N779" s="2" t="s">
        <v>10</v>
      </c>
      <c r="O779" s="2" t="s">
        <v>10</v>
      </c>
    </row>
    <row r="780" spans="1:15" hidden="1" x14ac:dyDescent="0.25">
      <c r="A780" s="2" t="s">
        <v>925</v>
      </c>
      <c r="B780" s="3">
        <v>45454</v>
      </c>
      <c r="C780" s="5">
        <v>45444</v>
      </c>
      <c r="D780" s="2" t="s">
        <v>52</v>
      </c>
      <c r="E780" s="2">
        <v>6000</v>
      </c>
      <c r="F780" s="2" t="s">
        <v>63</v>
      </c>
      <c r="G780" s="2" t="s">
        <v>1051</v>
      </c>
      <c r="H780" s="4">
        <v>-2636.62</v>
      </c>
      <c r="I780" s="4">
        <v>-2636.62</v>
      </c>
      <c r="J780" s="4">
        <v>-2636.62</v>
      </c>
      <c r="K780" s="4">
        <v>2636.62</v>
      </c>
      <c r="L780" s="4"/>
      <c r="M780" s="2" t="s">
        <v>1084</v>
      </c>
      <c r="N780" s="2" t="s">
        <v>10</v>
      </c>
      <c r="O780" s="2" t="s">
        <v>10</v>
      </c>
    </row>
    <row r="781" spans="1:15" hidden="1" x14ac:dyDescent="0.25">
      <c r="A781" s="2" t="s">
        <v>455</v>
      </c>
      <c r="B781" s="3">
        <v>45330</v>
      </c>
      <c r="C781" s="5">
        <v>45323</v>
      </c>
      <c r="D781" s="2" t="s">
        <v>28</v>
      </c>
      <c r="E781" s="2">
        <v>6900</v>
      </c>
      <c r="F781" s="2" t="s">
        <v>76</v>
      </c>
      <c r="G781" s="2" t="s">
        <v>1047</v>
      </c>
      <c r="H781" s="4">
        <v>-39.840000000000003</v>
      </c>
      <c r="I781" s="4">
        <v>-39.840000000000003</v>
      </c>
      <c r="J781" s="4">
        <v>-39.840000000000003</v>
      </c>
      <c r="K781" s="4">
        <v>39.840000000000003</v>
      </c>
      <c r="L781" s="4"/>
      <c r="M781" s="2" t="s">
        <v>1084</v>
      </c>
      <c r="N781" s="2" t="s">
        <v>10</v>
      </c>
      <c r="O781" s="2" t="s">
        <v>10</v>
      </c>
    </row>
    <row r="782" spans="1:15" hidden="1" x14ac:dyDescent="0.25">
      <c r="A782" s="2" t="s">
        <v>658</v>
      </c>
      <c r="B782" s="3">
        <v>45576</v>
      </c>
      <c r="C782" s="5">
        <v>45566</v>
      </c>
      <c r="D782" s="2" t="s">
        <v>28</v>
      </c>
      <c r="E782" s="2">
        <v>6900</v>
      </c>
      <c r="F782" s="2" t="s">
        <v>27</v>
      </c>
      <c r="G782" s="2" t="s">
        <v>1041</v>
      </c>
      <c r="H782" s="4">
        <v>-9.76</v>
      </c>
      <c r="I782" s="4">
        <v>-9.76</v>
      </c>
      <c r="J782" s="4">
        <v>-9.76</v>
      </c>
      <c r="K782" s="4">
        <v>9.76</v>
      </c>
      <c r="L782" s="4"/>
      <c r="M782" s="2" t="s">
        <v>1084</v>
      </c>
      <c r="N782" s="2" t="s">
        <v>10</v>
      </c>
      <c r="O782" s="2" t="s">
        <v>10</v>
      </c>
    </row>
    <row r="783" spans="1:15" hidden="1" x14ac:dyDescent="0.25">
      <c r="A783" s="2" t="s">
        <v>211</v>
      </c>
      <c r="B783" s="3">
        <v>45621</v>
      </c>
      <c r="C783" s="5">
        <v>45597</v>
      </c>
      <c r="D783" s="2" t="s">
        <v>9</v>
      </c>
      <c r="E783" s="2">
        <v>6100</v>
      </c>
      <c r="F783" s="2" t="s">
        <v>44</v>
      </c>
      <c r="G783" s="2" t="s">
        <v>1054</v>
      </c>
      <c r="H783" s="4">
        <v>-2252.65</v>
      </c>
      <c r="I783" s="4">
        <v>-2252.65</v>
      </c>
      <c r="J783" s="4">
        <v>-2252.65</v>
      </c>
      <c r="K783" s="4">
        <v>2252.65</v>
      </c>
      <c r="L783" s="4"/>
      <c r="M783" s="2" t="s">
        <v>1084</v>
      </c>
      <c r="N783" s="2" t="s">
        <v>10</v>
      </c>
      <c r="O783" s="2" t="s">
        <v>10</v>
      </c>
    </row>
    <row r="784" spans="1:15" hidden="1" x14ac:dyDescent="0.25">
      <c r="A784" s="2" t="s">
        <v>559</v>
      </c>
      <c r="B784" s="3">
        <v>45547</v>
      </c>
      <c r="C784" s="5">
        <v>45536</v>
      </c>
      <c r="D784" s="2" t="s">
        <v>18</v>
      </c>
      <c r="E784" s="2">
        <v>5100</v>
      </c>
      <c r="F784" s="2" t="s">
        <v>17</v>
      </c>
      <c r="G784" s="2" t="s">
        <v>1037</v>
      </c>
      <c r="H784" s="4">
        <v>-5803.59</v>
      </c>
      <c r="I784" s="4">
        <v>-5803.59</v>
      </c>
      <c r="J784" s="4">
        <v>-5803.59</v>
      </c>
      <c r="K784" s="4">
        <v>5803.59</v>
      </c>
      <c r="L784" s="4"/>
      <c r="M784" s="2" t="s">
        <v>1084</v>
      </c>
      <c r="N784" s="2" t="s">
        <v>10</v>
      </c>
      <c r="O784" s="2" t="s">
        <v>10</v>
      </c>
    </row>
    <row r="785" spans="1:15" hidden="1" x14ac:dyDescent="0.25">
      <c r="A785" s="2" t="s">
        <v>19</v>
      </c>
      <c r="B785" s="3">
        <v>45607</v>
      </c>
      <c r="C785" s="5">
        <v>45597</v>
      </c>
      <c r="D785" s="2" t="s">
        <v>18</v>
      </c>
      <c r="E785" s="2">
        <v>5100</v>
      </c>
      <c r="F785" s="2" t="s">
        <v>17</v>
      </c>
      <c r="G785" s="2" t="s">
        <v>1037</v>
      </c>
      <c r="H785" s="4">
        <v>-5900.48</v>
      </c>
      <c r="I785" s="4">
        <v>-5900.48</v>
      </c>
      <c r="J785" s="4">
        <v>-5900.48</v>
      </c>
      <c r="K785" s="4">
        <v>5900.48</v>
      </c>
      <c r="L785" s="4"/>
      <c r="M785" s="2" t="s">
        <v>1084</v>
      </c>
      <c r="N785" s="2" t="s">
        <v>10</v>
      </c>
      <c r="O785" s="2" t="s">
        <v>10</v>
      </c>
    </row>
    <row r="786" spans="1:15" hidden="1" x14ac:dyDescent="0.25">
      <c r="A786" s="2" t="s">
        <v>490</v>
      </c>
      <c r="B786" s="3">
        <v>45606</v>
      </c>
      <c r="C786" s="5">
        <v>45597</v>
      </c>
      <c r="D786" s="2" t="s">
        <v>24</v>
      </c>
      <c r="E786" s="2">
        <v>6300</v>
      </c>
      <c r="F786" s="2" t="s">
        <v>94</v>
      </c>
      <c r="G786" s="2" t="s">
        <v>1053</v>
      </c>
      <c r="H786" s="4">
        <v>-308.57</v>
      </c>
      <c r="I786" s="4">
        <v>-308.57</v>
      </c>
      <c r="J786" s="4">
        <v>-308.57</v>
      </c>
      <c r="K786" s="4">
        <v>308.57</v>
      </c>
      <c r="L786" s="4"/>
      <c r="M786" s="2" t="s">
        <v>1084</v>
      </c>
      <c r="N786" s="2" t="s">
        <v>10</v>
      </c>
      <c r="O786" s="2" t="s">
        <v>10</v>
      </c>
    </row>
    <row r="787" spans="1:15" hidden="1" x14ac:dyDescent="0.25">
      <c r="A787" s="2" t="s">
        <v>144</v>
      </c>
      <c r="B787" s="3">
        <v>45583</v>
      </c>
      <c r="C787" s="5">
        <v>45566</v>
      </c>
      <c r="D787" s="2" t="s">
        <v>13</v>
      </c>
      <c r="E787" s="2">
        <v>6400</v>
      </c>
      <c r="F787" s="2" t="s">
        <v>21</v>
      </c>
      <c r="G787" s="2" t="s">
        <v>1030</v>
      </c>
      <c r="H787" s="4">
        <v>-386.88</v>
      </c>
      <c r="I787" s="4">
        <v>-386.88</v>
      </c>
      <c r="J787" s="4">
        <v>-386.88</v>
      </c>
      <c r="K787" s="4">
        <v>386.88</v>
      </c>
      <c r="L787" s="4"/>
      <c r="M787" s="2" t="s">
        <v>1084</v>
      </c>
      <c r="N787" s="2" t="s">
        <v>10</v>
      </c>
      <c r="O787" s="2" t="s">
        <v>10</v>
      </c>
    </row>
    <row r="788" spans="1:15" hidden="1" x14ac:dyDescent="0.25">
      <c r="A788" s="2" t="s">
        <v>344</v>
      </c>
      <c r="B788" s="3">
        <v>45475</v>
      </c>
      <c r="C788" s="5">
        <v>45474</v>
      </c>
      <c r="D788" s="2" t="s">
        <v>35</v>
      </c>
      <c r="E788" s="2">
        <v>4000</v>
      </c>
      <c r="F788" s="2" t="s">
        <v>34</v>
      </c>
      <c r="G788" s="2" t="s">
        <v>1027</v>
      </c>
      <c r="H788" s="4">
        <v>5451.8</v>
      </c>
      <c r="I788" s="4">
        <v>5451.8</v>
      </c>
      <c r="J788" s="4">
        <v>5451.8</v>
      </c>
      <c r="K788" s="4">
        <v>5451.8</v>
      </c>
      <c r="L788" s="4"/>
      <c r="M788" s="2" t="s">
        <v>1084</v>
      </c>
      <c r="N788" s="2" t="s">
        <v>10</v>
      </c>
      <c r="O788" s="2" t="s">
        <v>10</v>
      </c>
    </row>
    <row r="789" spans="1:15" hidden="1" x14ac:dyDescent="0.25">
      <c r="A789" s="2" t="s">
        <v>643</v>
      </c>
      <c r="B789" s="3">
        <v>45328</v>
      </c>
      <c r="C789" s="5">
        <v>45323</v>
      </c>
      <c r="D789" s="2" t="s">
        <v>9</v>
      </c>
      <c r="E789" s="2">
        <v>6100</v>
      </c>
      <c r="F789" s="2" t="s">
        <v>44</v>
      </c>
      <c r="G789" s="2" t="s">
        <v>1054</v>
      </c>
      <c r="H789" s="4">
        <v>-4734.58</v>
      </c>
      <c r="I789" s="4">
        <v>-4734.58</v>
      </c>
      <c r="J789" s="4">
        <v>-4734.58</v>
      </c>
      <c r="K789" s="4">
        <v>4734.58</v>
      </c>
      <c r="L789" s="4"/>
      <c r="M789" s="2" t="s">
        <v>1084</v>
      </c>
      <c r="N789" s="2" t="s">
        <v>10</v>
      </c>
      <c r="O789" s="2" t="s">
        <v>10</v>
      </c>
    </row>
    <row r="790" spans="1:15" x14ac:dyDescent="0.25">
      <c r="A790" s="2" t="s">
        <v>345</v>
      </c>
      <c r="B790" s="3">
        <v>45293</v>
      </c>
      <c r="C790" s="5">
        <v>45292</v>
      </c>
      <c r="D790" s="2" t="s">
        <v>13</v>
      </c>
      <c r="E790" s="2">
        <v>6400</v>
      </c>
      <c r="F790" s="2" t="s">
        <v>21</v>
      </c>
      <c r="G790" s="2" t="s">
        <v>1030</v>
      </c>
      <c r="H790" s="4">
        <v>-3255.56</v>
      </c>
      <c r="I790" s="4">
        <v>-32555.599999999999</v>
      </c>
      <c r="J790" s="4">
        <v>-3255.56</v>
      </c>
      <c r="K790" s="4">
        <v>3255.56</v>
      </c>
      <c r="L790" s="4">
        <v>29300.04</v>
      </c>
      <c r="M790" s="2" t="s">
        <v>1085</v>
      </c>
      <c r="N790" s="2" t="s">
        <v>123</v>
      </c>
      <c r="O790" s="2" t="s">
        <v>10</v>
      </c>
    </row>
    <row r="791" spans="1:15" hidden="1" x14ac:dyDescent="0.25">
      <c r="A791" s="2" t="s">
        <v>299</v>
      </c>
      <c r="B791" s="3">
        <v>45366</v>
      </c>
      <c r="C791" s="5">
        <v>45352</v>
      </c>
      <c r="D791" s="2" t="s">
        <v>35</v>
      </c>
      <c r="E791" s="2">
        <v>4000</v>
      </c>
      <c r="F791" s="2" t="s">
        <v>116</v>
      </c>
      <c r="G791" s="2" t="s">
        <v>1034</v>
      </c>
      <c r="H791" s="4">
        <v>12853.37</v>
      </c>
      <c r="I791" s="4">
        <v>12853.37</v>
      </c>
      <c r="J791" s="4">
        <v>12853.37</v>
      </c>
      <c r="K791" s="4">
        <v>12853.37</v>
      </c>
      <c r="L791" s="4"/>
      <c r="M791" s="2" t="s">
        <v>1084</v>
      </c>
      <c r="N791" s="2" t="s">
        <v>10</v>
      </c>
      <c r="O791" s="2" t="s">
        <v>10</v>
      </c>
    </row>
    <row r="792" spans="1:15" hidden="1" x14ac:dyDescent="0.25">
      <c r="A792" s="2" t="s">
        <v>269</v>
      </c>
      <c r="B792" s="3">
        <v>45449</v>
      </c>
      <c r="C792" s="5">
        <v>45444</v>
      </c>
      <c r="D792" s="2" t="s">
        <v>35</v>
      </c>
      <c r="E792" s="2">
        <v>4000</v>
      </c>
      <c r="F792" s="2" t="s">
        <v>116</v>
      </c>
      <c r="G792" s="2" t="s">
        <v>1034</v>
      </c>
      <c r="H792" s="4">
        <v>8207.25</v>
      </c>
      <c r="I792" s="4">
        <v>8207.25</v>
      </c>
      <c r="J792" s="4">
        <v>8207.25</v>
      </c>
      <c r="K792" s="4">
        <v>8207.25</v>
      </c>
      <c r="L792" s="4"/>
      <c r="M792" s="2" t="s">
        <v>1084</v>
      </c>
      <c r="N792" s="2" t="s">
        <v>10</v>
      </c>
      <c r="O792" s="2" t="s">
        <v>10</v>
      </c>
    </row>
    <row r="793" spans="1:15" hidden="1" x14ac:dyDescent="0.25">
      <c r="A793" s="2" t="s">
        <v>702</v>
      </c>
      <c r="B793" s="3">
        <v>45563</v>
      </c>
      <c r="C793" s="5">
        <v>45536</v>
      </c>
      <c r="D793" s="2" t="s">
        <v>24</v>
      </c>
      <c r="E793" s="2">
        <v>6300</v>
      </c>
      <c r="F793" s="2" t="s">
        <v>127</v>
      </c>
      <c r="G793" s="2" t="s">
        <v>1035</v>
      </c>
      <c r="H793" s="4">
        <v>-701.07</v>
      </c>
      <c r="I793" s="4">
        <v>-701.07</v>
      </c>
      <c r="J793" s="4">
        <v>-701.07</v>
      </c>
      <c r="K793" s="4">
        <v>701.07</v>
      </c>
      <c r="L793" s="4"/>
      <c r="M793" s="2" t="s">
        <v>1084</v>
      </c>
      <c r="N793" s="2" t="s">
        <v>10</v>
      </c>
      <c r="O793" s="2" t="s">
        <v>10</v>
      </c>
    </row>
    <row r="794" spans="1:15" hidden="1" x14ac:dyDescent="0.25">
      <c r="A794" s="2" t="s">
        <v>960</v>
      </c>
      <c r="B794" s="3">
        <v>45458</v>
      </c>
      <c r="C794" s="5">
        <v>45444</v>
      </c>
      <c r="D794" s="2" t="s">
        <v>39</v>
      </c>
      <c r="E794" s="2">
        <v>6500</v>
      </c>
      <c r="F794" s="2" t="s">
        <v>38</v>
      </c>
      <c r="G794" s="2" t="s">
        <v>1029</v>
      </c>
      <c r="H794" s="4">
        <v>-6777.54</v>
      </c>
      <c r="I794" s="4">
        <v>-6777.54</v>
      </c>
      <c r="J794" s="4">
        <v>-6777.54</v>
      </c>
      <c r="K794" s="4">
        <v>6777.54</v>
      </c>
      <c r="L794" s="4"/>
      <c r="M794" s="2" t="s">
        <v>1084</v>
      </c>
      <c r="N794" s="2" t="s">
        <v>10</v>
      </c>
      <c r="O794" s="2" t="s">
        <v>10</v>
      </c>
    </row>
    <row r="795" spans="1:15" hidden="1" x14ac:dyDescent="0.25">
      <c r="A795" s="2" t="s">
        <v>920</v>
      </c>
      <c r="B795" s="3">
        <v>45300</v>
      </c>
      <c r="C795" s="5">
        <v>45292</v>
      </c>
      <c r="D795" s="2" t="s">
        <v>28</v>
      </c>
      <c r="E795" s="2">
        <v>6900</v>
      </c>
      <c r="F795" s="2" t="s">
        <v>195</v>
      </c>
      <c r="G795" s="2" t="s">
        <v>1048</v>
      </c>
      <c r="H795" s="4">
        <v>-134.85</v>
      </c>
      <c r="I795" s="4">
        <v>-134.85</v>
      </c>
      <c r="J795" s="4">
        <v>-134.85</v>
      </c>
      <c r="K795" s="4">
        <v>134.85</v>
      </c>
      <c r="L795" s="4"/>
      <c r="M795" s="2" t="s">
        <v>1084</v>
      </c>
      <c r="N795" s="2" t="s">
        <v>10</v>
      </c>
      <c r="O795" s="2" t="s">
        <v>10</v>
      </c>
    </row>
    <row r="796" spans="1:15" hidden="1" x14ac:dyDescent="0.25">
      <c r="A796" s="2" t="s">
        <v>338</v>
      </c>
      <c r="B796" s="3">
        <v>45368</v>
      </c>
      <c r="C796" s="5">
        <v>45352</v>
      </c>
      <c r="D796" s="2" t="s">
        <v>24</v>
      </c>
      <c r="E796" s="2">
        <v>6300</v>
      </c>
      <c r="F796" s="2" t="s">
        <v>23</v>
      </c>
      <c r="G796" s="2" t="s">
        <v>1045</v>
      </c>
      <c r="H796" s="4">
        <v>-694.85</v>
      </c>
      <c r="I796" s="4">
        <v>-694.85</v>
      </c>
      <c r="J796" s="4">
        <v>-694.85</v>
      </c>
      <c r="K796" s="4">
        <v>694.85</v>
      </c>
      <c r="L796" s="4"/>
      <c r="M796" s="2" t="s">
        <v>1084</v>
      </c>
      <c r="N796" s="2" t="s">
        <v>10</v>
      </c>
      <c r="O796" s="2" t="s">
        <v>10</v>
      </c>
    </row>
    <row r="797" spans="1:15" hidden="1" x14ac:dyDescent="0.25">
      <c r="A797" s="2" t="s">
        <v>453</v>
      </c>
      <c r="B797" s="3">
        <v>45649</v>
      </c>
      <c r="C797" s="5">
        <v>45627</v>
      </c>
      <c r="D797" s="2" t="s">
        <v>52</v>
      </c>
      <c r="E797" s="2">
        <v>6000</v>
      </c>
      <c r="F797" s="2" t="s">
        <v>51</v>
      </c>
      <c r="G797" s="2" t="s">
        <v>1033</v>
      </c>
      <c r="H797" s="4">
        <v>-9967.19</v>
      </c>
      <c r="I797" s="4">
        <v>-9967.19</v>
      </c>
      <c r="J797" s="4">
        <v>-9967.19</v>
      </c>
      <c r="K797" s="4">
        <v>9967.19</v>
      </c>
      <c r="L797" s="4"/>
      <c r="M797" s="2" t="s">
        <v>1084</v>
      </c>
      <c r="N797" s="2" t="s">
        <v>10</v>
      </c>
      <c r="O797" s="2" t="s">
        <v>10</v>
      </c>
    </row>
    <row r="798" spans="1:15" hidden="1" x14ac:dyDescent="0.25">
      <c r="A798" s="2" t="s">
        <v>221</v>
      </c>
      <c r="B798" s="3">
        <v>45652</v>
      </c>
      <c r="C798" s="5">
        <v>45627</v>
      </c>
      <c r="D798" s="2" t="s">
        <v>31</v>
      </c>
      <c r="E798" s="2">
        <v>4900</v>
      </c>
      <c r="F798" s="2" t="s">
        <v>146</v>
      </c>
      <c r="G798" s="2" t="s">
        <v>1031</v>
      </c>
      <c r="H798" s="4">
        <v>372.05</v>
      </c>
      <c r="I798" s="4">
        <v>372.05</v>
      </c>
      <c r="J798" s="4">
        <v>372.05</v>
      </c>
      <c r="K798" s="4">
        <v>372.05</v>
      </c>
      <c r="L798" s="4"/>
      <c r="M798" s="2" t="s">
        <v>1084</v>
      </c>
      <c r="N798" s="2" t="s">
        <v>10</v>
      </c>
      <c r="O798" s="2" t="s">
        <v>10</v>
      </c>
    </row>
    <row r="799" spans="1:15" hidden="1" x14ac:dyDescent="0.25">
      <c r="A799" s="2" t="s">
        <v>663</v>
      </c>
      <c r="B799" s="3">
        <v>45429</v>
      </c>
      <c r="C799" s="5">
        <v>45413</v>
      </c>
      <c r="D799" s="2" t="s">
        <v>24</v>
      </c>
      <c r="E799" s="2">
        <v>6300</v>
      </c>
      <c r="F799" s="2" t="s">
        <v>23</v>
      </c>
      <c r="G799" s="2" t="s">
        <v>1045</v>
      </c>
      <c r="H799" s="4">
        <v>-103.02</v>
      </c>
      <c r="I799" s="4">
        <v>-103.02</v>
      </c>
      <c r="J799" s="4">
        <v>-103.02</v>
      </c>
      <c r="K799" s="4">
        <v>103.02</v>
      </c>
      <c r="L799" s="4"/>
      <c r="M799" s="2" t="s">
        <v>1084</v>
      </c>
      <c r="N799" s="2" t="s">
        <v>10</v>
      </c>
      <c r="O799" s="2" t="s">
        <v>10</v>
      </c>
    </row>
    <row r="800" spans="1:15" hidden="1" x14ac:dyDescent="0.25">
      <c r="A800" s="2" t="s">
        <v>500</v>
      </c>
      <c r="B800" s="3">
        <v>45585</v>
      </c>
      <c r="C800" s="5">
        <v>45566</v>
      </c>
      <c r="D800" s="2" t="s">
        <v>59</v>
      </c>
      <c r="E800" s="2">
        <v>6200</v>
      </c>
      <c r="F800" s="2" t="s">
        <v>67</v>
      </c>
      <c r="G800" s="2" t="s">
        <v>1028</v>
      </c>
      <c r="H800" s="4">
        <v>-935.6</v>
      </c>
      <c r="I800" s="4">
        <v>-935.6</v>
      </c>
      <c r="J800" s="4">
        <v>-935.6</v>
      </c>
      <c r="K800" s="4">
        <v>935.6</v>
      </c>
      <c r="L800" s="4"/>
      <c r="M800" s="2" t="s">
        <v>1084</v>
      </c>
      <c r="N800" s="2" t="s">
        <v>10</v>
      </c>
      <c r="O800" s="2" t="s">
        <v>10</v>
      </c>
    </row>
    <row r="801" spans="1:15" hidden="1" x14ac:dyDescent="0.25">
      <c r="A801" s="2" t="s">
        <v>835</v>
      </c>
      <c r="B801" s="3">
        <v>45554</v>
      </c>
      <c r="C801" s="5">
        <v>45536</v>
      </c>
      <c r="D801" s="2" t="s">
        <v>24</v>
      </c>
      <c r="E801" s="2">
        <v>6300</v>
      </c>
      <c r="F801" s="2" t="s">
        <v>94</v>
      </c>
      <c r="G801" s="2" t="s">
        <v>1053</v>
      </c>
      <c r="H801" s="4">
        <v>-102.08</v>
      </c>
      <c r="I801" s="4">
        <v>-102.08</v>
      </c>
      <c r="J801" s="4">
        <v>-102.08</v>
      </c>
      <c r="K801" s="4">
        <v>102.08</v>
      </c>
      <c r="L801" s="4"/>
      <c r="M801" s="2" t="s">
        <v>1084</v>
      </c>
      <c r="N801" s="2" t="s">
        <v>10</v>
      </c>
      <c r="O801" s="2" t="s">
        <v>10</v>
      </c>
    </row>
    <row r="802" spans="1:15" hidden="1" x14ac:dyDescent="0.25">
      <c r="A802" s="2" t="s">
        <v>104</v>
      </c>
      <c r="B802" s="3">
        <v>45631</v>
      </c>
      <c r="C802" s="5">
        <v>45627</v>
      </c>
      <c r="D802" s="2" t="s">
        <v>35</v>
      </c>
      <c r="E802" s="2">
        <v>4000</v>
      </c>
      <c r="F802" s="2" t="s">
        <v>103</v>
      </c>
      <c r="G802" s="2" t="s">
        <v>1049</v>
      </c>
      <c r="H802" s="4">
        <v>1337.4</v>
      </c>
      <c r="I802" s="4">
        <v>1337.4</v>
      </c>
      <c r="J802" s="4">
        <v>1337.4</v>
      </c>
      <c r="K802" s="4">
        <v>1337.4</v>
      </c>
      <c r="L802" s="4"/>
      <c r="M802" s="2" t="s">
        <v>1084</v>
      </c>
      <c r="N802" s="2" t="s">
        <v>10</v>
      </c>
      <c r="O802" s="2" t="s">
        <v>10</v>
      </c>
    </row>
    <row r="803" spans="1:15" hidden="1" x14ac:dyDescent="0.25">
      <c r="A803" s="2" t="s">
        <v>64</v>
      </c>
      <c r="B803" s="3">
        <v>45615</v>
      </c>
      <c r="C803" s="5">
        <v>45597</v>
      </c>
      <c r="D803" s="2" t="s">
        <v>59</v>
      </c>
      <c r="E803" s="2">
        <v>6200</v>
      </c>
      <c r="F803" s="2" t="s">
        <v>58</v>
      </c>
      <c r="G803" s="2" t="s">
        <v>1038</v>
      </c>
      <c r="H803" s="4">
        <v>-935.71</v>
      </c>
      <c r="I803" s="4">
        <v>-935.71</v>
      </c>
      <c r="J803" s="4">
        <v>-935.71</v>
      </c>
      <c r="K803" s="4">
        <v>935.71</v>
      </c>
      <c r="L803" s="4"/>
      <c r="M803" s="2" t="s">
        <v>1084</v>
      </c>
      <c r="N803" s="2" t="s">
        <v>10</v>
      </c>
      <c r="O803" s="2" t="s">
        <v>10</v>
      </c>
    </row>
    <row r="804" spans="1:15" hidden="1" x14ac:dyDescent="0.25">
      <c r="A804" s="2" t="s">
        <v>355</v>
      </c>
      <c r="B804" s="3">
        <v>45521</v>
      </c>
      <c r="C804" s="5">
        <v>45505</v>
      </c>
      <c r="D804" s="2" t="s">
        <v>13</v>
      </c>
      <c r="E804" s="2">
        <v>6400</v>
      </c>
      <c r="F804" s="2" t="s">
        <v>12</v>
      </c>
      <c r="G804" s="2" t="s">
        <v>1032</v>
      </c>
      <c r="H804" s="4">
        <v>-2140.2399999999998</v>
      </c>
      <c r="I804" s="4">
        <v>-2140.2399999999998</v>
      </c>
      <c r="J804" s="4">
        <v>-2140.2399999999998</v>
      </c>
      <c r="K804" s="4">
        <v>2140.2399999999998</v>
      </c>
      <c r="L804" s="4"/>
      <c r="M804" s="2" t="s">
        <v>1084</v>
      </c>
      <c r="N804" s="2" t="s">
        <v>10</v>
      </c>
      <c r="O804" s="2" t="s">
        <v>10</v>
      </c>
    </row>
    <row r="805" spans="1:15" hidden="1" x14ac:dyDescent="0.25">
      <c r="A805" s="2" t="s">
        <v>701</v>
      </c>
      <c r="B805" s="3">
        <v>45436</v>
      </c>
      <c r="C805" s="5">
        <v>45413</v>
      </c>
      <c r="D805" s="2" t="s">
        <v>31</v>
      </c>
      <c r="E805" s="2">
        <v>4900</v>
      </c>
      <c r="F805" s="2" t="s">
        <v>146</v>
      </c>
      <c r="G805" s="2" t="s">
        <v>1031</v>
      </c>
      <c r="H805" s="4">
        <v>343.46</v>
      </c>
      <c r="I805" s="4">
        <v>343.46</v>
      </c>
      <c r="J805" s="4">
        <v>343.46</v>
      </c>
      <c r="K805" s="4">
        <v>343.46</v>
      </c>
      <c r="L805" s="4"/>
      <c r="M805" s="2" t="s">
        <v>1084</v>
      </c>
      <c r="N805" s="2" t="s">
        <v>10</v>
      </c>
      <c r="O805" s="2" t="s">
        <v>10</v>
      </c>
    </row>
    <row r="806" spans="1:15" hidden="1" x14ac:dyDescent="0.25">
      <c r="A806" s="2" t="s">
        <v>602</v>
      </c>
      <c r="B806" s="3">
        <v>45520</v>
      </c>
      <c r="C806" s="5">
        <v>45505</v>
      </c>
      <c r="D806" s="2" t="s">
        <v>39</v>
      </c>
      <c r="E806" s="2">
        <v>6500</v>
      </c>
      <c r="F806" s="2" t="s">
        <v>42</v>
      </c>
      <c r="G806" s="2" t="s">
        <v>1036</v>
      </c>
      <c r="H806" s="4">
        <v>-2316</v>
      </c>
      <c r="I806" s="4">
        <v>-2316</v>
      </c>
      <c r="J806" s="4">
        <v>-2316</v>
      </c>
      <c r="K806" s="4">
        <v>2316</v>
      </c>
      <c r="L806" s="4"/>
      <c r="M806" s="2" t="s">
        <v>1084</v>
      </c>
      <c r="N806" s="2" t="s">
        <v>10</v>
      </c>
      <c r="O806" s="2" t="s">
        <v>10</v>
      </c>
    </row>
    <row r="807" spans="1:15" hidden="1" x14ac:dyDescent="0.25">
      <c r="A807" s="2" t="s">
        <v>65</v>
      </c>
      <c r="B807" s="3">
        <v>45408</v>
      </c>
      <c r="C807" s="5">
        <v>45383</v>
      </c>
      <c r="D807" s="2" t="s">
        <v>39</v>
      </c>
      <c r="E807" s="2">
        <v>6500</v>
      </c>
      <c r="F807" s="2" t="s">
        <v>38</v>
      </c>
      <c r="G807" s="2" t="s">
        <v>1029</v>
      </c>
      <c r="H807" s="4">
        <v>-3401.29</v>
      </c>
      <c r="I807" s="4">
        <v>-3401.29</v>
      </c>
      <c r="J807" s="4">
        <v>-3401.29</v>
      </c>
      <c r="K807" s="4">
        <v>3401.29</v>
      </c>
      <c r="L807" s="4"/>
      <c r="M807" s="2" t="s">
        <v>1084</v>
      </c>
      <c r="N807" s="2" t="s">
        <v>10</v>
      </c>
      <c r="O807" s="2" t="s">
        <v>10</v>
      </c>
    </row>
    <row r="808" spans="1:15" hidden="1" x14ac:dyDescent="0.25">
      <c r="A808" s="2" t="s">
        <v>384</v>
      </c>
      <c r="B808" s="3">
        <v>45419</v>
      </c>
      <c r="C808" s="5">
        <v>45413</v>
      </c>
      <c r="D808" s="2" t="s">
        <v>13</v>
      </c>
      <c r="E808" s="2">
        <v>6400</v>
      </c>
      <c r="F808" s="2" t="s">
        <v>12</v>
      </c>
      <c r="G808" s="2" t="s">
        <v>1032</v>
      </c>
      <c r="H808" s="4">
        <v>-1612.9</v>
      </c>
      <c r="I808" s="4">
        <v>-1612.9</v>
      </c>
      <c r="J808" s="4">
        <v>-1612.9</v>
      </c>
      <c r="K808" s="4">
        <v>1612.9</v>
      </c>
      <c r="L808" s="4"/>
      <c r="M808" s="2" t="s">
        <v>1084</v>
      </c>
      <c r="N808" s="2" t="s">
        <v>10</v>
      </c>
      <c r="O808" s="2" t="s">
        <v>10</v>
      </c>
    </row>
    <row r="809" spans="1:15" hidden="1" x14ac:dyDescent="0.25">
      <c r="A809" s="2" t="s">
        <v>255</v>
      </c>
      <c r="B809" s="3">
        <v>45514</v>
      </c>
      <c r="C809" s="5">
        <v>45505</v>
      </c>
      <c r="D809" s="2" t="s">
        <v>18</v>
      </c>
      <c r="E809" s="2">
        <v>5100</v>
      </c>
      <c r="F809" s="2" t="s">
        <v>17</v>
      </c>
      <c r="G809" s="2" t="s">
        <v>1037</v>
      </c>
      <c r="H809" s="4">
        <v>-4125.16</v>
      </c>
      <c r="I809" s="4">
        <v>-4125.16</v>
      </c>
      <c r="J809" s="4">
        <v>-4125.16</v>
      </c>
      <c r="K809" s="4">
        <v>4125.16</v>
      </c>
      <c r="L809" s="4"/>
      <c r="M809" s="2" t="s">
        <v>1084</v>
      </c>
      <c r="N809" s="2" t="s">
        <v>10</v>
      </c>
      <c r="O809" s="2" t="s">
        <v>10</v>
      </c>
    </row>
    <row r="810" spans="1:15" hidden="1" x14ac:dyDescent="0.25">
      <c r="A810" s="2" t="s">
        <v>174</v>
      </c>
      <c r="B810" s="3">
        <v>45500</v>
      </c>
      <c r="C810" s="5">
        <v>45474</v>
      </c>
      <c r="D810" s="2" t="s">
        <v>59</v>
      </c>
      <c r="E810" s="2">
        <v>6200</v>
      </c>
      <c r="F810" s="2" t="s">
        <v>67</v>
      </c>
      <c r="G810" s="2" t="s">
        <v>1028</v>
      </c>
      <c r="H810" s="4">
        <v>-538.87</v>
      </c>
      <c r="I810" s="4">
        <v>-538.87</v>
      </c>
      <c r="J810" s="4">
        <v>-538.87</v>
      </c>
      <c r="K810" s="4">
        <v>538.87</v>
      </c>
      <c r="L810" s="4"/>
      <c r="M810" s="2" t="s">
        <v>1084</v>
      </c>
      <c r="N810" s="2" t="s">
        <v>10</v>
      </c>
      <c r="O810" s="2" t="s">
        <v>10</v>
      </c>
    </row>
    <row r="811" spans="1:15" hidden="1" x14ac:dyDescent="0.25">
      <c r="A811" s="2" t="s">
        <v>129</v>
      </c>
      <c r="B811" s="3">
        <v>45504</v>
      </c>
      <c r="C811" s="5">
        <v>45474</v>
      </c>
      <c r="D811" s="2" t="s">
        <v>31</v>
      </c>
      <c r="E811" s="2">
        <v>4900</v>
      </c>
      <c r="F811" s="2" t="s">
        <v>79</v>
      </c>
      <c r="G811" s="2" t="s">
        <v>1026</v>
      </c>
      <c r="H811" s="4">
        <v>352.37</v>
      </c>
      <c r="I811" s="4">
        <v>352.37</v>
      </c>
      <c r="J811" s="4">
        <v>352.37</v>
      </c>
      <c r="K811" s="4">
        <v>352.37</v>
      </c>
      <c r="L811" s="4"/>
      <c r="M811" s="2" t="s">
        <v>1084</v>
      </c>
      <c r="N811" s="2" t="s">
        <v>10</v>
      </c>
      <c r="O811" s="2" t="s">
        <v>10</v>
      </c>
    </row>
    <row r="812" spans="1:15" hidden="1" x14ac:dyDescent="0.25">
      <c r="A812" s="2" t="s">
        <v>233</v>
      </c>
      <c r="B812" s="3">
        <v>45432</v>
      </c>
      <c r="C812" s="5">
        <v>45413</v>
      </c>
      <c r="D812" s="2" t="s">
        <v>35</v>
      </c>
      <c r="E812" s="2">
        <v>4000</v>
      </c>
      <c r="F812" s="2" t="s">
        <v>103</v>
      </c>
      <c r="G812" s="2" t="s">
        <v>1049</v>
      </c>
      <c r="H812" s="4">
        <v>22396.71</v>
      </c>
      <c r="I812" s="4">
        <v>22396.71</v>
      </c>
      <c r="J812" s="4">
        <v>22396.71</v>
      </c>
      <c r="K812" s="4">
        <v>22396.71</v>
      </c>
      <c r="L812" s="4"/>
      <c r="M812" s="2" t="s">
        <v>1084</v>
      </c>
      <c r="N812" s="2" t="s">
        <v>10</v>
      </c>
      <c r="O812" s="2" t="s">
        <v>10</v>
      </c>
    </row>
    <row r="813" spans="1:15" hidden="1" x14ac:dyDescent="0.25">
      <c r="A813" s="2" t="s">
        <v>707</v>
      </c>
      <c r="B813" s="3">
        <v>45441</v>
      </c>
      <c r="C813" s="5">
        <v>45413</v>
      </c>
      <c r="D813" s="2" t="s">
        <v>28</v>
      </c>
      <c r="E813" s="2">
        <v>6900</v>
      </c>
      <c r="F813" s="2" t="s">
        <v>76</v>
      </c>
      <c r="G813" s="2" t="s">
        <v>1047</v>
      </c>
      <c r="H813" s="4">
        <v>-66.77</v>
      </c>
      <c r="I813" s="4">
        <v>-66.77</v>
      </c>
      <c r="J813" s="4">
        <v>-66.77</v>
      </c>
      <c r="K813" s="4">
        <v>66.77</v>
      </c>
      <c r="L813" s="4"/>
      <c r="M813" s="2" t="s">
        <v>1084</v>
      </c>
      <c r="N813" s="2" t="s">
        <v>10</v>
      </c>
      <c r="O813" s="2" t="s">
        <v>10</v>
      </c>
    </row>
    <row r="814" spans="1:15" hidden="1" x14ac:dyDescent="0.25">
      <c r="A814" s="2" t="s">
        <v>664</v>
      </c>
      <c r="B814" s="3">
        <v>45295</v>
      </c>
      <c r="C814" s="5">
        <v>45292</v>
      </c>
      <c r="D814" s="2" t="s">
        <v>9</v>
      </c>
      <c r="E814" s="2">
        <v>6100</v>
      </c>
      <c r="F814" s="2" t="s">
        <v>8</v>
      </c>
      <c r="G814" s="2" t="s">
        <v>1042</v>
      </c>
      <c r="H814" s="4">
        <v>-3413.06</v>
      </c>
      <c r="I814" s="4">
        <v>-3413.06</v>
      </c>
      <c r="J814" s="4">
        <v>-3413.06</v>
      </c>
      <c r="K814" s="4">
        <v>3413.06</v>
      </c>
      <c r="L814" s="4"/>
      <c r="M814" s="2" t="s">
        <v>1084</v>
      </c>
      <c r="N814" s="2" t="s">
        <v>10</v>
      </c>
      <c r="O814" s="2" t="s">
        <v>10</v>
      </c>
    </row>
    <row r="815" spans="1:15" hidden="1" x14ac:dyDescent="0.25">
      <c r="A815" s="2" t="s">
        <v>887</v>
      </c>
      <c r="B815" s="3">
        <v>45511</v>
      </c>
      <c r="C815" s="5">
        <v>45505</v>
      </c>
      <c r="D815" s="2" t="s">
        <v>52</v>
      </c>
      <c r="E815" s="2">
        <v>6000</v>
      </c>
      <c r="F815" s="2" t="s">
        <v>63</v>
      </c>
      <c r="G815" s="2" t="s">
        <v>1051</v>
      </c>
      <c r="H815" s="4">
        <v>-5886.3</v>
      </c>
      <c r="I815" s="4">
        <v>-5886.3</v>
      </c>
      <c r="J815" s="4">
        <v>-5886.3</v>
      </c>
      <c r="K815" s="4">
        <v>5886.3</v>
      </c>
      <c r="L815" s="4"/>
      <c r="M815" s="2" t="s">
        <v>1084</v>
      </c>
      <c r="N815" s="2" t="s">
        <v>10</v>
      </c>
      <c r="O815" s="2" t="s">
        <v>10</v>
      </c>
    </row>
    <row r="816" spans="1:15" hidden="1" x14ac:dyDescent="0.25">
      <c r="A816" s="2" t="s">
        <v>41</v>
      </c>
      <c r="B816" s="3">
        <v>45502</v>
      </c>
      <c r="C816" s="5">
        <v>45474</v>
      </c>
      <c r="D816" s="2" t="s">
        <v>39</v>
      </c>
      <c r="E816" s="2">
        <v>6500</v>
      </c>
      <c r="F816" s="2" t="s">
        <v>42</v>
      </c>
      <c r="G816" s="2" t="s">
        <v>1036</v>
      </c>
      <c r="H816" s="4">
        <v>-4096.03</v>
      </c>
      <c r="I816" s="4">
        <v>-4096.03</v>
      </c>
      <c r="J816" s="4">
        <v>-4096.03</v>
      </c>
      <c r="K816" s="4">
        <v>4096.03</v>
      </c>
      <c r="L816" s="4"/>
      <c r="M816" s="2" t="s">
        <v>1084</v>
      </c>
      <c r="N816" s="2" t="s">
        <v>10</v>
      </c>
      <c r="O816" s="2" t="s">
        <v>10</v>
      </c>
    </row>
    <row r="817" spans="1:15" hidden="1" x14ac:dyDescent="0.25">
      <c r="A817" s="2" t="s">
        <v>315</v>
      </c>
      <c r="B817" s="3">
        <v>45633</v>
      </c>
      <c r="C817" s="5">
        <v>45627</v>
      </c>
      <c r="D817" s="2" t="s">
        <v>28</v>
      </c>
      <c r="E817" s="2">
        <v>6900</v>
      </c>
      <c r="F817" s="2" t="s">
        <v>76</v>
      </c>
      <c r="G817" s="2" t="s">
        <v>1047</v>
      </c>
      <c r="H817" s="4">
        <v>-27.01</v>
      </c>
      <c r="I817" s="4">
        <v>-27.01</v>
      </c>
      <c r="J817" s="4">
        <v>-27.01</v>
      </c>
      <c r="K817" s="4">
        <v>27.01</v>
      </c>
      <c r="L817" s="4"/>
      <c r="M817" s="2" t="s">
        <v>1084</v>
      </c>
      <c r="N817" s="2" t="s">
        <v>10</v>
      </c>
      <c r="O817" s="2" t="s">
        <v>10</v>
      </c>
    </row>
    <row r="818" spans="1:15" hidden="1" x14ac:dyDescent="0.25">
      <c r="A818" s="2" t="s">
        <v>470</v>
      </c>
      <c r="B818" s="3">
        <v>45476</v>
      </c>
      <c r="C818" s="5">
        <v>45474</v>
      </c>
      <c r="D818" s="2" t="s">
        <v>35</v>
      </c>
      <c r="E818" s="2">
        <v>4000</v>
      </c>
      <c r="F818" s="2" t="s">
        <v>116</v>
      </c>
      <c r="G818" s="2" t="s">
        <v>1034</v>
      </c>
      <c r="H818" s="4">
        <v>14361.86</v>
      </c>
      <c r="I818" s="4">
        <v>14361.86</v>
      </c>
      <c r="J818" s="4">
        <v>14361.86</v>
      </c>
      <c r="K818" s="4">
        <v>14361.86</v>
      </c>
      <c r="L818" s="4"/>
      <c r="M818" s="2" t="s">
        <v>1084</v>
      </c>
      <c r="N818" s="2" t="s">
        <v>10</v>
      </c>
      <c r="O818" s="2" t="s">
        <v>10</v>
      </c>
    </row>
    <row r="819" spans="1:15" hidden="1" x14ac:dyDescent="0.25">
      <c r="A819" s="2" t="s">
        <v>55</v>
      </c>
      <c r="B819" s="3">
        <v>45462</v>
      </c>
      <c r="C819" s="5">
        <v>45444</v>
      </c>
      <c r="D819" s="2" t="s">
        <v>18</v>
      </c>
      <c r="E819" s="2">
        <v>5100</v>
      </c>
      <c r="F819" s="2" t="s">
        <v>56</v>
      </c>
      <c r="G819" s="2" t="s">
        <v>1025</v>
      </c>
      <c r="H819" s="4">
        <v>-6318.44</v>
      </c>
      <c r="I819" s="4">
        <v>-6318.44</v>
      </c>
      <c r="J819" s="4">
        <v>-6318.44</v>
      </c>
      <c r="K819" s="4">
        <v>6318.44</v>
      </c>
      <c r="L819" s="4"/>
      <c r="M819" s="2" t="s">
        <v>1084</v>
      </c>
      <c r="N819" s="2" t="s">
        <v>10</v>
      </c>
      <c r="O819" s="2" t="s">
        <v>10</v>
      </c>
    </row>
    <row r="820" spans="1:15" hidden="1" x14ac:dyDescent="0.25">
      <c r="A820" s="2" t="s">
        <v>47</v>
      </c>
      <c r="B820" s="3">
        <v>45316</v>
      </c>
      <c r="C820" s="5">
        <v>45292</v>
      </c>
      <c r="D820" s="2" t="s">
        <v>9</v>
      </c>
      <c r="E820" s="2">
        <v>6100</v>
      </c>
      <c r="F820" s="2" t="s">
        <v>48</v>
      </c>
      <c r="G820" s="2" t="s">
        <v>1043</v>
      </c>
      <c r="H820" s="4">
        <v>-2134.9499999999998</v>
      </c>
      <c r="I820" s="4">
        <v>-2134.9499999999998</v>
      </c>
      <c r="J820" s="4">
        <v>-2134.9499999999998</v>
      </c>
      <c r="K820" s="4">
        <v>2134.9499999999998</v>
      </c>
      <c r="L820" s="4"/>
      <c r="M820" s="2" t="s">
        <v>1084</v>
      </c>
      <c r="N820" s="2" t="s">
        <v>10</v>
      </c>
      <c r="O820" s="2" t="s">
        <v>10</v>
      </c>
    </row>
    <row r="821" spans="1:15" hidden="1" x14ac:dyDescent="0.25">
      <c r="A821" s="2" t="s">
        <v>204</v>
      </c>
      <c r="B821" s="3">
        <v>45363</v>
      </c>
      <c r="C821" s="5">
        <v>45352</v>
      </c>
      <c r="D821" s="2" t="s">
        <v>31</v>
      </c>
      <c r="E821" s="2">
        <v>4900</v>
      </c>
      <c r="F821" s="2" t="s">
        <v>146</v>
      </c>
      <c r="G821" s="2" t="s">
        <v>1031</v>
      </c>
      <c r="H821" s="4">
        <v>388.06</v>
      </c>
      <c r="I821" s="4">
        <v>388.06</v>
      </c>
      <c r="J821" s="4">
        <v>388.06</v>
      </c>
      <c r="K821" s="4">
        <v>388.06</v>
      </c>
      <c r="L821" s="4"/>
      <c r="M821" s="2" t="s">
        <v>1084</v>
      </c>
      <c r="N821" s="2" t="s">
        <v>10</v>
      </c>
      <c r="O821" s="2" t="s">
        <v>10</v>
      </c>
    </row>
    <row r="822" spans="1:15" hidden="1" x14ac:dyDescent="0.25">
      <c r="A822" s="2" t="s">
        <v>955</v>
      </c>
      <c r="B822" s="3">
        <v>45415</v>
      </c>
      <c r="C822" s="5">
        <v>45413</v>
      </c>
      <c r="D822" s="2" t="s">
        <v>35</v>
      </c>
      <c r="E822" s="2">
        <v>4000</v>
      </c>
      <c r="F822" s="2" t="s">
        <v>103</v>
      </c>
      <c r="G822" s="2" t="s">
        <v>1049</v>
      </c>
      <c r="H822" s="4">
        <v>24206.03</v>
      </c>
      <c r="I822" s="4">
        <v>24206.03</v>
      </c>
      <c r="J822" s="4">
        <v>24206.03</v>
      </c>
      <c r="K822" s="4">
        <v>24206.03</v>
      </c>
      <c r="L822" s="4"/>
      <c r="M822" s="2" t="s">
        <v>1084</v>
      </c>
      <c r="N822" s="2" t="s">
        <v>10</v>
      </c>
      <c r="O822" s="2" t="s">
        <v>10</v>
      </c>
    </row>
    <row r="823" spans="1:15" hidden="1" x14ac:dyDescent="0.25">
      <c r="A823" s="2" t="s">
        <v>423</v>
      </c>
      <c r="B823" s="3">
        <v>45429</v>
      </c>
      <c r="C823" s="5">
        <v>45413</v>
      </c>
      <c r="D823" s="2" t="s">
        <v>9</v>
      </c>
      <c r="E823" s="2">
        <v>6100</v>
      </c>
      <c r="F823" s="2" t="s">
        <v>8</v>
      </c>
      <c r="G823" s="2" t="s">
        <v>1042</v>
      </c>
      <c r="H823" s="4">
        <v>-5158.3100000000004</v>
      </c>
      <c r="I823" s="4">
        <v>-5158.3100000000004</v>
      </c>
      <c r="J823" s="4">
        <v>-5158.3100000000004</v>
      </c>
      <c r="K823" s="4">
        <v>5158.3100000000004</v>
      </c>
      <c r="L823" s="4"/>
      <c r="M823" s="2" t="s">
        <v>1084</v>
      </c>
      <c r="N823" s="2" t="s">
        <v>10</v>
      </c>
      <c r="O823" s="2" t="s">
        <v>10</v>
      </c>
    </row>
    <row r="824" spans="1:15" hidden="1" x14ac:dyDescent="0.25">
      <c r="A824" s="2" t="s">
        <v>476</v>
      </c>
      <c r="B824" s="3">
        <v>45424</v>
      </c>
      <c r="C824" s="5">
        <v>45413</v>
      </c>
      <c r="D824" s="2" t="s">
        <v>18</v>
      </c>
      <c r="E824" s="2">
        <v>5100</v>
      </c>
      <c r="F824" s="2" t="s">
        <v>17</v>
      </c>
      <c r="G824" s="2" t="s">
        <v>1037</v>
      </c>
      <c r="H824" s="4">
        <v>-7991.61</v>
      </c>
      <c r="I824" s="4">
        <v>-7991.61</v>
      </c>
      <c r="J824" s="4">
        <v>-7991.61</v>
      </c>
      <c r="K824" s="4">
        <v>7991.61</v>
      </c>
      <c r="L824" s="4"/>
      <c r="M824" s="2" t="s">
        <v>1084</v>
      </c>
      <c r="N824" s="2" t="s">
        <v>10</v>
      </c>
      <c r="O824" s="2" t="s">
        <v>10</v>
      </c>
    </row>
    <row r="825" spans="1:15" hidden="1" x14ac:dyDescent="0.25">
      <c r="A825" s="2" t="s">
        <v>575</v>
      </c>
      <c r="B825" s="3">
        <v>45435</v>
      </c>
      <c r="C825" s="5">
        <v>45413</v>
      </c>
      <c r="D825" s="2" t="s">
        <v>9</v>
      </c>
      <c r="E825" s="2">
        <v>6100</v>
      </c>
      <c r="F825" s="2" t="s">
        <v>44</v>
      </c>
      <c r="G825" s="2" t="s">
        <v>1054</v>
      </c>
      <c r="H825" s="4">
        <v>-1683.89</v>
      </c>
      <c r="I825" s="4">
        <v>-1683.89</v>
      </c>
      <c r="J825" s="4">
        <v>-1683.89</v>
      </c>
      <c r="K825" s="4">
        <v>1683.89</v>
      </c>
      <c r="L825" s="4"/>
      <c r="M825" s="2" t="s">
        <v>1084</v>
      </c>
      <c r="N825" s="2" t="s">
        <v>10</v>
      </c>
      <c r="O825" s="2" t="s">
        <v>10</v>
      </c>
    </row>
    <row r="826" spans="1:15" hidden="1" x14ac:dyDescent="0.25">
      <c r="A826" s="2" t="s">
        <v>675</v>
      </c>
      <c r="B826" s="3">
        <v>45572</v>
      </c>
      <c r="C826" s="5">
        <v>45566</v>
      </c>
      <c r="D826" s="2" t="s">
        <v>9</v>
      </c>
      <c r="E826" s="2">
        <v>6100</v>
      </c>
      <c r="F826" s="2" t="s">
        <v>44</v>
      </c>
      <c r="G826" s="2" t="s">
        <v>1054</v>
      </c>
      <c r="H826" s="4">
        <v>-3837.64</v>
      </c>
      <c r="I826" s="4">
        <v>-3837.64</v>
      </c>
      <c r="J826" s="4">
        <v>-3837.64</v>
      </c>
      <c r="K826" s="4">
        <v>3837.64</v>
      </c>
      <c r="L826" s="4"/>
      <c r="M826" s="2" t="s">
        <v>1084</v>
      </c>
      <c r="N826" s="2" t="s">
        <v>10</v>
      </c>
      <c r="O826" s="2" t="s">
        <v>10</v>
      </c>
    </row>
    <row r="827" spans="1:15" hidden="1" x14ac:dyDescent="0.25">
      <c r="A827" s="2" t="s">
        <v>361</v>
      </c>
      <c r="B827" s="3">
        <v>45339</v>
      </c>
      <c r="C827" s="5">
        <v>45323</v>
      </c>
      <c r="D827" s="2" t="s">
        <v>35</v>
      </c>
      <c r="E827" s="2">
        <v>4000</v>
      </c>
      <c r="F827" s="2" t="s">
        <v>116</v>
      </c>
      <c r="G827" s="2" t="s">
        <v>1034</v>
      </c>
      <c r="H827" s="4">
        <v>6954.51</v>
      </c>
      <c r="I827" s="4">
        <v>6954.51</v>
      </c>
      <c r="J827" s="4">
        <v>6954.51</v>
      </c>
      <c r="K827" s="4">
        <v>6954.51</v>
      </c>
      <c r="L827" s="4"/>
      <c r="M827" s="2" t="s">
        <v>1084</v>
      </c>
      <c r="N827" s="2" t="s">
        <v>10</v>
      </c>
      <c r="O827" s="2" t="s">
        <v>10</v>
      </c>
    </row>
    <row r="828" spans="1:15" hidden="1" x14ac:dyDescent="0.25">
      <c r="A828" s="2" t="s">
        <v>860</v>
      </c>
      <c r="B828" s="3">
        <v>45413</v>
      </c>
      <c r="C828" s="5">
        <v>45413</v>
      </c>
      <c r="D828" s="2" t="s">
        <v>9</v>
      </c>
      <c r="E828" s="2">
        <v>6100</v>
      </c>
      <c r="F828" s="2" t="s">
        <v>44</v>
      </c>
      <c r="G828" s="2" t="s">
        <v>1054</v>
      </c>
      <c r="H828" s="4">
        <v>-1398.97</v>
      </c>
      <c r="I828" s="4">
        <v>-1398.97</v>
      </c>
      <c r="J828" s="4">
        <v>-1398.97</v>
      </c>
      <c r="K828" s="4">
        <v>1398.97</v>
      </c>
      <c r="L828" s="4"/>
      <c r="M828" s="2" t="s">
        <v>1084</v>
      </c>
      <c r="N828" s="2" t="s">
        <v>10</v>
      </c>
      <c r="O828" s="2" t="s">
        <v>10</v>
      </c>
    </row>
    <row r="829" spans="1:15" hidden="1" x14ac:dyDescent="0.25">
      <c r="A829" s="2" t="s">
        <v>235</v>
      </c>
      <c r="B829" s="3">
        <v>45351</v>
      </c>
      <c r="C829" s="5">
        <v>45323</v>
      </c>
      <c r="D829" s="2" t="s">
        <v>28</v>
      </c>
      <c r="E829" s="2">
        <v>6900</v>
      </c>
      <c r="F829" s="2" t="s">
        <v>195</v>
      </c>
      <c r="G829" s="2" t="s">
        <v>1048</v>
      </c>
      <c r="H829" s="4">
        <v>-86.76</v>
      </c>
      <c r="I829" s="4">
        <v>-86.76</v>
      </c>
      <c r="J829" s="4">
        <v>-86.76</v>
      </c>
      <c r="K829" s="4">
        <v>86.76</v>
      </c>
      <c r="L829" s="4"/>
      <c r="M829" s="2" t="s">
        <v>1084</v>
      </c>
      <c r="N829" s="2" t="s">
        <v>10</v>
      </c>
      <c r="O829" s="2" t="s">
        <v>10</v>
      </c>
    </row>
    <row r="830" spans="1:15" x14ac:dyDescent="0.25">
      <c r="A830" s="2" t="s">
        <v>754</v>
      </c>
      <c r="B830" s="3">
        <v>45404</v>
      </c>
      <c r="C830" s="5">
        <v>45383</v>
      </c>
      <c r="D830" s="2" t="s">
        <v>28</v>
      </c>
      <c r="E830" s="2">
        <v>6900</v>
      </c>
      <c r="F830" s="2" t="s">
        <v>27</v>
      </c>
      <c r="G830" s="2" t="s">
        <v>1041</v>
      </c>
      <c r="H830" s="4">
        <v>-13.53</v>
      </c>
      <c r="I830" s="4">
        <v>228.18</v>
      </c>
      <c r="J830" s="4">
        <v>-13.53</v>
      </c>
      <c r="K830" s="4">
        <v>13.53</v>
      </c>
      <c r="L830" s="4">
        <v>-241.71</v>
      </c>
      <c r="M830" s="2" t="s">
        <v>1085</v>
      </c>
      <c r="N830" s="2" t="s">
        <v>123</v>
      </c>
      <c r="O830" s="2" t="s">
        <v>10</v>
      </c>
    </row>
    <row r="831" spans="1:15" hidden="1" x14ac:dyDescent="0.25">
      <c r="A831" s="2" t="s">
        <v>982</v>
      </c>
      <c r="B831" s="3">
        <v>45541</v>
      </c>
      <c r="C831" s="5">
        <v>45536</v>
      </c>
      <c r="D831" s="2" t="s">
        <v>35</v>
      </c>
      <c r="E831" s="2">
        <v>4000</v>
      </c>
      <c r="F831" s="2" t="s">
        <v>116</v>
      </c>
      <c r="G831" s="2" t="s">
        <v>1034</v>
      </c>
      <c r="H831" s="4">
        <v>15147.47</v>
      </c>
      <c r="I831" s="4">
        <v>15147.47</v>
      </c>
      <c r="J831" s="4">
        <v>15147.47</v>
      </c>
      <c r="K831" s="4">
        <v>15147.47</v>
      </c>
      <c r="L831" s="4"/>
      <c r="M831" s="2" t="s">
        <v>1084</v>
      </c>
      <c r="N831" s="2" t="s">
        <v>10</v>
      </c>
      <c r="O831" s="2" t="s">
        <v>10</v>
      </c>
    </row>
    <row r="832" spans="1:15" hidden="1" x14ac:dyDescent="0.25">
      <c r="A832" s="2" t="s">
        <v>588</v>
      </c>
      <c r="B832" s="3">
        <v>45309</v>
      </c>
      <c r="C832" s="5">
        <v>45292</v>
      </c>
      <c r="D832" s="2" t="s">
        <v>52</v>
      </c>
      <c r="E832" s="2">
        <v>6000</v>
      </c>
      <c r="F832" s="2" t="s">
        <v>63</v>
      </c>
      <c r="G832" s="2" t="s">
        <v>1051</v>
      </c>
      <c r="H832" s="4">
        <v>-2209.04</v>
      </c>
      <c r="I832" s="4">
        <v>-2209.04</v>
      </c>
      <c r="J832" s="4">
        <v>-2209.04</v>
      </c>
      <c r="K832" s="4">
        <v>2209.04</v>
      </c>
      <c r="L832" s="4"/>
      <c r="M832" s="2" t="s">
        <v>1084</v>
      </c>
      <c r="N832" s="2" t="s">
        <v>10</v>
      </c>
      <c r="O832" s="2" t="s">
        <v>10</v>
      </c>
    </row>
    <row r="833" spans="1:15" hidden="1" x14ac:dyDescent="0.25">
      <c r="A833" s="2" t="s">
        <v>747</v>
      </c>
      <c r="B833" s="3">
        <v>45415</v>
      </c>
      <c r="C833" s="5">
        <v>45413</v>
      </c>
      <c r="D833" s="2" t="s">
        <v>52</v>
      </c>
      <c r="E833" s="2">
        <v>6000</v>
      </c>
      <c r="F833" s="2" t="s">
        <v>97</v>
      </c>
      <c r="G833" s="2" t="s">
        <v>1046</v>
      </c>
      <c r="H833" s="4">
        <v>-6878.55</v>
      </c>
      <c r="I833" s="4">
        <v>-6878.55</v>
      </c>
      <c r="J833" s="4">
        <v>-6878.55</v>
      </c>
      <c r="K833" s="4">
        <v>6878.55</v>
      </c>
      <c r="L833" s="4"/>
      <c r="M833" s="2" t="s">
        <v>1084</v>
      </c>
      <c r="N833" s="2" t="s">
        <v>10</v>
      </c>
      <c r="O833" s="2" t="s">
        <v>10</v>
      </c>
    </row>
    <row r="834" spans="1:15" hidden="1" x14ac:dyDescent="0.25">
      <c r="A834" s="2" t="s">
        <v>263</v>
      </c>
      <c r="B834" s="3">
        <v>45300</v>
      </c>
      <c r="C834" s="5">
        <v>45292</v>
      </c>
      <c r="D834" s="2" t="s">
        <v>24</v>
      </c>
      <c r="E834" s="2">
        <v>6300</v>
      </c>
      <c r="F834" s="2" t="s">
        <v>23</v>
      </c>
      <c r="G834" s="2" t="s">
        <v>1045</v>
      </c>
      <c r="H834" s="4">
        <v>-603.37</v>
      </c>
      <c r="I834" s="4">
        <v>-603.37</v>
      </c>
      <c r="J834" s="4">
        <v>-603.37</v>
      </c>
      <c r="K834" s="4">
        <v>603.37</v>
      </c>
      <c r="L834" s="4"/>
      <c r="M834" s="2" t="s">
        <v>1084</v>
      </c>
      <c r="N834" s="2" t="s">
        <v>10</v>
      </c>
      <c r="O834" s="2" t="s">
        <v>10</v>
      </c>
    </row>
    <row r="835" spans="1:15" hidden="1" x14ac:dyDescent="0.25">
      <c r="A835" s="2" t="s">
        <v>657</v>
      </c>
      <c r="B835" s="3">
        <v>45640</v>
      </c>
      <c r="C835" s="5">
        <v>45627</v>
      </c>
      <c r="D835" s="2" t="s">
        <v>18</v>
      </c>
      <c r="E835" s="2">
        <v>5100</v>
      </c>
      <c r="F835" s="2" t="s">
        <v>17</v>
      </c>
      <c r="G835" s="2" t="s">
        <v>1037</v>
      </c>
      <c r="H835" s="4">
        <v>-1956.43</v>
      </c>
      <c r="I835" s="4">
        <v>-1956.43</v>
      </c>
      <c r="J835" s="4">
        <v>-1956.43</v>
      </c>
      <c r="K835" s="4">
        <v>1956.43</v>
      </c>
      <c r="L835" s="4"/>
      <c r="M835" s="2" t="s">
        <v>1084</v>
      </c>
      <c r="N835" s="2" t="s">
        <v>10</v>
      </c>
      <c r="O835" s="2" t="s">
        <v>10</v>
      </c>
    </row>
    <row r="836" spans="1:15" hidden="1" x14ac:dyDescent="0.25">
      <c r="A836" s="2" t="s">
        <v>496</v>
      </c>
      <c r="B836" s="3">
        <v>45557</v>
      </c>
      <c r="C836" s="5">
        <v>45536</v>
      </c>
      <c r="D836" s="2" t="s">
        <v>28</v>
      </c>
      <c r="E836" s="2">
        <v>6900</v>
      </c>
      <c r="F836" s="2" t="s">
        <v>27</v>
      </c>
      <c r="G836" s="2" t="s">
        <v>1041</v>
      </c>
      <c r="H836" s="4">
        <v>-134.74</v>
      </c>
      <c r="I836" s="4">
        <v>-134.74</v>
      </c>
      <c r="J836" s="4">
        <v>-134.74</v>
      </c>
      <c r="K836" s="4">
        <v>134.74</v>
      </c>
      <c r="L836" s="4"/>
      <c r="M836" s="2" t="s">
        <v>1084</v>
      </c>
      <c r="N836" s="2" t="s">
        <v>10</v>
      </c>
      <c r="O836" s="2" t="s">
        <v>10</v>
      </c>
    </row>
    <row r="837" spans="1:15" hidden="1" x14ac:dyDescent="0.25">
      <c r="A837" s="2" t="s">
        <v>868</v>
      </c>
      <c r="B837" s="3">
        <v>45380</v>
      </c>
      <c r="C837" s="5">
        <v>45352</v>
      </c>
      <c r="D837" s="2" t="s">
        <v>39</v>
      </c>
      <c r="E837" s="2">
        <v>6500</v>
      </c>
      <c r="F837" s="2" t="s">
        <v>69</v>
      </c>
      <c r="G837" s="2" t="s">
        <v>1052</v>
      </c>
      <c r="H837" s="4">
        <v>-1609.9</v>
      </c>
      <c r="I837" s="4">
        <v>-1609.9</v>
      </c>
      <c r="J837" s="4">
        <v>-1609.9</v>
      </c>
      <c r="K837" s="4">
        <v>1609.9</v>
      </c>
      <c r="L837" s="4"/>
      <c r="M837" s="2" t="s">
        <v>1084</v>
      </c>
      <c r="N837" s="2" t="s">
        <v>10</v>
      </c>
      <c r="O837" s="2" t="s">
        <v>10</v>
      </c>
    </row>
    <row r="838" spans="1:15" hidden="1" x14ac:dyDescent="0.25">
      <c r="A838" s="2" t="s">
        <v>660</v>
      </c>
      <c r="B838" s="3">
        <v>45364</v>
      </c>
      <c r="C838" s="5">
        <v>45352</v>
      </c>
      <c r="D838" s="2" t="s">
        <v>28</v>
      </c>
      <c r="E838" s="2">
        <v>6900</v>
      </c>
      <c r="F838" s="2" t="s">
        <v>76</v>
      </c>
      <c r="G838" s="2" t="s">
        <v>1047</v>
      </c>
      <c r="H838" s="4">
        <v>-90.21</v>
      </c>
      <c r="I838" s="4">
        <v>-90.21</v>
      </c>
      <c r="J838" s="4">
        <v>-90.21</v>
      </c>
      <c r="K838" s="4">
        <v>90.21</v>
      </c>
      <c r="L838" s="4"/>
      <c r="M838" s="2" t="s">
        <v>1084</v>
      </c>
      <c r="N838" s="2" t="s">
        <v>10</v>
      </c>
      <c r="O838" s="2" t="s">
        <v>10</v>
      </c>
    </row>
    <row r="839" spans="1:15" hidden="1" x14ac:dyDescent="0.25">
      <c r="A839" s="2" t="s">
        <v>843</v>
      </c>
      <c r="B839" s="3">
        <v>45328</v>
      </c>
      <c r="C839" s="5">
        <v>45323</v>
      </c>
      <c r="D839" s="2" t="s">
        <v>18</v>
      </c>
      <c r="E839" s="2">
        <v>5100</v>
      </c>
      <c r="F839" s="2" t="s">
        <v>17</v>
      </c>
      <c r="G839" s="2" t="s">
        <v>1037</v>
      </c>
      <c r="H839" s="4">
        <v>-10827.32</v>
      </c>
      <c r="I839" s="4">
        <v>-10827.32</v>
      </c>
      <c r="J839" s="4">
        <v>-10827.32</v>
      </c>
      <c r="K839" s="4">
        <v>10827.32</v>
      </c>
      <c r="L839" s="4"/>
      <c r="M839" s="2" t="s">
        <v>1084</v>
      </c>
      <c r="N839" s="2" t="s">
        <v>10</v>
      </c>
      <c r="O839" s="2" t="s">
        <v>10</v>
      </c>
    </row>
    <row r="840" spans="1:15" hidden="1" x14ac:dyDescent="0.25">
      <c r="A840" s="2" t="s">
        <v>383</v>
      </c>
      <c r="B840" s="3">
        <v>45464</v>
      </c>
      <c r="C840" s="5">
        <v>45444</v>
      </c>
      <c r="D840" s="2" t="s">
        <v>35</v>
      </c>
      <c r="E840" s="2">
        <v>4000</v>
      </c>
      <c r="F840" s="2" t="s">
        <v>34</v>
      </c>
      <c r="G840" s="2" t="s">
        <v>1027</v>
      </c>
      <c r="H840" s="4">
        <v>4329.1400000000003</v>
      </c>
      <c r="I840" s="4">
        <v>4329.1400000000003</v>
      </c>
      <c r="J840" s="4">
        <v>4329.1400000000003</v>
      </c>
      <c r="K840" s="4">
        <v>4329.1400000000003</v>
      </c>
      <c r="L840" s="4"/>
      <c r="M840" s="2" t="s">
        <v>1084</v>
      </c>
      <c r="N840" s="2" t="s">
        <v>10</v>
      </c>
      <c r="O840" s="2" t="s">
        <v>10</v>
      </c>
    </row>
    <row r="841" spans="1:15" hidden="1" x14ac:dyDescent="0.25">
      <c r="A841" s="2" t="s">
        <v>842</v>
      </c>
      <c r="B841" s="3">
        <v>45567</v>
      </c>
      <c r="C841" s="5">
        <v>45566</v>
      </c>
      <c r="D841" s="2" t="s">
        <v>31</v>
      </c>
      <c r="E841" s="2">
        <v>4900</v>
      </c>
      <c r="F841" s="2" t="s">
        <v>79</v>
      </c>
      <c r="G841" s="2" t="s">
        <v>1026</v>
      </c>
      <c r="H841" s="4">
        <v>46.14</v>
      </c>
      <c r="I841" s="4">
        <v>46.14</v>
      </c>
      <c r="J841" s="4">
        <v>46.14</v>
      </c>
      <c r="K841" s="4">
        <v>46.14</v>
      </c>
      <c r="L841" s="4"/>
      <c r="M841" s="2" t="s">
        <v>1084</v>
      </c>
      <c r="N841" s="2" t="s">
        <v>10</v>
      </c>
      <c r="O841" s="2" t="s">
        <v>10</v>
      </c>
    </row>
    <row r="842" spans="1:15" hidden="1" x14ac:dyDescent="0.25">
      <c r="A842" s="2" t="s">
        <v>557</v>
      </c>
      <c r="B842" s="3">
        <v>45505</v>
      </c>
      <c r="C842" s="5">
        <v>45505</v>
      </c>
      <c r="D842" s="2" t="s">
        <v>52</v>
      </c>
      <c r="E842" s="2">
        <v>6000</v>
      </c>
      <c r="F842" s="2" t="s">
        <v>97</v>
      </c>
      <c r="G842" s="2" t="s">
        <v>1046</v>
      </c>
      <c r="H842" s="4">
        <v>-6281.2</v>
      </c>
      <c r="I842" s="4">
        <v>-6281.2</v>
      </c>
      <c r="J842" s="4">
        <v>-6281.2</v>
      </c>
      <c r="K842" s="4">
        <v>6281.2</v>
      </c>
      <c r="L842" s="4"/>
      <c r="M842" s="2" t="s">
        <v>1084</v>
      </c>
      <c r="N842" s="2" t="s">
        <v>10</v>
      </c>
      <c r="O842" s="2" t="s">
        <v>10</v>
      </c>
    </row>
    <row r="843" spans="1:15" hidden="1" x14ac:dyDescent="0.25">
      <c r="A843" s="2" t="s">
        <v>699</v>
      </c>
      <c r="B843" s="3">
        <v>45613</v>
      </c>
      <c r="C843" s="5">
        <v>45597</v>
      </c>
      <c r="D843" s="2" t="s">
        <v>9</v>
      </c>
      <c r="E843" s="2">
        <v>6100</v>
      </c>
      <c r="F843" s="2" t="s">
        <v>8</v>
      </c>
      <c r="G843" s="2" t="s">
        <v>1042</v>
      </c>
      <c r="H843" s="4">
        <v>-5337.17</v>
      </c>
      <c r="I843" s="4">
        <v>-5337.17</v>
      </c>
      <c r="J843" s="4">
        <v>-5337.17</v>
      </c>
      <c r="K843" s="4">
        <v>5337.17</v>
      </c>
      <c r="L843" s="4"/>
      <c r="M843" s="2" t="s">
        <v>1084</v>
      </c>
      <c r="N843" s="2" t="s">
        <v>10</v>
      </c>
      <c r="O843" s="2" t="s">
        <v>123</v>
      </c>
    </row>
    <row r="844" spans="1:15" hidden="1" x14ac:dyDescent="0.25">
      <c r="A844" s="2" t="s">
        <v>469</v>
      </c>
      <c r="B844" s="3">
        <v>45417</v>
      </c>
      <c r="C844" s="5">
        <v>45413</v>
      </c>
      <c r="D844" s="2" t="s">
        <v>31</v>
      </c>
      <c r="E844" s="2">
        <v>4900</v>
      </c>
      <c r="F844" s="2" t="s">
        <v>30</v>
      </c>
      <c r="G844" s="2" t="s">
        <v>1024</v>
      </c>
      <c r="H844" s="4">
        <v>369.33</v>
      </c>
      <c r="I844" s="4">
        <v>369.33</v>
      </c>
      <c r="J844" s="4">
        <v>369.33</v>
      </c>
      <c r="K844" s="4">
        <v>369.33</v>
      </c>
      <c r="L844" s="4"/>
      <c r="M844" s="2" t="s">
        <v>1084</v>
      </c>
      <c r="N844" s="2" t="s">
        <v>10</v>
      </c>
      <c r="O844" s="2" t="s">
        <v>10</v>
      </c>
    </row>
    <row r="845" spans="1:15" hidden="1" x14ac:dyDescent="0.25">
      <c r="A845" s="2" t="s">
        <v>370</v>
      </c>
      <c r="B845" s="3">
        <v>45393</v>
      </c>
      <c r="C845" s="5">
        <v>45383</v>
      </c>
      <c r="D845" s="2" t="s">
        <v>35</v>
      </c>
      <c r="E845" s="2">
        <v>4000</v>
      </c>
      <c r="F845" s="2" t="s">
        <v>34</v>
      </c>
      <c r="G845" s="2" t="s">
        <v>1027</v>
      </c>
      <c r="H845" s="4">
        <v>2650.1</v>
      </c>
      <c r="I845" s="4">
        <v>2650.1</v>
      </c>
      <c r="J845" s="4">
        <v>2650.1</v>
      </c>
      <c r="K845" s="4">
        <v>2650.1</v>
      </c>
      <c r="L845" s="4"/>
      <c r="M845" s="2" t="s">
        <v>1084</v>
      </c>
      <c r="N845" s="2" t="s">
        <v>10</v>
      </c>
      <c r="O845" s="2" t="s">
        <v>10</v>
      </c>
    </row>
    <row r="846" spans="1:15" hidden="1" x14ac:dyDescent="0.25">
      <c r="A846" s="2" t="s">
        <v>389</v>
      </c>
      <c r="B846" s="3">
        <v>45466</v>
      </c>
      <c r="C846" s="5">
        <v>45444</v>
      </c>
      <c r="D846" s="2" t="s">
        <v>35</v>
      </c>
      <c r="E846" s="2">
        <v>4000</v>
      </c>
      <c r="F846" s="2" t="s">
        <v>116</v>
      </c>
      <c r="G846" s="2" t="s">
        <v>1034</v>
      </c>
      <c r="H846" s="4">
        <v>23275.99</v>
      </c>
      <c r="I846" s="4">
        <v>23275.99</v>
      </c>
      <c r="J846" s="4">
        <v>23275.99</v>
      </c>
      <c r="K846" s="4">
        <v>23275.99</v>
      </c>
      <c r="L846" s="4"/>
      <c r="M846" s="2" t="s">
        <v>1084</v>
      </c>
      <c r="N846" s="2" t="s">
        <v>10</v>
      </c>
      <c r="O846" s="2" t="s">
        <v>10</v>
      </c>
    </row>
    <row r="847" spans="1:15" hidden="1" x14ac:dyDescent="0.25">
      <c r="A847" s="2" t="s">
        <v>909</v>
      </c>
      <c r="B847" s="3">
        <v>45365</v>
      </c>
      <c r="C847" s="5">
        <v>45352</v>
      </c>
      <c r="D847" s="2" t="s">
        <v>35</v>
      </c>
      <c r="E847" s="2">
        <v>4000</v>
      </c>
      <c r="F847" s="2" t="s">
        <v>103</v>
      </c>
      <c r="G847" s="2" t="s">
        <v>1049</v>
      </c>
      <c r="H847" s="4">
        <v>23713.58</v>
      </c>
      <c r="I847" s="4">
        <v>23713.58</v>
      </c>
      <c r="J847" s="4">
        <v>23713.58</v>
      </c>
      <c r="K847" s="4">
        <v>23713.58</v>
      </c>
      <c r="L847" s="4"/>
      <c r="M847" s="2" t="s">
        <v>1084</v>
      </c>
      <c r="N847" s="2" t="s">
        <v>10</v>
      </c>
      <c r="O847" s="2" t="s">
        <v>10</v>
      </c>
    </row>
    <row r="848" spans="1:15" hidden="1" x14ac:dyDescent="0.25">
      <c r="A848" s="2" t="s">
        <v>132</v>
      </c>
      <c r="B848" s="3">
        <v>45648</v>
      </c>
      <c r="C848" s="5">
        <v>45627</v>
      </c>
      <c r="D848" s="2" t="s">
        <v>18</v>
      </c>
      <c r="E848" s="2">
        <v>5100</v>
      </c>
      <c r="F848" s="2" t="s">
        <v>56</v>
      </c>
      <c r="G848" s="2" t="s">
        <v>1025</v>
      </c>
      <c r="H848" s="4">
        <v>-5456.44</v>
      </c>
      <c r="I848" s="4">
        <v>-5456.44</v>
      </c>
      <c r="J848" s="4">
        <v>-5456.44</v>
      </c>
      <c r="K848" s="4">
        <v>5456.44</v>
      </c>
      <c r="L848" s="4"/>
      <c r="M848" s="2" t="s">
        <v>1084</v>
      </c>
      <c r="N848" s="2" t="s">
        <v>10</v>
      </c>
      <c r="O848" s="2" t="s">
        <v>10</v>
      </c>
    </row>
    <row r="849" spans="1:15" hidden="1" x14ac:dyDescent="0.25">
      <c r="A849" s="2" t="s">
        <v>1015</v>
      </c>
      <c r="B849" s="3">
        <v>45359</v>
      </c>
      <c r="C849" s="5">
        <v>45352</v>
      </c>
      <c r="D849" s="2" t="s">
        <v>35</v>
      </c>
      <c r="E849" s="2">
        <v>4000</v>
      </c>
      <c r="F849" s="2" t="s">
        <v>103</v>
      </c>
      <c r="G849" s="2" t="s">
        <v>1049</v>
      </c>
      <c r="H849" s="4">
        <v>11585.03</v>
      </c>
      <c r="I849" s="4">
        <v>11585.03</v>
      </c>
      <c r="J849" s="4">
        <v>11585.03</v>
      </c>
      <c r="K849" s="4">
        <v>11585.03</v>
      </c>
      <c r="L849" s="4"/>
      <c r="M849" s="2" t="s">
        <v>1084</v>
      </c>
      <c r="N849" s="2" t="s">
        <v>10</v>
      </c>
      <c r="O849" s="2" t="s">
        <v>10</v>
      </c>
    </row>
    <row r="850" spans="1:15" hidden="1" x14ac:dyDescent="0.25">
      <c r="A850" s="2" t="s">
        <v>494</v>
      </c>
      <c r="B850" s="3">
        <v>45466</v>
      </c>
      <c r="C850" s="5">
        <v>45444</v>
      </c>
      <c r="D850" s="2" t="s">
        <v>28</v>
      </c>
      <c r="E850" s="2">
        <v>6900</v>
      </c>
      <c r="F850" s="2" t="s">
        <v>195</v>
      </c>
      <c r="G850" s="2" t="s">
        <v>1048</v>
      </c>
      <c r="H850" s="4">
        <v>-32.56</v>
      </c>
      <c r="I850" s="4">
        <v>-32.56</v>
      </c>
      <c r="J850" s="4">
        <v>-32.56</v>
      </c>
      <c r="K850" s="4">
        <v>32.56</v>
      </c>
      <c r="L850" s="4"/>
      <c r="M850" s="2" t="s">
        <v>1084</v>
      </c>
      <c r="N850" s="2" t="s">
        <v>10</v>
      </c>
      <c r="O850" s="2" t="s">
        <v>10</v>
      </c>
    </row>
    <row r="851" spans="1:15" hidden="1" x14ac:dyDescent="0.25">
      <c r="A851" s="2" t="s">
        <v>689</v>
      </c>
      <c r="B851" s="3">
        <v>45482</v>
      </c>
      <c r="C851" s="5">
        <v>45474</v>
      </c>
      <c r="D851" s="2" t="s">
        <v>9</v>
      </c>
      <c r="E851" s="2">
        <v>6100</v>
      </c>
      <c r="F851" s="2" t="s">
        <v>48</v>
      </c>
      <c r="G851" s="2" t="s">
        <v>1043</v>
      </c>
      <c r="H851" s="4">
        <v>-5471.55</v>
      </c>
      <c r="I851" s="4">
        <v>-5471.55</v>
      </c>
      <c r="J851" s="4">
        <v>-5471.55</v>
      </c>
      <c r="K851" s="4">
        <v>5471.55</v>
      </c>
      <c r="L851" s="4"/>
      <c r="M851" s="2" t="s">
        <v>1084</v>
      </c>
      <c r="N851" s="2" t="s">
        <v>10</v>
      </c>
      <c r="O851" s="2" t="s">
        <v>10</v>
      </c>
    </row>
    <row r="852" spans="1:15" hidden="1" x14ac:dyDescent="0.25">
      <c r="A852" s="2" t="s">
        <v>695</v>
      </c>
      <c r="B852" s="3">
        <v>45312</v>
      </c>
      <c r="C852" s="5">
        <v>45292</v>
      </c>
      <c r="D852" s="2" t="s">
        <v>31</v>
      </c>
      <c r="E852" s="2">
        <v>4900</v>
      </c>
      <c r="F852" s="2" t="s">
        <v>146</v>
      </c>
      <c r="G852" s="2" t="s">
        <v>1031</v>
      </c>
      <c r="H852" s="4">
        <v>283.58</v>
      </c>
      <c r="I852" s="4">
        <v>283.58</v>
      </c>
      <c r="J852" s="4">
        <v>283.58</v>
      </c>
      <c r="K852" s="4">
        <v>283.58</v>
      </c>
      <c r="L852" s="4"/>
      <c r="M852" s="2" t="s">
        <v>1084</v>
      </c>
      <c r="N852" s="2" t="s">
        <v>10</v>
      </c>
      <c r="O852" s="2" t="s">
        <v>10</v>
      </c>
    </row>
    <row r="853" spans="1:15" hidden="1" x14ac:dyDescent="0.25">
      <c r="A853" s="2" t="s">
        <v>154</v>
      </c>
      <c r="B853" s="3">
        <v>45462</v>
      </c>
      <c r="C853" s="5">
        <v>45444</v>
      </c>
      <c r="D853" s="2" t="s">
        <v>28</v>
      </c>
      <c r="E853" s="2">
        <v>6900</v>
      </c>
      <c r="F853" s="2" t="s">
        <v>76</v>
      </c>
      <c r="G853" s="2" t="s">
        <v>1047</v>
      </c>
      <c r="H853" s="4">
        <v>-14.74</v>
      </c>
      <c r="I853" s="4">
        <v>-14.74</v>
      </c>
      <c r="J853" s="4">
        <v>-14.74</v>
      </c>
      <c r="K853" s="4">
        <v>14.74</v>
      </c>
      <c r="L853" s="4"/>
      <c r="M853" s="2" t="s">
        <v>1084</v>
      </c>
      <c r="N853" s="2" t="s">
        <v>10</v>
      </c>
      <c r="O853" s="2" t="s">
        <v>10</v>
      </c>
    </row>
    <row r="854" spans="1:15" hidden="1" x14ac:dyDescent="0.25">
      <c r="A854" s="2" t="s">
        <v>610</v>
      </c>
      <c r="B854" s="3">
        <v>45457</v>
      </c>
      <c r="C854" s="5">
        <v>45444</v>
      </c>
      <c r="D854" s="2" t="s">
        <v>31</v>
      </c>
      <c r="E854" s="2">
        <v>4900</v>
      </c>
      <c r="F854" s="2" t="s">
        <v>79</v>
      </c>
      <c r="G854" s="2" t="s">
        <v>1026</v>
      </c>
      <c r="H854" s="4">
        <v>263.22000000000003</v>
      </c>
      <c r="I854" s="4">
        <v>263.22000000000003</v>
      </c>
      <c r="J854" s="4">
        <v>263.22000000000003</v>
      </c>
      <c r="K854" s="4">
        <v>263.22000000000003</v>
      </c>
      <c r="L854" s="4"/>
      <c r="M854" s="2" t="s">
        <v>1084</v>
      </c>
      <c r="N854" s="2" t="s">
        <v>10</v>
      </c>
      <c r="O854" s="2" t="s">
        <v>10</v>
      </c>
    </row>
    <row r="855" spans="1:15" hidden="1" x14ac:dyDescent="0.25">
      <c r="A855" s="2" t="s">
        <v>816</v>
      </c>
      <c r="B855" s="3">
        <v>45386</v>
      </c>
      <c r="C855" s="5">
        <v>45383</v>
      </c>
      <c r="D855" s="2" t="s">
        <v>52</v>
      </c>
      <c r="E855" s="2">
        <v>6000</v>
      </c>
      <c r="F855" s="2" t="s">
        <v>63</v>
      </c>
      <c r="G855" s="2" t="s">
        <v>1051</v>
      </c>
      <c r="H855" s="4">
        <v>-5059.67</v>
      </c>
      <c r="I855" s="4">
        <v>-5059.67</v>
      </c>
      <c r="J855" s="4">
        <v>-5059.67</v>
      </c>
      <c r="K855" s="4">
        <v>5059.67</v>
      </c>
      <c r="L855" s="4"/>
      <c r="M855" s="2" t="s">
        <v>1084</v>
      </c>
      <c r="N855" s="2" t="s">
        <v>10</v>
      </c>
      <c r="O855" s="2" t="s">
        <v>10</v>
      </c>
    </row>
    <row r="856" spans="1:15" hidden="1" x14ac:dyDescent="0.25">
      <c r="A856" s="2" t="s">
        <v>403</v>
      </c>
      <c r="B856" s="3">
        <v>45338</v>
      </c>
      <c r="C856" s="5">
        <v>45323</v>
      </c>
      <c r="D856" s="2" t="s">
        <v>52</v>
      </c>
      <c r="E856" s="2">
        <v>6000</v>
      </c>
      <c r="F856" s="2" t="s">
        <v>51</v>
      </c>
      <c r="G856" s="2" t="s">
        <v>1033</v>
      </c>
      <c r="H856" s="4">
        <v>-2487.2199999999998</v>
      </c>
      <c r="I856" s="4">
        <v>-2487.2199999999998</v>
      </c>
      <c r="J856" s="4">
        <v>-2487.2199999999998</v>
      </c>
      <c r="K856" s="4">
        <v>2487.2199999999998</v>
      </c>
      <c r="L856" s="4"/>
      <c r="M856" s="2" t="s">
        <v>1084</v>
      </c>
      <c r="N856" s="2" t="s">
        <v>10</v>
      </c>
      <c r="O856" s="2" t="s">
        <v>10</v>
      </c>
    </row>
    <row r="857" spans="1:15" hidden="1" x14ac:dyDescent="0.25">
      <c r="A857" s="2" t="s">
        <v>437</v>
      </c>
      <c r="B857" s="3">
        <v>45308</v>
      </c>
      <c r="C857" s="5">
        <v>45292</v>
      </c>
      <c r="D857" s="2" t="s">
        <v>28</v>
      </c>
      <c r="E857" s="2">
        <v>6900</v>
      </c>
      <c r="F857" s="2" t="s">
        <v>27</v>
      </c>
      <c r="G857" s="2" t="s">
        <v>1041</v>
      </c>
      <c r="H857" s="4">
        <v>-142.72999999999999</v>
      </c>
      <c r="I857" s="4">
        <v>-142.72999999999999</v>
      </c>
      <c r="J857" s="4">
        <v>-142.72999999999999</v>
      </c>
      <c r="K857" s="4">
        <v>142.72999999999999</v>
      </c>
      <c r="L857" s="4"/>
      <c r="M857" s="2" t="s">
        <v>1084</v>
      </c>
      <c r="N857" s="2" t="s">
        <v>10</v>
      </c>
      <c r="O857" s="2" t="s">
        <v>10</v>
      </c>
    </row>
    <row r="858" spans="1:15" hidden="1" x14ac:dyDescent="0.25">
      <c r="A858" s="2" t="s">
        <v>324</v>
      </c>
      <c r="B858" s="3">
        <v>45295</v>
      </c>
      <c r="C858" s="5">
        <v>45292</v>
      </c>
      <c r="D858" s="2" t="s">
        <v>52</v>
      </c>
      <c r="E858" s="2">
        <v>6000</v>
      </c>
      <c r="F858" s="2" t="s">
        <v>97</v>
      </c>
      <c r="G858" s="2" t="s">
        <v>1046</v>
      </c>
      <c r="H858" s="4">
        <v>-10700.81</v>
      </c>
      <c r="I858" s="4">
        <v>-10700.81</v>
      </c>
      <c r="J858" s="4">
        <v>-10700.81</v>
      </c>
      <c r="K858" s="4">
        <v>10700.81</v>
      </c>
      <c r="L858" s="4"/>
      <c r="M858" s="2" t="s">
        <v>1084</v>
      </c>
      <c r="N858" s="2" t="s">
        <v>10</v>
      </c>
      <c r="O858" s="2" t="s">
        <v>10</v>
      </c>
    </row>
    <row r="859" spans="1:15" hidden="1" x14ac:dyDescent="0.25">
      <c r="A859" s="2" t="s">
        <v>239</v>
      </c>
      <c r="B859" s="3">
        <v>45467</v>
      </c>
      <c r="C859" s="5">
        <v>45444</v>
      </c>
      <c r="D859" s="2" t="s">
        <v>35</v>
      </c>
      <c r="E859" s="2">
        <v>4000</v>
      </c>
      <c r="F859" s="2" t="s">
        <v>116</v>
      </c>
      <c r="G859" s="2" t="s">
        <v>1034</v>
      </c>
      <c r="H859" s="4">
        <v>3843.53</v>
      </c>
      <c r="I859" s="4">
        <v>3843.53</v>
      </c>
      <c r="J859" s="4">
        <v>3843.53</v>
      </c>
      <c r="K859" s="4">
        <v>3843.53</v>
      </c>
      <c r="L859" s="4"/>
      <c r="M859" s="2" t="s">
        <v>1084</v>
      </c>
      <c r="N859" s="2" t="s">
        <v>10</v>
      </c>
      <c r="O859" s="2" t="s">
        <v>10</v>
      </c>
    </row>
    <row r="860" spans="1:15" hidden="1" x14ac:dyDescent="0.25">
      <c r="A860" s="2" t="s">
        <v>621</v>
      </c>
      <c r="B860" s="3">
        <v>45324</v>
      </c>
      <c r="C860" s="5">
        <v>45323</v>
      </c>
      <c r="D860" s="2" t="s">
        <v>9</v>
      </c>
      <c r="E860" s="2">
        <v>6100</v>
      </c>
      <c r="F860" s="2" t="s">
        <v>8</v>
      </c>
      <c r="G860" s="2" t="s">
        <v>1042</v>
      </c>
      <c r="H860" s="4">
        <v>-2715.39</v>
      </c>
      <c r="I860" s="4">
        <v>-2715.39</v>
      </c>
      <c r="J860" s="4">
        <v>-2715.39</v>
      </c>
      <c r="K860" s="4">
        <v>2715.39</v>
      </c>
      <c r="L860" s="4"/>
      <c r="M860" s="2" t="s">
        <v>1084</v>
      </c>
      <c r="N860" s="2" t="s">
        <v>10</v>
      </c>
      <c r="O860" s="2" t="s">
        <v>10</v>
      </c>
    </row>
    <row r="861" spans="1:15" hidden="1" x14ac:dyDescent="0.25">
      <c r="A861" s="2" t="s">
        <v>662</v>
      </c>
      <c r="B861" s="3">
        <v>45642</v>
      </c>
      <c r="C861" s="5">
        <v>45627</v>
      </c>
      <c r="D861" s="2" t="s">
        <v>28</v>
      </c>
      <c r="E861" s="2">
        <v>6900</v>
      </c>
      <c r="F861" s="2" t="s">
        <v>76</v>
      </c>
      <c r="G861" s="2" t="s">
        <v>1047</v>
      </c>
      <c r="H861" s="4">
        <v>-82.89</v>
      </c>
      <c r="I861" s="4">
        <v>-82.89</v>
      </c>
      <c r="J861" s="4">
        <v>-82.89</v>
      </c>
      <c r="K861" s="4">
        <v>82.89</v>
      </c>
      <c r="L861" s="4"/>
      <c r="M861" s="2" t="s">
        <v>1084</v>
      </c>
      <c r="N861" s="2" t="s">
        <v>10</v>
      </c>
      <c r="O861" s="2" t="s">
        <v>10</v>
      </c>
    </row>
    <row r="862" spans="1:15" hidden="1" x14ac:dyDescent="0.25">
      <c r="A862" s="2" t="s">
        <v>598</v>
      </c>
      <c r="B862" s="3">
        <v>45381</v>
      </c>
      <c r="C862" s="5">
        <v>45352</v>
      </c>
      <c r="D862" s="2" t="s">
        <v>31</v>
      </c>
      <c r="E862" s="2">
        <v>4900</v>
      </c>
      <c r="F862" s="2" t="s">
        <v>79</v>
      </c>
      <c r="G862" s="2" t="s">
        <v>1026</v>
      </c>
      <c r="H862" s="4">
        <v>28.95</v>
      </c>
      <c r="I862" s="4">
        <v>28.95</v>
      </c>
      <c r="J862" s="4">
        <v>28.95</v>
      </c>
      <c r="K862" s="4">
        <v>28.95</v>
      </c>
      <c r="L862" s="4"/>
      <c r="M862" s="2" t="s">
        <v>1084</v>
      </c>
      <c r="N862" s="2" t="s">
        <v>10</v>
      </c>
      <c r="O862" s="2" t="s">
        <v>10</v>
      </c>
    </row>
    <row r="863" spans="1:15" hidden="1" x14ac:dyDescent="0.25">
      <c r="A863" s="2" t="s">
        <v>100</v>
      </c>
      <c r="B863" s="3">
        <v>45530</v>
      </c>
      <c r="C863" s="5">
        <v>45505</v>
      </c>
      <c r="D863" s="2" t="s">
        <v>31</v>
      </c>
      <c r="E863" s="2">
        <v>4900</v>
      </c>
      <c r="F863" s="2" t="s">
        <v>30</v>
      </c>
      <c r="G863" s="2" t="s">
        <v>1024</v>
      </c>
      <c r="H863" s="4">
        <v>150.71</v>
      </c>
      <c r="I863" s="4">
        <v>150.71</v>
      </c>
      <c r="J863" s="4">
        <v>150.71</v>
      </c>
      <c r="K863" s="4">
        <v>150.71</v>
      </c>
      <c r="L863" s="4"/>
      <c r="M863" s="2" t="s">
        <v>1084</v>
      </c>
      <c r="N863" s="2" t="s">
        <v>10</v>
      </c>
      <c r="O863" s="2" t="s">
        <v>10</v>
      </c>
    </row>
    <row r="864" spans="1:15" hidden="1" x14ac:dyDescent="0.25">
      <c r="A864" s="2" t="s">
        <v>546</v>
      </c>
      <c r="B864" s="3">
        <v>45537</v>
      </c>
      <c r="C864" s="5">
        <v>45536</v>
      </c>
      <c r="D864" s="2" t="s">
        <v>18</v>
      </c>
      <c r="E864" s="2">
        <v>5100</v>
      </c>
      <c r="F864" s="2" t="s">
        <v>56</v>
      </c>
      <c r="G864" s="2" t="s">
        <v>1025</v>
      </c>
      <c r="H864" s="4">
        <v>-5911.64</v>
      </c>
      <c r="I864" s="4">
        <v>-5911.64</v>
      </c>
      <c r="J864" s="4">
        <v>-5911.64</v>
      </c>
      <c r="K864" s="4">
        <v>5911.64</v>
      </c>
      <c r="L864" s="4"/>
      <c r="M864" s="2" t="s">
        <v>1084</v>
      </c>
      <c r="N864" s="2" t="s">
        <v>10</v>
      </c>
      <c r="O864" s="2" t="s">
        <v>10</v>
      </c>
    </row>
    <row r="865" spans="1:15" hidden="1" x14ac:dyDescent="0.25">
      <c r="A865" s="2" t="s">
        <v>811</v>
      </c>
      <c r="B865" s="3">
        <v>45472</v>
      </c>
      <c r="C865" s="5">
        <v>45444</v>
      </c>
      <c r="D865" s="2" t="s">
        <v>39</v>
      </c>
      <c r="E865" s="2">
        <v>6500</v>
      </c>
      <c r="F865" s="2" t="s">
        <v>38</v>
      </c>
      <c r="G865" s="2" t="s">
        <v>1029</v>
      </c>
      <c r="H865" s="4">
        <v>-1696.13</v>
      </c>
      <c r="I865" s="4">
        <v>-1696.13</v>
      </c>
      <c r="J865" s="4">
        <v>-1696.13</v>
      </c>
      <c r="K865" s="4">
        <v>1696.13</v>
      </c>
      <c r="L865" s="4"/>
      <c r="M865" s="2" t="s">
        <v>1084</v>
      </c>
      <c r="N865" s="2" t="s">
        <v>10</v>
      </c>
      <c r="O865" s="2" t="s">
        <v>10</v>
      </c>
    </row>
    <row r="866" spans="1:15" hidden="1" x14ac:dyDescent="0.25">
      <c r="A866" s="2" t="s">
        <v>988</v>
      </c>
      <c r="B866" s="3">
        <v>45614</v>
      </c>
      <c r="C866" s="5">
        <v>45597</v>
      </c>
      <c r="D866" s="2" t="s">
        <v>28</v>
      </c>
      <c r="E866" s="2">
        <v>6900</v>
      </c>
      <c r="F866" s="2" t="s">
        <v>195</v>
      </c>
      <c r="G866" s="2" t="s">
        <v>1048</v>
      </c>
      <c r="H866" s="4">
        <v>-95.91</v>
      </c>
      <c r="I866" s="4">
        <v>-95.91</v>
      </c>
      <c r="J866" s="4">
        <v>-95.91</v>
      </c>
      <c r="K866" s="4">
        <v>95.91</v>
      </c>
      <c r="L866" s="4"/>
      <c r="M866" s="2" t="s">
        <v>1084</v>
      </c>
      <c r="N866" s="2" t="s">
        <v>10</v>
      </c>
      <c r="O866" s="2" t="s">
        <v>10</v>
      </c>
    </row>
    <row r="867" spans="1:15" hidden="1" x14ac:dyDescent="0.25">
      <c r="A867" s="2" t="s">
        <v>553</v>
      </c>
      <c r="B867" s="3">
        <v>45332</v>
      </c>
      <c r="C867" s="5">
        <v>45323</v>
      </c>
      <c r="D867" s="2" t="s">
        <v>9</v>
      </c>
      <c r="E867" s="2">
        <v>6100</v>
      </c>
      <c r="F867" s="2" t="s">
        <v>44</v>
      </c>
      <c r="G867" s="2" t="s">
        <v>1054</v>
      </c>
      <c r="H867" s="4">
        <v>-2818.4</v>
      </c>
      <c r="I867" s="4">
        <v>-2818.4</v>
      </c>
      <c r="J867" s="4">
        <v>-2818.4</v>
      </c>
      <c r="K867" s="4">
        <v>2818.4</v>
      </c>
      <c r="L867" s="4"/>
      <c r="M867" s="2" t="s">
        <v>1084</v>
      </c>
      <c r="N867" s="2" t="s">
        <v>10</v>
      </c>
      <c r="O867" s="2" t="s">
        <v>10</v>
      </c>
    </row>
    <row r="868" spans="1:15" hidden="1" x14ac:dyDescent="0.25">
      <c r="A868" s="2" t="s">
        <v>417</v>
      </c>
      <c r="B868" s="3">
        <v>45377</v>
      </c>
      <c r="C868" s="5">
        <v>45352</v>
      </c>
      <c r="D868" s="2" t="s">
        <v>28</v>
      </c>
      <c r="E868" s="2">
        <v>6900</v>
      </c>
      <c r="F868" s="2" t="s">
        <v>76</v>
      </c>
      <c r="G868" s="2" t="s">
        <v>1047</v>
      </c>
      <c r="H868" s="4">
        <v>-82.42</v>
      </c>
      <c r="I868" s="4">
        <v>-82.42</v>
      </c>
      <c r="J868" s="4">
        <v>-82.42</v>
      </c>
      <c r="K868" s="4">
        <v>82.42</v>
      </c>
      <c r="L868" s="4"/>
      <c r="M868" s="2" t="s">
        <v>1084</v>
      </c>
      <c r="N868" s="2" t="s">
        <v>10</v>
      </c>
      <c r="O868" s="2" t="s">
        <v>10</v>
      </c>
    </row>
    <row r="869" spans="1:15" hidden="1" x14ac:dyDescent="0.25">
      <c r="A869" s="2" t="s">
        <v>813</v>
      </c>
      <c r="B869" s="3">
        <v>45384</v>
      </c>
      <c r="C869" s="5">
        <v>45383</v>
      </c>
      <c r="D869" s="2" t="s">
        <v>28</v>
      </c>
      <c r="E869" s="2">
        <v>6900</v>
      </c>
      <c r="F869" s="2" t="s">
        <v>27</v>
      </c>
      <c r="G869" s="2" t="s">
        <v>1041</v>
      </c>
      <c r="H869" s="4">
        <v>-116.92</v>
      </c>
      <c r="I869" s="4">
        <v>-116.92</v>
      </c>
      <c r="J869" s="4">
        <v>-116.92</v>
      </c>
      <c r="K869" s="4">
        <v>116.92</v>
      </c>
      <c r="L869" s="4"/>
      <c r="M869" s="2" t="s">
        <v>1084</v>
      </c>
      <c r="N869" s="2" t="s">
        <v>10</v>
      </c>
      <c r="O869" s="2" t="s">
        <v>10</v>
      </c>
    </row>
    <row r="870" spans="1:15" hidden="1" x14ac:dyDescent="0.25">
      <c r="A870" s="2" t="s">
        <v>347</v>
      </c>
      <c r="B870" s="3">
        <v>45341</v>
      </c>
      <c r="C870" s="5">
        <v>45323</v>
      </c>
      <c r="D870" s="2" t="s">
        <v>24</v>
      </c>
      <c r="E870" s="2">
        <v>6300</v>
      </c>
      <c r="F870" s="2" t="s">
        <v>23</v>
      </c>
      <c r="G870" s="2" t="s">
        <v>1045</v>
      </c>
      <c r="H870" s="4">
        <v>-537.02</v>
      </c>
      <c r="I870" s="4">
        <v>-537.02</v>
      </c>
      <c r="J870" s="4">
        <v>-537.02</v>
      </c>
      <c r="K870" s="4">
        <v>537.02</v>
      </c>
      <c r="L870" s="4"/>
      <c r="M870" s="2" t="s">
        <v>1084</v>
      </c>
      <c r="N870" s="2" t="s">
        <v>10</v>
      </c>
      <c r="O870" s="2" t="s">
        <v>10</v>
      </c>
    </row>
    <row r="871" spans="1:15" hidden="1" x14ac:dyDescent="0.25">
      <c r="A871" s="2" t="s">
        <v>493</v>
      </c>
      <c r="B871" s="3">
        <v>45399</v>
      </c>
      <c r="C871" s="5">
        <v>45383</v>
      </c>
      <c r="D871" s="2" t="s">
        <v>35</v>
      </c>
      <c r="E871" s="2">
        <v>4000</v>
      </c>
      <c r="F871" s="2" t="s">
        <v>34</v>
      </c>
      <c r="G871" s="2" t="s">
        <v>1027</v>
      </c>
      <c r="H871" s="4">
        <v>24171.96</v>
      </c>
      <c r="I871" s="4">
        <v>24171.96</v>
      </c>
      <c r="J871" s="4">
        <v>24171.96</v>
      </c>
      <c r="K871" s="4">
        <v>24171.96</v>
      </c>
      <c r="L871" s="4"/>
      <c r="M871" s="2" t="s">
        <v>1084</v>
      </c>
      <c r="N871" s="2" t="s">
        <v>10</v>
      </c>
      <c r="O871" s="2" t="s">
        <v>10</v>
      </c>
    </row>
    <row r="872" spans="1:15" x14ac:dyDescent="0.25">
      <c r="A872" s="2" t="s">
        <v>207</v>
      </c>
      <c r="B872" s="3">
        <v>45406</v>
      </c>
      <c r="C872" s="5">
        <v>45383</v>
      </c>
      <c r="D872" s="2" t="s">
        <v>24</v>
      </c>
      <c r="E872" s="2">
        <v>6300</v>
      </c>
      <c r="F872" s="2" t="s">
        <v>23</v>
      </c>
      <c r="G872" s="2" t="s">
        <v>1045</v>
      </c>
      <c r="H872" s="4">
        <v>-820.62</v>
      </c>
      <c r="I872" s="4">
        <v>-521.53</v>
      </c>
      <c r="J872" s="4">
        <v>-820.62</v>
      </c>
      <c r="K872" s="4">
        <v>820.62</v>
      </c>
      <c r="L872" s="4">
        <v>-299.08999999999997</v>
      </c>
      <c r="M872" s="2" t="s">
        <v>1085</v>
      </c>
      <c r="N872" s="2" t="s">
        <v>123</v>
      </c>
      <c r="O872" s="2" t="s">
        <v>10</v>
      </c>
    </row>
    <row r="873" spans="1:15" hidden="1" x14ac:dyDescent="0.25">
      <c r="A873" s="2" t="s">
        <v>50</v>
      </c>
      <c r="B873" s="3">
        <v>45571</v>
      </c>
      <c r="C873" s="5">
        <v>45566</v>
      </c>
      <c r="D873" s="2" t="s">
        <v>52</v>
      </c>
      <c r="E873" s="2">
        <v>6000</v>
      </c>
      <c r="F873" s="2" t="s">
        <v>51</v>
      </c>
      <c r="G873" s="2" t="s">
        <v>1033</v>
      </c>
      <c r="H873" s="4">
        <v>-9833.56</v>
      </c>
      <c r="I873" s="4">
        <v>-9833.56</v>
      </c>
      <c r="J873" s="4">
        <v>-9833.56</v>
      </c>
      <c r="K873" s="4">
        <v>9833.56</v>
      </c>
      <c r="L873" s="4"/>
      <c r="M873" s="2" t="s">
        <v>1084</v>
      </c>
      <c r="N873" s="2" t="s">
        <v>10</v>
      </c>
      <c r="O873" s="2" t="s">
        <v>10</v>
      </c>
    </row>
    <row r="874" spans="1:15" hidden="1" x14ac:dyDescent="0.25">
      <c r="A874" s="2" t="s">
        <v>803</v>
      </c>
      <c r="B874" s="3">
        <v>45402</v>
      </c>
      <c r="C874" s="5">
        <v>45383</v>
      </c>
      <c r="D874" s="2" t="s">
        <v>18</v>
      </c>
      <c r="E874" s="2">
        <v>5100</v>
      </c>
      <c r="F874" s="2" t="s">
        <v>56</v>
      </c>
      <c r="G874" s="2" t="s">
        <v>1025</v>
      </c>
      <c r="H874" s="4">
        <v>-6550.66</v>
      </c>
      <c r="I874" s="4">
        <v>-6550.66</v>
      </c>
      <c r="J874" s="4">
        <v>-6550.66</v>
      </c>
      <c r="K874" s="4">
        <v>6550.66</v>
      </c>
      <c r="L874" s="4"/>
      <c r="M874" s="2" t="s">
        <v>1084</v>
      </c>
      <c r="N874" s="2" t="s">
        <v>10</v>
      </c>
      <c r="O874" s="2" t="s">
        <v>10</v>
      </c>
    </row>
    <row r="875" spans="1:15" hidden="1" x14ac:dyDescent="0.25">
      <c r="A875" s="2" t="s">
        <v>284</v>
      </c>
      <c r="B875" s="3">
        <v>45611</v>
      </c>
      <c r="C875" s="5">
        <v>45597</v>
      </c>
      <c r="D875" s="2" t="s">
        <v>18</v>
      </c>
      <c r="E875" s="2">
        <v>5100</v>
      </c>
      <c r="F875" s="2" t="s">
        <v>17</v>
      </c>
      <c r="G875" s="2" t="s">
        <v>1037</v>
      </c>
      <c r="H875" s="4">
        <v>-10535.11</v>
      </c>
      <c r="I875" s="4">
        <v>-10535.11</v>
      </c>
      <c r="J875" s="4">
        <v>-10535.11</v>
      </c>
      <c r="K875" s="4">
        <v>10535.11</v>
      </c>
      <c r="L875" s="4"/>
      <c r="M875" s="2" t="s">
        <v>1084</v>
      </c>
      <c r="N875" s="2" t="s">
        <v>10</v>
      </c>
      <c r="O875" s="2" t="s">
        <v>10</v>
      </c>
    </row>
    <row r="876" spans="1:15" hidden="1" x14ac:dyDescent="0.25">
      <c r="A876" s="2" t="s">
        <v>382</v>
      </c>
      <c r="B876" s="3">
        <v>45574</v>
      </c>
      <c r="C876" s="5">
        <v>45566</v>
      </c>
      <c r="D876" s="2" t="s">
        <v>9</v>
      </c>
      <c r="E876" s="2">
        <v>6100</v>
      </c>
      <c r="F876" s="2" t="s">
        <v>48</v>
      </c>
      <c r="G876" s="2" t="s">
        <v>1043</v>
      </c>
      <c r="H876" s="4">
        <v>-3183.56</v>
      </c>
      <c r="I876" s="4">
        <v>-3183.56</v>
      </c>
      <c r="J876" s="4">
        <v>-3183.56</v>
      </c>
      <c r="K876" s="4">
        <v>3183.56</v>
      </c>
      <c r="L876" s="4"/>
      <c r="M876" s="2" t="s">
        <v>1084</v>
      </c>
      <c r="N876" s="2" t="s">
        <v>10</v>
      </c>
      <c r="O876" s="2" t="s">
        <v>10</v>
      </c>
    </row>
    <row r="877" spans="1:15" x14ac:dyDescent="0.25">
      <c r="A877" s="2" t="s">
        <v>329</v>
      </c>
      <c r="B877" s="3">
        <v>45621</v>
      </c>
      <c r="C877" s="5">
        <v>45597</v>
      </c>
      <c r="D877" s="2" t="s">
        <v>13</v>
      </c>
      <c r="E877" s="2">
        <v>6400</v>
      </c>
      <c r="F877" s="2" t="s">
        <v>12</v>
      </c>
      <c r="G877" s="2" t="s">
        <v>1032</v>
      </c>
      <c r="H877" s="4">
        <v>-397.33</v>
      </c>
      <c r="I877" s="4">
        <v>-284.39</v>
      </c>
      <c r="J877" s="4">
        <v>-397.33</v>
      </c>
      <c r="K877" s="4">
        <v>397.33</v>
      </c>
      <c r="L877" s="4">
        <v>-112.94</v>
      </c>
      <c r="M877" s="2" t="s">
        <v>1085</v>
      </c>
      <c r="N877" s="2" t="s">
        <v>123</v>
      </c>
      <c r="O877" s="2" t="s">
        <v>10</v>
      </c>
    </row>
    <row r="878" spans="1:15" hidden="1" x14ac:dyDescent="0.25">
      <c r="A878" s="2" t="s">
        <v>301</v>
      </c>
      <c r="B878" s="3">
        <v>45330</v>
      </c>
      <c r="C878" s="5">
        <v>45323</v>
      </c>
      <c r="D878" s="2" t="s">
        <v>13</v>
      </c>
      <c r="E878" s="2">
        <v>6400</v>
      </c>
      <c r="F878" s="2" t="s">
        <v>21</v>
      </c>
      <c r="G878" s="2" t="s">
        <v>1030</v>
      </c>
      <c r="H878" s="4">
        <v>-512.85</v>
      </c>
      <c r="I878" s="4">
        <v>-512.85</v>
      </c>
      <c r="J878" s="4">
        <v>-512.85</v>
      </c>
      <c r="K878" s="4">
        <v>512.85</v>
      </c>
      <c r="L878" s="4"/>
      <c r="M878" s="2" t="s">
        <v>1084</v>
      </c>
      <c r="N878" s="2" t="s">
        <v>10</v>
      </c>
      <c r="O878" s="2" t="s">
        <v>10</v>
      </c>
    </row>
    <row r="879" spans="1:15" hidden="1" x14ac:dyDescent="0.25">
      <c r="A879" s="2" t="s">
        <v>751</v>
      </c>
      <c r="B879" s="3">
        <v>45651</v>
      </c>
      <c r="C879" s="5">
        <v>45627</v>
      </c>
      <c r="D879" s="2" t="s">
        <v>39</v>
      </c>
      <c r="E879" s="2">
        <v>6500</v>
      </c>
      <c r="F879" s="2" t="s">
        <v>42</v>
      </c>
      <c r="G879" s="2" t="s">
        <v>1036</v>
      </c>
      <c r="H879" s="4">
        <v>-6049.43</v>
      </c>
      <c r="I879" s="4">
        <v>-6049.43</v>
      </c>
      <c r="J879" s="4">
        <v>-6049.43</v>
      </c>
      <c r="K879" s="4">
        <v>6049.43</v>
      </c>
      <c r="L879" s="4"/>
      <c r="M879" s="2" t="s">
        <v>1084</v>
      </c>
      <c r="N879" s="2" t="s">
        <v>10</v>
      </c>
      <c r="O879" s="2" t="s">
        <v>10</v>
      </c>
    </row>
    <row r="880" spans="1:15" hidden="1" x14ac:dyDescent="0.25">
      <c r="A880" s="2" t="s">
        <v>748</v>
      </c>
      <c r="B880" s="3">
        <v>45516</v>
      </c>
      <c r="C880" s="5">
        <v>45505</v>
      </c>
      <c r="D880" s="2" t="s">
        <v>13</v>
      </c>
      <c r="E880" s="2">
        <v>6400</v>
      </c>
      <c r="F880" s="2" t="s">
        <v>15</v>
      </c>
      <c r="G880" s="2" t="s">
        <v>1044</v>
      </c>
      <c r="H880" s="4">
        <v>-2554.14</v>
      </c>
      <c r="I880" s="4">
        <v>-2554.14</v>
      </c>
      <c r="J880" s="4">
        <v>-2554.14</v>
      </c>
      <c r="K880" s="4">
        <v>2554.14</v>
      </c>
      <c r="L880" s="4"/>
      <c r="M880" s="2" t="s">
        <v>1084</v>
      </c>
      <c r="N880" s="2" t="s">
        <v>10</v>
      </c>
      <c r="O880" s="2" t="s">
        <v>10</v>
      </c>
    </row>
    <row r="881" spans="1:15" hidden="1" x14ac:dyDescent="0.25">
      <c r="A881" s="2" t="s">
        <v>499</v>
      </c>
      <c r="B881" s="3">
        <v>45650</v>
      </c>
      <c r="C881" s="5">
        <v>45627</v>
      </c>
      <c r="D881" s="2" t="s">
        <v>9</v>
      </c>
      <c r="E881" s="2">
        <v>6100</v>
      </c>
      <c r="F881" s="2" t="s">
        <v>48</v>
      </c>
      <c r="G881" s="2" t="s">
        <v>1043</v>
      </c>
      <c r="H881" s="4">
        <v>-5320.68</v>
      </c>
      <c r="I881" s="4">
        <v>-5320.68</v>
      </c>
      <c r="J881" s="4">
        <v>-5320.68</v>
      </c>
      <c r="K881" s="4">
        <v>5320.68</v>
      </c>
      <c r="L881" s="4"/>
      <c r="M881" s="2" t="s">
        <v>1084</v>
      </c>
      <c r="N881" s="2" t="s">
        <v>10</v>
      </c>
      <c r="O881" s="2" t="s">
        <v>10</v>
      </c>
    </row>
    <row r="882" spans="1:15" hidden="1" x14ac:dyDescent="0.25">
      <c r="A882" s="2" t="s">
        <v>149</v>
      </c>
      <c r="B882" s="3">
        <v>45421</v>
      </c>
      <c r="C882" s="5">
        <v>45413</v>
      </c>
      <c r="D882" s="2" t="s">
        <v>35</v>
      </c>
      <c r="E882" s="2">
        <v>4000</v>
      </c>
      <c r="F882" s="2" t="s">
        <v>34</v>
      </c>
      <c r="G882" s="2" t="s">
        <v>1027</v>
      </c>
      <c r="H882" s="4">
        <v>15504.76</v>
      </c>
      <c r="I882" s="4">
        <v>15504.76</v>
      </c>
      <c r="J882" s="4">
        <v>15504.76</v>
      </c>
      <c r="K882" s="4">
        <v>15504.76</v>
      </c>
      <c r="L882" s="4"/>
      <c r="M882" s="2" t="s">
        <v>1084</v>
      </c>
      <c r="N882" s="2" t="s">
        <v>10</v>
      </c>
      <c r="O882" s="2" t="s">
        <v>10</v>
      </c>
    </row>
    <row r="883" spans="1:15" hidden="1" x14ac:dyDescent="0.25">
      <c r="A883" s="2" t="s">
        <v>879</v>
      </c>
      <c r="B883" s="3">
        <v>45639</v>
      </c>
      <c r="C883" s="5">
        <v>45627</v>
      </c>
      <c r="D883" s="2" t="s">
        <v>28</v>
      </c>
      <c r="E883" s="2">
        <v>6900</v>
      </c>
      <c r="F883" s="2" t="s">
        <v>27</v>
      </c>
      <c r="G883" s="2" t="s">
        <v>1041</v>
      </c>
      <c r="H883" s="4">
        <v>-114.41</v>
      </c>
      <c r="I883" s="4">
        <v>-114.41</v>
      </c>
      <c r="J883" s="4">
        <v>-114.41</v>
      </c>
      <c r="K883" s="4">
        <v>114.41</v>
      </c>
      <c r="L883" s="4"/>
      <c r="M883" s="2" t="s">
        <v>1084</v>
      </c>
      <c r="N883" s="2" t="s">
        <v>10</v>
      </c>
      <c r="O883" s="2" t="s">
        <v>10</v>
      </c>
    </row>
    <row r="884" spans="1:15" hidden="1" x14ac:dyDescent="0.25">
      <c r="A884" s="2" t="s">
        <v>262</v>
      </c>
      <c r="B884" s="3">
        <v>45506</v>
      </c>
      <c r="C884" s="5">
        <v>45505</v>
      </c>
      <c r="D884" s="2" t="s">
        <v>24</v>
      </c>
      <c r="E884" s="2">
        <v>6300</v>
      </c>
      <c r="F884" s="2" t="s">
        <v>127</v>
      </c>
      <c r="G884" s="2" t="s">
        <v>1035</v>
      </c>
      <c r="H884" s="4">
        <v>-784.77</v>
      </c>
      <c r="I884" s="4">
        <v>-784.77</v>
      </c>
      <c r="J884" s="4">
        <v>-784.77</v>
      </c>
      <c r="K884" s="4">
        <v>784.77</v>
      </c>
      <c r="L884" s="4"/>
      <c r="M884" s="2" t="s">
        <v>1084</v>
      </c>
      <c r="N884" s="2" t="s">
        <v>10</v>
      </c>
      <c r="O884" s="2" t="s">
        <v>10</v>
      </c>
    </row>
    <row r="885" spans="1:15" hidden="1" x14ac:dyDescent="0.25">
      <c r="A885" s="2" t="s">
        <v>952</v>
      </c>
      <c r="B885" s="3">
        <v>45318</v>
      </c>
      <c r="C885" s="5">
        <v>45292</v>
      </c>
      <c r="D885" s="2" t="s">
        <v>18</v>
      </c>
      <c r="E885" s="2">
        <v>5100</v>
      </c>
      <c r="F885" s="2" t="s">
        <v>81</v>
      </c>
      <c r="G885" s="2" t="s">
        <v>1039</v>
      </c>
      <c r="H885" s="4">
        <v>-739.17</v>
      </c>
      <c r="I885" s="4">
        <v>-739.17</v>
      </c>
      <c r="J885" s="4">
        <v>-739.17</v>
      </c>
      <c r="K885" s="4">
        <v>739.17</v>
      </c>
      <c r="L885" s="4"/>
      <c r="M885" s="2" t="s">
        <v>1084</v>
      </c>
      <c r="N885" s="2" t="s">
        <v>10</v>
      </c>
      <c r="O885" s="2" t="s">
        <v>10</v>
      </c>
    </row>
    <row r="886" spans="1:15" hidden="1" x14ac:dyDescent="0.25">
      <c r="A886" s="2" t="s">
        <v>792</v>
      </c>
      <c r="B886" s="3">
        <v>45441</v>
      </c>
      <c r="C886" s="5">
        <v>45413</v>
      </c>
      <c r="D886" s="2" t="s">
        <v>28</v>
      </c>
      <c r="E886" s="2">
        <v>6900</v>
      </c>
      <c r="F886" s="2" t="s">
        <v>76</v>
      </c>
      <c r="G886" s="2" t="s">
        <v>1047</v>
      </c>
      <c r="H886" s="4">
        <v>-36.36</v>
      </c>
      <c r="I886" s="4">
        <v>-36.36</v>
      </c>
      <c r="J886" s="4">
        <v>-36.36</v>
      </c>
      <c r="K886" s="4">
        <v>36.36</v>
      </c>
      <c r="L886" s="4"/>
      <c r="M886" s="2" t="s">
        <v>1084</v>
      </c>
      <c r="N886" s="2" t="s">
        <v>10</v>
      </c>
      <c r="O886" s="2" t="s">
        <v>10</v>
      </c>
    </row>
    <row r="887" spans="1:15" hidden="1" x14ac:dyDescent="0.25">
      <c r="A887" s="2" t="s">
        <v>576</v>
      </c>
      <c r="B887" s="3">
        <v>45342</v>
      </c>
      <c r="C887" s="5">
        <v>45323</v>
      </c>
      <c r="D887" s="2" t="s">
        <v>39</v>
      </c>
      <c r="E887" s="2">
        <v>6500</v>
      </c>
      <c r="F887" s="2" t="s">
        <v>42</v>
      </c>
      <c r="G887" s="2" t="s">
        <v>1036</v>
      </c>
      <c r="H887" s="4">
        <v>-6903.72</v>
      </c>
      <c r="I887" s="4">
        <v>-6903.72</v>
      </c>
      <c r="J887" s="4">
        <v>-6903.72</v>
      </c>
      <c r="K887" s="4">
        <v>6903.72</v>
      </c>
      <c r="L887" s="4"/>
      <c r="M887" s="2" t="s">
        <v>1084</v>
      </c>
      <c r="N887" s="2" t="s">
        <v>10</v>
      </c>
      <c r="O887" s="2" t="s">
        <v>10</v>
      </c>
    </row>
    <row r="888" spans="1:15" hidden="1" x14ac:dyDescent="0.25">
      <c r="A888" s="2" t="s">
        <v>753</v>
      </c>
      <c r="B888" s="3">
        <v>45635</v>
      </c>
      <c r="C888" s="5">
        <v>45627</v>
      </c>
      <c r="D888" s="2" t="s">
        <v>35</v>
      </c>
      <c r="E888" s="2">
        <v>4000</v>
      </c>
      <c r="F888" s="2" t="s">
        <v>116</v>
      </c>
      <c r="G888" s="2" t="s">
        <v>1034</v>
      </c>
      <c r="H888" s="4">
        <v>10795.45</v>
      </c>
      <c r="I888" s="4">
        <v>10795.45</v>
      </c>
      <c r="J888" s="4">
        <v>10795.45</v>
      </c>
      <c r="K888" s="4">
        <v>10795.45</v>
      </c>
      <c r="L888" s="4"/>
      <c r="M888" s="2" t="s">
        <v>1084</v>
      </c>
      <c r="N888" s="2" t="s">
        <v>10</v>
      </c>
      <c r="O888" s="2" t="s">
        <v>10</v>
      </c>
    </row>
    <row r="889" spans="1:15" hidden="1" x14ac:dyDescent="0.25">
      <c r="A889" s="2" t="s">
        <v>794</v>
      </c>
      <c r="B889" s="3">
        <v>45403</v>
      </c>
      <c r="C889" s="5">
        <v>45383</v>
      </c>
      <c r="D889" s="2" t="s">
        <v>18</v>
      </c>
      <c r="E889" s="2">
        <v>5100</v>
      </c>
      <c r="F889" s="2" t="s">
        <v>56</v>
      </c>
      <c r="G889" s="2" t="s">
        <v>1025</v>
      </c>
      <c r="H889" s="4">
        <v>-2983.94</v>
      </c>
      <c r="I889" s="4">
        <v>-2983.94</v>
      </c>
      <c r="J889" s="4">
        <v>-2983.94</v>
      </c>
      <c r="K889" s="4">
        <v>2983.94</v>
      </c>
      <c r="L889" s="4"/>
      <c r="M889" s="2" t="s">
        <v>1084</v>
      </c>
      <c r="N889" s="2" t="s">
        <v>10</v>
      </c>
      <c r="O889" s="2" t="s">
        <v>10</v>
      </c>
    </row>
    <row r="890" spans="1:15" hidden="1" x14ac:dyDescent="0.25">
      <c r="A890" s="2" t="s">
        <v>275</v>
      </c>
      <c r="B890" s="3">
        <v>45373</v>
      </c>
      <c r="C890" s="5">
        <v>45352</v>
      </c>
      <c r="D890" s="2" t="s">
        <v>35</v>
      </c>
      <c r="E890" s="2">
        <v>4000</v>
      </c>
      <c r="F890" s="2" t="s">
        <v>116</v>
      </c>
      <c r="G890" s="2" t="s">
        <v>1034</v>
      </c>
      <c r="H890" s="4">
        <v>17742.55</v>
      </c>
      <c r="I890" s="4">
        <v>17742.55</v>
      </c>
      <c r="J890" s="4">
        <v>17742.55</v>
      </c>
      <c r="K890" s="4">
        <v>17742.55</v>
      </c>
      <c r="L890" s="4"/>
      <c r="M890" s="2" t="s">
        <v>1084</v>
      </c>
      <c r="N890" s="2" t="s">
        <v>10</v>
      </c>
      <c r="O890" s="2" t="s">
        <v>10</v>
      </c>
    </row>
    <row r="891" spans="1:15" hidden="1" x14ac:dyDescent="0.25">
      <c r="A891" s="2" t="s">
        <v>294</v>
      </c>
      <c r="B891" s="3">
        <v>45493</v>
      </c>
      <c r="C891" s="5">
        <v>45474</v>
      </c>
      <c r="D891" s="2" t="s">
        <v>52</v>
      </c>
      <c r="E891" s="2">
        <v>6000</v>
      </c>
      <c r="F891" s="2" t="s">
        <v>51</v>
      </c>
      <c r="G891" s="2" t="s">
        <v>1033</v>
      </c>
      <c r="H891" s="4">
        <v>-3645.78</v>
      </c>
      <c r="I891" s="4">
        <v>-3645.78</v>
      </c>
      <c r="J891" s="4">
        <v>-3645.78</v>
      </c>
      <c r="K891" s="4">
        <v>3645.78</v>
      </c>
      <c r="L891" s="4"/>
      <c r="M891" s="2" t="s">
        <v>1084</v>
      </c>
      <c r="N891" s="2" t="s">
        <v>10</v>
      </c>
      <c r="O891" s="2" t="s">
        <v>10</v>
      </c>
    </row>
    <row r="892" spans="1:15" hidden="1" x14ac:dyDescent="0.25">
      <c r="A892" s="2" t="s">
        <v>571</v>
      </c>
      <c r="B892" s="3">
        <v>45447</v>
      </c>
      <c r="C892" s="5">
        <v>45444</v>
      </c>
      <c r="D892" s="2" t="s">
        <v>35</v>
      </c>
      <c r="E892" s="2">
        <v>4000</v>
      </c>
      <c r="F892" s="2" t="s">
        <v>116</v>
      </c>
      <c r="G892" s="2" t="s">
        <v>1034</v>
      </c>
      <c r="H892" s="4">
        <v>22256.7</v>
      </c>
      <c r="I892" s="4">
        <v>22256.7</v>
      </c>
      <c r="J892" s="4">
        <v>22256.7</v>
      </c>
      <c r="K892" s="4">
        <v>22256.7</v>
      </c>
      <c r="L892" s="4"/>
      <c r="M892" s="2" t="s">
        <v>1084</v>
      </c>
      <c r="N892" s="2" t="s">
        <v>10</v>
      </c>
      <c r="O892" s="2" t="s">
        <v>10</v>
      </c>
    </row>
    <row r="893" spans="1:15" hidden="1" x14ac:dyDescent="0.25">
      <c r="A893" s="2" t="s">
        <v>99</v>
      </c>
      <c r="B893" s="3">
        <v>45327</v>
      </c>
      <c r="C893" s="5">
        <v>45323</v>
      </c>
      <c r="D893" s="2" t="s">
        <v>39</v>
      </c>
      <c r="E893" s="2">
        <v>6500</v>
      </c>
      <c r="F893" s="2" t="s">
        <v>38</v>
      </c>
      <c r="G893" s="2" t="s">
        <v>1029</v>
      </c>
      <c r="H893" s="4">
        <v>-6149.05</v>
      </c>
      <c r="I893" s="4">
        <v>-6149.05</v>
      </c>
      <c r="J893" s="4">
        <v>-6149.05</v>
      </c>
      <c r="K893" s="4">
        <v>6149.05</v>
      </c>
      <c r="L893" s="4"/>
      <c r="M893" s="2" t="s">
        <v>1084</v>
      </c>
      <c r="N893" s="2" t="s">
        <v>10</v>
      </c>
      <c r="O893" s="2" t="s">
        <v>10</v>
      </c>
    </row>
    <row r="894" spans="1:15" hidden="1" x14ac:dyDescent="0.25">
      <c r="A894" s="2" t="s">
        <v>924</v>
      </c>
      <c r="B894" s="3">
        <v>45590</v>
      </c>
      <c r="C894" s="5">
        <v>45566</v>
      </c>
      <c r="D894" s="2" t="s">
        <v>13</v>
      </c>
      <c r="E894" s="2">
        <v>6400</v>
      </c>
      <c r="F894" s="2" t="s">
        <v>15</v>
      </c>
      <c r="G894" s="2" t="s">
        <v>1044</v>
      </c>
      <c r="H894" s="4">
        <v>-1079.71</v>
      </c>
      <c r="I894" s="4">
        <v>-1079.71</v>
      </c>
      <c r="J894" s="4">
        <v>-1079.71</v>
      </c>
      <c r="K894" s="4">
        <v>1079.71</v>
      </c>
      <c r="L894" s="4"/>
      <c r="M894" s="2" t="s">
        <v>1084</v>
      </c>
      <c r="N894" s="2" t="s">
        <v>10</v>
      </c>
      <c r="O894" s="2" t="s">
        <v>10</v>
      </c>
    </row>
    <row r="895" spans="1:15" hidden="1" x14ac:dyDescent="0.25">
      <c r="A895" s="2" t="s">
        <v>141</v>
      </c>
      <c r="B895" s="3">
        <v>45600</v>
      </c>
      <c r="C895" s="5">
        <v>45597</v>
      </c>
      <c r="D895" s="2" t="s">
        <v>31</v>
      </c>
      <c r="E895" s="2">
        <v>4900</v>
      </c>
      <c r="F895" s="2" t="s">
        <v>30</v>
      </c>
      <c r="G895" s="2" t="s">
        <v>1024</v>
      </c>
      <c r="H895" s="4">
        <v>388.97</v>
      </c>
      <c r="I895" s="4">
        <v>388.97</v>
      </c>
      <c r="J895" s="4">
        <v>388.97</v>
      </c>
      <c r="K895" s="4">
        <v>388.97</v>
      </c>
      <c r="L895" s="4"/>
      <c r="M895" s="2" t="s">
        <v>1084</v>
      </c>
      <c r="N895" s="2" t="s">
        <v>10</v>
      </c>
      <c r="O895" s="2" t="s">
        <v>10</v>
      </c>
    </row>
    <row r="896" spans="1:15" hidden="1" x14ac:dyDescent="0.25">
      <c r="A896" s="2" t="s">
        <v>448</v>
      </c>
      <c r="B896" s="3">
        <v>45563</v>
      </c>
      <c r="C896" s="5">
        <v>45536</v>
      </c>
      <c r="D896" s="2" t="s">
        <v>39</v>
      </c>
      <c r="E896" s="2">
        <v>6500</v>
      </c>
      <c r="F896" s="2" t="s">
        <v>38</v>
      </c>
      <c r="G896" s="2" t="s">
        <v>1029</v>
      </c>
      <c r="H896" s="4">
        <v>-4942.6000000000004</v>
      </c>
      <c r="I896" s="4">
        <v>-4942.6000000000004</v>
      </c>
      <c r="J896" s="4">
        <v>-4942.6000000000004</v>
      </c>
      <c r="K896" s="4">
        <v>4942.6000000000004</v>
      </c>
      <c r="L896" s="4"/>
      <c r="M896" s="2" t="s">
        <v>1084</v>
      </c>
      <c r="N896" s="2" t="s">
        <v>10</v>
      </c>
      <c r="O896" s="2" t="s">
        <v>10</v>
      </c>
    </row>
    <row r="897" spans="1:15" hidden="1" x14ac:dyDescent="0.25">
      <c r="A897" s="2" t="s">
        <v>506</v>
      </c>
      <c r="B897" s="3">
        <v>45517</v>
      </c>
      <c r="C897" s="5">
        <v>45505</v>
      </c>
      <c r="D897" s="2" t="s">
        <v>9</v>
      </c>
      <c r="E897" s="2">
        <v>6100</v>
      </c>
      <c r="F897" s="2" t="s">
        <v>8</v>
      </c>
      <c r="G897" s="2" t="s">
        <v>1042</v>
      </c>
      <c r="H897" s="4">
        <v>-2399.67</v>
      </c>
      <c r="I897" s="4">
        <v>-2399.67</v>
      </c>
      <c r="J897" s="4">
        <v>-2399.67</v>
      </c>
      <c r="K897" s="4">
        <v>2399.67</v>
      </c>
      <c r="L897" s="4"/>
      <c r="M897" s="2" t="s">
        <v>1084</v>
      </c>
      <c r="N897" s="2" t="s">
        <v>10</v>
      </c>
      <c r="O897" s="2" t="s">
        <v>10</v>
      </c>
    </row>
    <row r="898" spans="1:15" hidden="1" x14ac:dyDescent="0.25">
      <c r="A898" s="2" t="s">
        <v>978</v>
      </c>
      <c r="B898" s="3">
        <v>45438</v>
      </c>
      <c r="C898" s="5">
        <v>45413</v>
      </c>
      <c r="D898" s="2" t="s">
        <v>13</v>
      </c>
      <c r="E898" s="2">
        <v>6400</v>
      </c>
      <c r="F898" s="2" t="s">
        <v>21</v>
      </c>
      <c r="G898" s="2" t="s">
        <v>1030</v>
      </c>
      <c r="H898" s="4">
        <v>-215.17</v>
      </c>
      <c r="I898" s="4">
        <v>-215.17</v>
      </c>
      <c r="J898" s="4">
        <v>-215.17</v>
      </c>
      <c r="K898" s="4">
        <v>215.17</v>
      </c>
      <c r="L898" s="4"/>
      <c r="M898" s="2" t="s">
        <v>1084</v>
      </c>
      <c r="N898" s="2" t="s">
        <v>10</v>
      </c>
      <c r="O898" s="2" t="s">
        <v>10</v>
      </c>
    </row>
    <row r="899" spans="1:15" hidden="1" x14ac:dyDescent="0.25">
      <c r="A899" s="2" t="s">
        <v>573</v>
      </c>
      <c r="B899" s="3">
        <v>45489</v>
      </c>
      <c r="C899" s="5">
        <v>45474</v>
      </c>
      <c r="D899" s="2" t="s">
        <v>35</v>
      </c>
      <c r="E899" s="2">
        <v>4000</v>
      </c>
      <c r="F899" s="2" t="s">
        <v>103</v>
      </c>
      <c r="G899" s="2" t="s">
        <v>1049</v>
      </c>
      <c r="H899" s="4">
        <v>18347.810000000001</v>
      </c>
      <c r="I899" s="4">
        <v>18347.810000000001</v>
      </c>
      <c r="J899" s="4">
        <v>18347.810000000001</v>
      </c>
      <c r="K899" s="4">
        <v>18347.810000000001</v>
      </c>
      <c r="L899" s="4"/>
      <c r="M899" s="2" t="s">
        <v>1084</v>
      </c>
      <c r="N899" s="2" t="s">
        <v>10</v>
      </c>
      <c r="O899" s="2" t="s">
        <v>123</v>
      </c>
    </row>
    <row r="900" spans="1:15" hidden="1" x14ac:dyDescent="0.25">
      <c r="A900" s="2" t="s">
        <v>731</v>
      </c>
      <c r="B900" s="3">
        <v>45482</v>
      </c>
      <c r="C900" s="5">
        <v>45474</v>
      </c>
      <c r="D900" s="2" t="s">
        <v>35</v>
      </c>
      <c r="E900" s="2">
        <v>4000</v>
      </c>
      <c r="F900" s="2" t="s">
        <v>34</v>
      </c>
      <c r="G900" s="2" t="s">
        <v>1027</v>
      </c>
      <c r="H900" s="4">
        <v>619</v>
      </c>
      <c r="I900" s="4">
        <v>619</v>
      </c>
      <c r="J900" s="4">
        <v>619</v>
      </c>
      <c r="K900" s="4">
        <v>619</v>
      </c>
      <c r="L900" s="4"/>
      <c r="M900" s="2" t="s">
        <v>1084</v>
      </c>
      <c r="N900" s="2" t="s">
        <v>10</v>
      </c>
      <c r="O900" s="2" t="s">
        <v>10</v>
      </c>
    </row>
    <row r="901" spans="1:15" hidden="1" x14ac:dyDescent="0.25">
      <c r="A901" s="2" t="s">
        <v>261</v>
      </c>
      <c r="B901" s="3">
        <v>45352</v>
      </c>
      <c r="C901" s="5">
        <v>45352</v>
      </c>
      <c r="D901" s="2" t="s">
        <v>9</v>
      </c>
      <c r="E901" s="2">
        <v>6100</v>
      </c>
      <c r="F901" s="2" t="s">
        <v>44</v>
      </c>
      <c r="G901" s="2" t="s">
        <v>1054</v>
      </c>
      <c r="H901" s="4">
        <v>-4593.37</v>
      </c>
      <c r="I901" s="4">
        <v>-4593.37</v>
      </c>
      <c r="J901" s="4">
        <v>-4593.37</v>
      </c>
      <c r="K901" s="4">
        <v>4593.37</v>
      </c>
      <c r="L901" s="4"/>
      <c r="M901" s="2" t="s">
        <v>1084</v>
      </c>
      <c r="N901" s="2" t="s">
        <v>10</v>
      </c>
      <c r="O901" s="2" t="s">
        <v>10</v>
      </c>
    </row>
    <row r="902" spans="1:15" hidden="1" x14ac:dyDescent="0.25">
      <c r="A902" s="2" t="s">
        <v>460</v>
      </c>
      <c r="B902" s="3">
        <v>45321</v>
      </c>
      <c r="C902" s="5">
        <v>45292</v>
      </c>
      <c r="D902" s="2" t="s">
        <v>35</v>
      </c>
      <c r="E902" s="2">
        <v>4000</v>
      </c>
      <c r="F902" s="2" t="s">
        <v>116</v>
      </c>
      <c r="G902" s="2" t="s">
        <v>1034</v>
      </c>
      <c r="H902" s="4">
        <v>19034.32</v>
      </c>
      <c r="I902" s="4">
        <v>19034.32</v>
      </c>
      <c r="J902" s="4">
        <v>19034.32</v>
      </c>
      <c r="K902" s="4">
        <v>19034.32</v>
      </c>
      <c r="L902" s="4"/>
      <c r="M902" s="2" t="s">
        <v>1084</v>
      </c>
      <c r="N902" s="2" t="s">
        <v>10</v>
      </c>
      <c r="O902" s="2" t="s">
        <v>10</v>
      </c>
    </row>
    <row r="903" spans="1:15" hidden="1" x14ac:dyDescent="0.25">
      <c r="A903" s="2" t="s">
        <v>436</v>
      </c>
      <c r="B903" s="3">
        <v>45384</v>
      </c>
      <c r="C903" s="5">
        <v>45383</v>
      </c>
      <c r="D903" s="2" t="s">
        <v>35</v>
      </c>
      <c r="E903" s="2">
        <v>4000</v>
      </c>
      <c r="F903" s="2" t="s">
        <v>116</v>
      </c>
      <c r="G903" s="2" t="s">
        <v>1034</v>
      </c>
      <c r="H903" s="4">
        <v>12055.18</v>
      </c>
      <c r="I903" s="4">
        <v>12055.18</v>
      </c>
      <c r="J903" s="4">
        <v>12055.18</v>
      </c>
      <c r="K903" s="4">
        <v>12055.18</v>
      </c>
      <c r="L903" s="4"/>
      <c r="M903" s="2" t="s">
        <v>1084</v>
      </c>
      <c r="N903" s="2" t="s">
        <v>10</v>
      </c>
      <c r="O903" s="2" t="s">
        <v>10</v>
      </c>
    </row>
    <row r="904" spans="1:15" hidden="1" x14ac:dyDescent="0.25">
      <c r="A904" s="2" t="s">
        <v>125</v>
      </c>
      <c r="B904" s="3">
        <v>45457</v>
      </c>
      <c r="C904" s="5">
        <v>45444</v>
      </c>
      <c r="D904" s="2" t="s">
        <v>52</v>
      </c>
      <c r="E904" s="2">
        <v>6000</v>
      </c>
      <c r="F904" s="2" t="s">
        <v>63</v>
      </c>
      <c r="G904" s="2" t="s">
        <v>1051</v>
      </c>
      <c r="H904" s="4">
        <v>-6079.43</v>
      </c>
      <c r="I904" s="4">
        <v>-6079.43</v>
      </c>
      <c r="J904" s="4">
        <v>-6079.43</v>
      </c>
      <c r="K904" s="4">
        <v>6079.43</v>
      </c>
      <c r="L904" s="4"/>
      <c r="M904" s="2" t="s">
        <v>1084</v>
      </c>
      <c r="N904" s="2" t="s">
        <v>10</v>
      </c>
      <c r="O904" s="2" t="s">
        <v>10</v>
      </c>
    </row>
    <row r="905" spans="1:15" hidden="1" x14ac:dyDescent="0.25">
      <c r="A905" s="2" t="s">
        <v>833</v>
      </c>
      <c r="B905" s="3">
        <v>45350</v>
      </c>
      <c r="C905" s="5">
        <v>45323</v>
      </c>
      <c r="D905" s="2" t="s">
        <v>28</v>
      </c>
      <c r="E905" s="2">
        <v>6900</v>
      </c>
      <c r="F905" s="2" t="s">
        <v>27</v>
      </c>
      <c r="G905" s="2" t="s">
        <v>1041</v>
      </c>
      <c r="H905" s="4">
        <v>-52.07</v>
      </c>
      <c r="I905" s="4">
        <v>-52.07</v>
      </c>
      <c r="J905" s="4">
        <v>-52.07</v>
      </c>
      <c r="K905" s="4">
        <v>52.07</v>
      </c>
      <c r="L905" s="4"/>
      <c r="M905" s="2" t="s">
        <v>1084</v>
      </c>
      <c r="N905" s="2" t="s">
        <v>10</v>
      </c>
      <c r="O905" s="2" t="s">
        <v>10</v>
      </c>
    </row>
    <row r="906" spans="1:15" hidden="1" x14ac:dyDescent="0.25">
      <c r="A906" s="2" t="s">
        <v>416</v>
      </c>
      <c r="B906" s="3">
        <v>45330</v>
      </c>
      <c r="C906" s="5">
        <v>45323</v>
      </c>
      <c r="D906" s="2" t="s">
        <v>24</v>
      </c>
      <c r="E906" s="2">
        <v>6300</v>
      </c>
      <c r="F906" s="2" t="s">
        <v>94</v>
      </c>
      <c r="G906" s="2" t="s">
        <v>1053</v>
      </c>
      <c r="H906" s="4">
        <v>-399.41</v>
      </c>
      <c r="I906" s="4">
        <v>-399.41</v>
      </c>
      <c r="J906" s="4">
        <v>-399.41</v>
      </c>
      <c r="K906" s="4">
        <v>399.41</v>
      </c>
      <c r="L906" s="4"/>
      <c r="M906" s="2" t="s">
        <v>1084</v>
      </c>
      <c r="N906" s="2" t="s">
        <v>10</v>
      </c>
      <c r="O906" s="2" t="s">
        <v>10</v>
      </c>
    </row>
    <row r="907" spans="1:15" hidden="1" x14ac:dyDescent="0.25">
      <c r="A907" s="2" t="s">
        <v>1018</v>
      </c>
      <c r="B907" s="3">
        <v>45602</v>
      </c>
      <c r="C907" s="5">
        <v>45597</v>
      </c>
      <c r="D907" s="2" t="s">
        <v>39</v>
      </c>
      <c r="E907" s="2">
        <v>6500</v>
      </c>
      <c r="F907" s="2" t="s">
        <v>42</v>
      </c>
      <c r="G907" s="2" t="s">
        <v>1036</v>
      </c>
      <c r="H907" s="4">
        <v>-4845.62</v>
      </c>
      <c r="I907" s="4">
        <v>-4845.62</v>
      </c>
      <c r="J907" s="4">
        <v>-4845.62</v>
      </c>
      <c r="K907" s="4">
        <v>4845.62</v>
      </c>
      <c r="L907" s="4"/>
      <c r="M907" s="2" t="s">
        <v>1084</v>
      </c>
      <c r="N907" s="2" t="s">
        <v>10</v>
      </c>
      <c r="O907" s="2" t="s">
        <v>10</v>
      </c>
    </row>
    <row r="908" spans="1:15" hidden="1" x14ac:dyDescent="0.25">
      <c r="A908" s="2" t="s">
        <v>853</v>
      </c>
      <c r="B908" s="3">
        <v>45428</v>
      </c>
      <c r="C908" s="5">
        <v>45413</v>
      </c>
      <c r="D908" s="2" t="s">
        <v>24</v>
      </c>
      <c r="E908" s="2">
        <v>6300</v>
      </c>
      <c r="F908" s="2" t="s">
        <v>127</v>
      </c>
      <c r="G908" s="2" t="s">
        <v>1035</v>
      </c>
      <c r="H908" s="4">
        <v>-895.61</v>
      </c>
      <c r="I908" s="4">
        <v>-895.61</v>
      </c>
      <c r="J908" s="4">
        <v>-895.61</v>
      </c>
      <c r="K908" s="4">
        <v>895.61</v>
      </c>
      <c r="L908" s="4"/>
      <c r="M908" s="2" t="s">
        <v>1084</v>
      </c>
      <c r="N908" s="2" t="s">
        <v>10</v>
      </c>
      <c r="O908" s="2" t="s">
        <v>10</v>
      </c>
    </row>
    <row r="909" spans="1:15" hidden="1" x14ac:dyDescent="0.25">
      <c r="A909" s="2" t="s">
        <v>1000</v>
      </c>
      <c r="B909" s="3">
        <v>45505</v>
      </c>
      <c r="C909" s="5">
        <v>45505</v>
      </c>
      <c r="D909" s="2" t="s">
        <v>18</v>
      </c>
      <c r="E909" s="2">
        <v>5100</v>
      </c>
      <c r="F909" s="2" t="s">
        <v>81</v>
      </c>
      <c r="G909" s="2" t="s">
        <v>1039</v>
      </c>
      <c r="H909" s="4">
        <v>-1365.4</v>
      </c>
      <c r="I909" s="4">
        <v>-1365.4</v>
      </c>
      <c r="J909" s="4">
        <v>-1365.4</v>
      </c>
      <c r="K909" s="4">
        <v>1365.4</v>
      </c>
      <c r="L909" s="4"/>
      <c r="M909" s="2" t="s">
        <v>1084</v>
      </c>
      <c r="N909" s="2" t="s">
        <v>10</v>
      </c>
      <c r="O909" s="2" t="s">
        <v>10</v>
      </c>
    </row>
    <row r="910" spans="1:15" hidden="1" x14ac:dyDescent="0.25">
      <c r="A910" s="2" t="s">
        <v>1021</v>
      </c>
      <c r="B910" s="3">
        <v>45483</v>
      </c>
      <c r="C910" s="5">
        <v>45474</v>
      </c>
      <c r="D910" s="2" t="s">
        <v>59</v>
      </c>
      <c r="E910" s="2">
        <v>6200</v>
      </c>
      <c r="F910" s="2" t="s">
        <v>58</v>
      </c>
      <c r="G910" s="2" t="s">
        <v>1038</v>
      </c>
      <c r="H910" s="4">
        <v>-257.81</v>
      </c>
      <c r="I910" s="4">
        <v>-257.81</v>
      </c>
      <c r="J910" s="4">
        <v>-257.81</v>
      </c>
      <c r="K910" s="4">
        <v>257.81</v>
      </c>
      <c r="L910" s="4"/>
      <c r="M910" s="2" t="s">
        <v>1084</v>
      </c>
      <c r="N910" s="2" t="s">
        <v>10</v>
      </c>
      <c r="O910" s="2" t="s">
        <v>10</v>
      </c>
    </row>
    <row r="911" spans="1:15" hidden="1" x14ac:dyDescent="0.25">
      <c r="A911" s="2" t="s">
        <v>254</v>
      </c>
      <c r="B911" s="3">
        <v>45560</v>
      </c>
      <c r="C911" s="5">
        <v>45536</v>
      </c>
      <c r="D911" s="2" t="s">
        <v>35</v>
      </c>
      <c r="E911" s="2">
        <v>4000</v>
      </c>
      <c r="F911" s="2" t="s">
        <v>34</v>
      </c>
      <c r="G911" s="2" t="s">
        <v>1027</v>
      </c>
      <c r="H911" s="4">
        <v>9126.9500000000007</v>
      </c>
      <c r="I911" s="4">
        <v>9126.9500000000007</v>
      </c>
      <c r="J911" s="4">
        <v>9126.9500000000007</v>
      </c>
      <c r="K911" s="4">
        <v>9126.9500000000007</v>
      </c>
      <c r="L911" s="4"/>
      <c r="M911" s="2" t="s">
        <v>1084</v>
      </c>
      <c r="N911" s="2" t="s">
        <v>10</v>
      </c>
      <c r="O911" s="2" t="s">
        <v>10</v>
      </c>
    </row>
    <row r="912" spans="1:15" hidden="1" x14ac:dyDescent="0.25">
      <c r="A912" s="2" t="s">
        <v>259</v>
      </c>
      <c r="B912" s="3">
        <v>45562</v>
      </c>
      <c r="C912" s="5">
        <v>45536</v>
      </c>
      <c r="D912" s="2" t="s">
        <v>39</v>
      </c>
      <c r="E912" s="2">
        <v>6500</v>
      </c>
      <c r="F912" s="2" t="s">
        <v>38</v>
      </c>
      <c r="G912" s="2" t="s">
        <v>1029</v>
      </c>
      <c r="H912" s="4">
        <v>-1520.12</v>
      </c>
      <c r="I912" s="4">
        <v>-1520.12</v>
      </c>
      <c r="J912" s="4">
        <v>-1520.12</v>
      </c>
      <c r="K912" s="4">
        <v>1520.12</v>
      </c>
      <c r="L912" s="4"/>
      <c r="M912" s="2" t="s">
        <v>1084</v>
      </c>
      <c r="N912" s="2" t="s">
        <v>10</v>
      </c>
      <c r="O912" s="2" t="s">
        <v>10</v>
      </c>
    </row>
    <row r="913" spans="1:15" hidden="1" x14ac:dyDescent="0.25">
      <c r="A913" s="2" t="s">
        <v>242</v>
      </c>
      <c r="B913" s="3">
        <v>45400</v>
      </c>
      <c r="C913" s="5">
        <v>45383</v>
      </c>
      <c r="D913" s="2" t="s">
        <v>18</v>
      </c>
      <c r="E913" s="2">
        <v>5100</v>
      </c>
      <c r="F913" s="2" t="s">
        <v>17</v>
      </c>
      <c r="G913" s="2" t="s">
        <v>1037</v>
      </c>
      <c r="H913" s="4">
        <v>-11508.33</v>
      </c>
      <c r="I913" s="4">
        <v>-11508.33</v>
      </c>
      <c r="J913" s="4">
        <v>-11508.33</v>
      </c>
      <c r="K913" s="4">
        <v>11508.33</v>
      </c>
      <c r="L913" s="4"/>
      <c r="M913" s="2" t="s">
        <v>1084</v>
      </c>
      <c r="N913" s="2" t="s">
        <v>10</v>
      </c>
      <c r="O913" s="2" t="s">
        <v>10</v>
      </c>
    </row>
    <row r="914" spans="1:15" hidden="1" x14ac:dyDescent="0.25">
      <c r="A914" s="2" t="s">
        <v>603</v>
      </c>
      <c r="B914" s="3">
        <v>45601</v>
      </c>
      <c r="C914" s="5">
        <v>45597</v>
      </c>
      <c r="D914" s="2" t="s">
        <v>59</v>
      </c>
      <c r="E914" s="2">
        <v>6200</v>
      </c>
      <c r="F914" s="2" t="s">
        <v>67</v>
      </c>
      <c r="G914" s="2" t="s">
        <v>1028</v>
      </c>
      <c r="H914" s="4">
        <v>-1107.1300000000001</v>
      </c>
      <c r="I914" s="4">
        <v>-1107.1300000000001</v>
      </c>
      <c r="J914" s="4">
        <v>-1107.1300000000001</v>
      </c>
      <c r="K914" s="4">
        <v>1107.1300000000001</v>
      </c>
      <c r="L914" s="4"/>
      <c r="M914" s="2" t="s">
        <v>1084</v>
      </c>
      <c r="N914" s="2" t="s">
        <v>10</v>
      </c>
      <c r="O914" s="2" t="s">
        <v>10</v>
      </c>
    </row>
    <row r="915" spans="1:15" hidden="1" x14ac:dyDescent="0.25">
      <c r="A915" s="2" t="s">
        <v>422</v>
      </c>
      <c r="B915" s="3">
        <v>45427</v>
      </c>
      <c r="C915" s="5">
        <v>45413</v>
      </c>
      <c r="D915" s="2" t="s">
        <v>31</v>
      </c>
      <c r="E915" s="2">
        <v>4900</v>
      </c>
      <c r="F915" s="2" t="s">
        <v>79</v>
      </c>
      <c r="G915" s="2" t="s">
        <v>1026</v>
      </c>
      <c r="H915" s="4">
        <v>17.87</v>
      </c>
      <c r="I915" s="4">
        <v>17.87</v>
      </c>
      <c r="J915" s="4">
        <v>17.87</v>
      </c>
      <c r="K915" s="4">
        <v>17.87</v>
      </c>
      <c r="L915" s="4"/>
      <c r="M915" s="2" t="s">
        <v>1084</v>
      </c>
      <c r="N915" s="2" t="s">
        <v>10</v>
      </c>
      <c r="O915" s="2" t="s">
        <v>10</v>
      </c>
    </row>
    <row r="916" spans="1:15" hidden="1" x14ac:dyDescent="0.25">
      <c r="A916" s="2" t="s">
        <v>1002</v>
      </c>
      <c r="B916" s="3">
        <v>45596</v>
      </c>
      <c r="C916" s="5">
        <v>45566</v>
      </c>
      <c r="D916" s="2" t="s">
        <v>13</v>
      </c>
      <c r="E916" s="2">
        <v>6400</v>
      </c>
      <c r="F916" s="2" t="s">
        <v>12</v>
      </c>
      <c r="G916" s="2" t="s">
        <v>1032</v>
      </c>
      <c r="H916" s="4">
        <v>-1459.2</v>
      </c>
      <c r="I916" s="4">
        <v>-1459.2</v>
      </c>
      <c r="J916" s="4">
        <v>-1459.2</v>
      </c>
      <c r="K916" s="4">
        <v>1459.2</v>
      </c>
      <c r="L916" s="4"/>
      <c r="M916" s="2" t="s">
        <v>1084</v>
      </c>
      <c r="N916" s="2" t="s">
        <v>10</v>
      </c>
      <c r="O916" s="2" t="s">
        <v>10</v>
      </c>
    </row>
    <row r="917" spans="1:15" hidden="1" x14ac:dyDescent="0.25">
      <c r="A917" s="2" t="s">
        <v>892</v>
      </c>
      <c r="B917" s="3">
        <v>45439</v>
      </c>
      <c r="C917" s="5">
        <v>45413</v>
      </c>
      <c r="D917" s="2" t="s">
        <v>24</v>
      </c>
      <c r="E917" s="2">
        <v>6300</v>
      </c>
      <c r="F917" s="2" t="s">
        <v>23</v>
      </c>
      <c r="G917" s="2" t="s">
        <v>1045</v>
      </c>
      <c r="H917" s="4">
        <v>-90.64</v>
      </c>
      <c r="I917" s="4">
        <v>-90.64</v>
      </c>
      <c r="J917" s="4">
        <v>-90.64</v>
      </c>
      <c r="K917" s="4">
        <v>90.64</v>
      </c>
      <c r="L917" s="4"/>
      <c r="M917" s="2" t="s">
        <v>1084</v>
      </c>
      <c r="N917" s="2" t="s">
        <v>10</v>
      </c>
      <c r="O917" s="2" t="s">
        <v>10</v>
      </c>
    </row>
    <row r="918" spans="1:15" hidden="1" x14ac:dyDescent="0.25">
      <c r="A918" s="2" t="s">
        <v>832</v>
      </c>
      <c r="B918" s="3">
        <v>45332</v>
      </c>
      <c r="C918" s="5">
        <v>45323</v>
      </c>
      <c r="D918" s="2" t="s">
        <v>13</v>
      </c>
      <c r="E918" s="2">
        <v>6400</v>
      </c>
      <c r="F918" s="2" t="s">
        <v>15</v>
      </c>
      <c r="G918" s="2" t="s">
        <v>1044</v>
      </c>
      <c r="H918" s="4">
        <v>-3452.22</v>
      </c>
      <c r="I918" s="4">
        <v>-3452.22</v>
      </c>
      <c r="J918" s="4">
        <v>-3452.22</v>
      </c>
      <c r="K918" s="4">
        <v>3452.22</v>
      </c>
      <c r="L918" s="4"/>
      <c r="M918" s="2" t="s">
        <v>1084</v>
      </c>
      <c r="N918" s="2" t="s">
        <v>10</v>
      </c>
      <c r="O918" s="2" t="s">
        <v>10</v>
      </c>
    </row>
    <row r="919" spans="1:15" hidden="1" x14ac:dyDescent="0.25">
      <c r="A919" s="2" t="s">
        <v>964</v>
      </c>
      <c r="B919" s="3">
        <v>45569</v>
      </c>
      <c r="C919" s="5">
        <v>45566</v>
      </c>
      <c r="D919" s="2" t="s">
        <v>39</v>
      </c>
      <c r="E919" s="2">
        <v>6500</v>
      </c>
      <c r="F919" s="2" t="s">
        <v>38</v>
      </c>
      <c r="G919" s="2" t="s">
        <v>1029</v>
      </c>
      <c r="H919" s="4">
        <v>-1790.33</v>
      </c>
      <c r="I919" s="4">
        <v>-1790.33</v>
      </c>
      <c r="J919" s="4">
        <v>-1790.33</v>
      </c>
      <c r="K919" s="4">
        <v>1790.33</v>
      </c>
      <c r="L919" s="4"/>
      <c r="M919" s="2" t="s">
        <v>1084</v>
      </c>
      <c r="N919" s="2" t="s">
        <v>10</v>
      </c>
      <c r="O919" s="2" t="s">
        <v>10</v>
      </c>
    </row>
    <row r="920" spans="1:15" hidden="1" x14ac:dyDescent="0.25">
      <c r="A920" s="2" t="s">
        <v>327</v>
      </c>
      <c r="B920" s="3">
        <v>45303</v>
      </c>
      <c r="C920" s="5">
        <v>45292</v>
      </c>
      <c r="D920" s="2" t="s">
        <v>52</v>
      </c>
      <c r="E920" s="2">
        <v>6000</v>
      </c>
      <c r="F920" s="2" t="s">
        <v>63</v>
      </c>
      <c r="G920" s="2" t="s">
        <v>1051</v>
      </c>
      <c r="H920" s="4">
        <v>-7523.23</v>
      </c>
      <c r="I920" s="4">
        <v>-7523.23</v>
      </c>
      <c r="J920" s="4">
        <v>-7523.23</v>
      </c>
      <c r="K920" s="4">
        <v>7523.23</v>
      </c>
      <c r="L920" s="4"/>
      <c r="M920" s="2" t="s">
        <v>1084</v>
      </c>
      <c r="N920" s="2" t="s">
        <v>10</v>
      </c>
      <c r="O920" s="2" t="s">
        <v>10</v>
      </c>
    </row>
    <row r="921" spans="1:15" hidden="1" x14ac:dyDescent="0.25">
      <c r="A921" s="2" t="s">
        <v>931</v>
      </c>
      <c r="B921" s="3">
        <v>45573</v>
      </c>
      <c r="C921" s="5">
        <v>45566</v>
      </c>
      <c r="D921" s="2" t="s">
        <v>9</v>
      </c>
      <c r="E921" s="2">
        <v>6100</v>
      </c>
      <c r="F921" s="2" t="s">
        <v>44</v>
      </c>
      <c r="G921" s="2" t="s">
        <v>1054</v>
      </c>
      <c r="H921" s="4">
        <v>-3389.59</v>
      </c>
      <c r="I921" s="4">
        <v>-3389.59</v>
      </c>
      <c r="J921" s="4">
        <v>-3389.59</v>
      </c>
      <c r="K921" s="4">
        <v>3389.59</v>
      </c>
      <c r="L921" s="4"/>
      <c r="M921" s="2" t="s">
        <v>1084</v>
      </c>
      <c r="N921" s="2" t="s">
        <v>10</v>
      </c>
      <c r="O921" s="2" t="s">
        <v>10</v>
      </c>
    </row>
    <row r="922" spans="1:15" hidden="1" x14ac:dyDescent="0.25">
      <c r="A922" s="2" t="s">
        <v>374</v>
      </c>
      <c r="B922" s="3">
        <v>45307</v>
      </c>
      <c r="C922" s="5">
        <v>45292</v>
      </c>
      <c r="D922" s="2" t="s">
        <v>28</v>
      </c>
      <c r="E922" s="2">
        <v>6900</v>
      </c>
      <c r="F922" s="2" t="s">
        <v>195</v>
      </c>
      <c r="G922" s="2" t="s">
        <v>1048</v>
      </c>
      <c r="H922" s="4">
        <v>-59.63</v>
      </c>
      <c r="I922" s="4">
        <v>-59.63</v>
      </c>
      <c r="J922" s="4">
        <v>-59.63</v>
      </c>
      <c r="K922" s="4">
        <v>59.63</v>
      </c>
      <c r="L922" s="4"/>
      <c r="M922" s="2" t="s">
        <v>1084</v>
      </c>
      <c r="N922" s="2" t="s">
        <v>10</v>
      </c>
      <c r="O922" s="2" t="s">
        <v>10</v>
      </c>
    </row>
    <row r="923" spans="1:15" hidden="1" x14ac:dyDescent="0.25">
      <c r="A923" s="2" t="s">
        <v>611</v>
      </c>
      <c r="B923" s="3">
        <v>45367</v>
      </c>
      <c r="C923" s="5">
        <v>45352</v>
      </c>
      <c r="D923" s="2" t="s">
        <v>13</v>
      </c>
      <c r="E923" s="2">
        <v>6400</v>
      </c>
      <c r="F923" s="2" t="s">
        <v>21</v>
      </c>
      <c r="G923" s="2" t="s">
        <v>1030</v>
      </c>
      <c r="H923" s="4">
        <v>-2907.53</v>
      </c>
      <c r="I923" s="4">
        <v>-2907.53</v>
      </c>
      <c r="J923" s="4">
        <v>-2907.53</v>
      </c>
      <c r="K923" s="4">
        <v>2907.53</v>
      </c>
      <c r="L923" s="4"/>
      <c r="M923" s="2" t="s">
        <v>1084</v>
      </c>
      <c r="N923" s="2" t="s">
        <v>10</v>
      </c>
      <c r="O923" s="2" t="s">
        <v>10</v>
      </c>
    </row>
    <row r="924" spans="1:15" hidden="1" x14ac:dyDescent="0.25">
      <c r="A924" s="2" t="s">
        <v>902</v>
      </c>
      <c r="B924" s="3">
        <v>45512</v>
      </c>
      <c r="C924" s="5">
        <v>45505</v>
      </c>
      <c r="D924" s="2" t="s">
        <v>24</v>
      </c>
      <c r="E924" s="2">
        <v>6300</v>
      </c>
      <c r="F924" s="2" t="s">
        <v>23</v>
      </c>
      <c r="G924" s="2" t="s">
        <v>1045</v>
      </c>
      <c r="H924" s="4">
        <v>-396.99</v>
      </c>
      <c r="I924" s="4">
        <v>-396.99</v>
      </c>
      <c r="J924" s="4">
        <v>-396.99</v>
      </c>
      <c r="K924" s="4">
        <v>396.99</v>
      </c>
      <c r="L924" s="4"/>
      <c r="M924" s="2" t="s">
        <v>1084</v>
      </c>
      <c r="N924" s="2" t="s">
        <v>10</v>
      </c>
      <c r="O924" s="2" t="s">
        <v>10</v>
      </c>
    </row>
    <row r="925" spans="1:15" hidden="1" x14ac:dyDescent="0.25">
      <c r="A925" s="2" t="s">
        <v>320</v>
      </c>
      <c r="B925" s="3">
        <v>45635</v>
      </c>
      <c r="C925" s="5">
        <v>45627</v>
      </c>
      <c r="D925" s="2" t="s">
        <v>18</v>
      </c>
      <c r="E925" s="2">
        <v>5100</v>
      </c>
      <c r="F925" s="2" t="s">
        <v>17</v>
      </c>
      <c r="G925" s="2" t="s">
        <v>1037</v>
      </c>
      <c r="H925" s="4">
        <v>-10408.48</v>
      </c>
      <c r="I925" s="4">
        <v>-10408.48</v>
      </c>
      <c r="J925" s="4">
        <v>-10408.48</v>
      </c>
      <c r="K925" s="4">
        <v>10408.48</v>
      </c>
      <c r="L925" s="4"/>
      <c r="M925" s="2" t="s">
        <v>1084</v>
      </c>
      <c r="N925" s="2" t="s">
        <v>10</v>
      </c>
      <c r="O925" s="2" t="s">
        <v>10</v>
      </c>
    </row>
    <row r="926" spans="1:15" hidden="1" x14ac:dyDescent="0.25">
      <c r="A926" s="2" t="s">
        <v>492</v>
      </c>
      <c r="B926" s="3">
        <v>45441</v>
      </c>
      <c r="C926" s="5">
        <v>45413</v>
      </c>
      <c r="D926" s="2" t="s">
        <v>52</v>
      </c>
      <c r="E926" s="2">
        <v>6000</v>
      </c>
      <c r="F926" s="2" t="s">
        <v>63</v>
      </c>
      <c r="G926" s="2" t="s">
        <v>1051</v>
      </c>
      <c r="H926" s="4">
        <v>-5380.5</v>
      </c>
      <c r="I926" s="4">
        <v>-5380.5</v>
      </c>
      <c r="J926" s="4">
        <v>-5380.5</v>
      </c>
      <c r="K926" s="4">
        <v>5380.5</v>
      </c>
      <c r="L926" s="4"/>
      <c r="M926" s="2" t="s">
        <v>1084</v>
      </c>
      <c r="N926" s="2" t="s">
        <v>10</v>
      </c>
      <c r="O926" s="2" t="s">
        <v>10</v>
      </c>
    </row>
    <row r="927" spans="1:15" hidden="1" x14ac:dyDescent="0.25">
      <c r="A927" s="2" t="s">
        <v>996</v>
      </c>
      <c r="B927" s="3">
        <v>45336</v>
      </c>
      <c r="C927" s="5">
        <v>45323</v>
      </c>
      <c r="D927" s="2" t="s">
        <v>31</v>
      </c>
      <c r="E927" s="2">
        <v>4900</v>
      </c>
      <c r="F927" s="2" t="s">
        <v>146</v>
      </c>
      <c r="G927" s="2" t="s">
        <v>1031</v>
      </c>
      <c r="H927" s="4">
        <v>229.26</v>
      </c>
      <c r="I927" s="4">
        <v>229.26</v>
      </c>
      <c r="J927" s="4">
        <v>229.26</v>
      </c>
      <c r="K927" s="4">
        <v>229.26</v>
      </c>
      <c r="L927" s="4"/>
      <c r="M927" s="2" t="s">
        <v>1084</v>
      </c>
      <c r="N927" s="2" t="s">
        <v>10</v>
      </c>
      <c r="O927" s="2" t="s">
        <v>10</v>
      </c>
    </row>
    <row r="928" spans="1:15" hidden="1" x14ac:dyDescent="0.25">
      <c r="A928" s="2" t="s">
        <v>311</v>
      </c>
      <c r="B928" s="3">
        <v>45377</v>
      </c>
      <c r="C928" s="5">
        <v>45352</v>
      </c>
      <c r="D928" s="2" t="s">
        <v>13</v>
      </c>
      <c r="E928" s="2">
        <v>6400</v>
      </c>
      <c r="F928" s="2" t="s">
        <v>21</v>
      </c>
      <c r="G928" s="2" t="s">
        <v>1030</v>
      </c>
      <c r="H928" s="4">
        <v>-662.49</v>
      </c>
      <c r="I928" s="4">
        <v>-662.49</v>
      </c>
      <c r="J928" s="4">
        <v>-662.49</v>
      </c>
      <c r="K928" s="4">
        <v>662.49</v>
      </c>
      <c r="L928" s="4"/>
      <c r="M928" s="2" t="s">
        <v>1084</v>
      </c>
      <c r="N928" s="2" t="s">
        <v>10</v>
      </c>
      <c r="O928" s="2" t="s">
        <v>10</v>
      </c>
    </row>
    <row r="929" spans="1:15" hidden="1" x14ac:dyDescent="0.25">
      <c r="A929" s="2" t="s">
        <v>278</v>
      </c>
      <c r="B929" s="3">
        <v>45619</v>
      </c>
      <c r="C929" s="5">
        <v>45597</v>
      </c>
      <c r="D929" s="2" t="s">
        <v>59</v>
      </c>
      <c r="E929" s="2">
        <v>6200</v>
      </c>
      <c r="F929" s="2" t="s">
        <v>71</v>
      </c>
      <c r="G929" s="2" t="s">
        <v>1050</v>
      </c>
      <c r="H929" s="4">
        <v>-129.51</v>
      </c>
      <c r="I929" s="4">
        <v>-129.51</v>
      </c>
      <c r="J929" s="4">
        <v>-129.51</v>
      </c>
      <c r="K929" s="4">
        <v>129.51</v>
      </c>
      <c r="L929" s="4"/>
      <c r="M929" s="2" t="s">
        <v>1084</v>
      </c>
      <c r="N929" s="2" t="s">
        <v>10</v>
      </c>
      <c r="O929" s="2" t="s">
        <v>10</v>
      </c>
    </row>
    <row r="930" spans="1:15" hidden="1" x14ac:dyDescent="0.25">
      <c r="A930" s="2" t="s">
        <v>760</v>
      </c>
      <c r="B930" s="3">
        <v>45557</v>
      </c>
      <c r="C930" s="5">
        <v>45536</v>
      </c>
      <c r="D930" s="2" t="s">
        <v>24</v>
      </c>
      <c r="E930" s="2">
        <v>6300</v>
      </c>
      <c r="F930" s="2" t="s">
        <v>127</v>
      </c>
      <c r="G930" s="2" t="s">
        <v>1035</v>
      </c>
      <c r="H930" s="4">
        <v>-273.49</v>
      </c>
      <c r="I930" s="4">
        <v>-273.49</v>
      </c>
      <c r="J930" s="4">
        <v>-273.49</v>
      </c>
      <c r="K930" s="4">
        <v>273.49</v>
      </c>
      <c r="L930" s="4"/>
      <c r="M930" s="2" t="s">
        <v>1084</v>
      </c>
      <c r="N930" s="2" t="s">
        <v>10</v>
      </c>
      <c r="O930" s="2" t="s">
        <v>10</v>
      </c>
    </row>
    <row r="931" spans="1:15" hidden="1" x14ac:dyDescent="0.25">
      <c r="A931" s="2" t="s">
        <v>11</v>
      </c>
      <c r="B931" s="3">
        <v>45328</v>
      </c>
      <c r="C931" s="5">
        <v>45323</v>
      </c>
      <c r="D931" s="2" t="s">
        <v>13</v>
      </c>
      <c r="E931" s="2">
        <v>6400</v>
      </c>
      <c r="F931" s="2" t="s">
        <v>12</v>
      </c>
      <c r="G931" s="2" t="s">
        <v>1032</v>
      </c>
      <c r="H931" s="4">
        <v>-2555.21</v>
      </c>
      <c r="I931" s="4">
        <v>-2555.21</v>
      </c>
      <c r="J931" s="4">
        <v>-2555.21</v>
      </c>
      <c r="K931" s="4">
        <v>2555.21</v>
      </c>
      <c r="L931" s="4"/>
      <c r="M931" s="2" t="s">
        <v>1084</v>
      </c>
      <c r="N931" s="2" t="s">
        <v>10</v>
      </c>
      <c r="O931" s="2" t="s">
        <v>10</v>
      </c>
    </row>
    <row r="932" spans="1:15" hidden="1" x14ac:dyDescent="0.25">
      <c r="A932" s="2" t="s">
        <v>232</v>
      </c>
      <c r="B932" s="3">
        <v>45432</v>
      </c>
      <c r="C932" s="5">
        <v>45413</v>
      </c>
      <c r="D932" s="2" t="s">
        <v>13</v>
      </c>
      <c r="E932" s="2">
        <v>6400</v>
      </c>
      <c r="F932" s="2" t="s">
        <v>15</v>
      </c>
      <c r="G932" s="2" t="s">
        <v>1044</v>
      </c>
      <c r="H932" s="4">
        <v>-3029.91</v>
      </c>
      <c r="I932" s="4">
        <v>-3029.91</v>
      </c>
      <c r="J932" s="4">
        <v>-3029.91</v>
      </c>
      <c r="K932" s="4">
        <v>3029.91</v>
      </c>
      <c r="L932" s="4"/>
      <c r="M932" s="2" t="s">
        <v>1084</v>
      </c>
      <c r="N932" s="2" t="s">
        <v>10</v>
      </c>
      <c r="O932" s="2" t="s">
        <v>10</v>
      </c>
    </row>
    <row r="933" spans="1:15" hidden="1" x14ac:dyDescent="0.25">
      <c r="A933" s="2" t="s">
        <v>914</v>
      </c>
      <c r="B933" s="3">
        <v>45388</v>
      </c>
      <c r="C933" s="5">
        <v>45383</v>
      </c>
      <c r="D933" s="2" t="s">
        <v>9</v>
      </c>
      <c r="E933" s="2">
        <v>6100</v>
      </c>
      <c r="F933" s="2" t="s">
        <v>44</v>
      </c>
      <c r="G933" s="2" t="s">
        <v>1054</v>
      </c>
      <c r="H933" s="4">
        <v>-5144.76</v>
      </c>
      <c r="I933" s="4">
        <v>-5144.76</v>
      </c>
      <c r="J933" s="4">
        <v>-5144.76</v>
      </c>
      <c r="K933" s="4">
        <v>5144.76</v>
      </c>
      <c r="L933" s="4"/>
      <c r="M933" s="2" t="s">
        <v>1084</v>
      </c>
      <c r="N933" s="2" t="s">
        <v>10</v>
      </c>
      <c r="O933" s="2" t="s">
        <v>10</v>
      </c>
    </row>
    <row r="934" spans="1:15" hidden="1" x14ac:dyDescent="0.25">
      <c r="A934" s="2" t="s">
        <v>62</v>
      </c>
      <c r="B934" s="3">
        <v>45356</v>
      </c>
      <c r="C934" s="5">
        <v>45352</v>
      </c>
      <c r="D934" s="2" t="s">
        <v>52</v>
      </c>
      <c r="E934" s="2">
        <v>6000</v>
      </c>
      <c r="F934" s="2" t="s">
        <v>63</v>
      </c>
      <c r="G934" s="2" t="s">
        <v>1051</v>
      </c>
      <c r="H934" s="4">
        <v>-1749.44</v>
      </c>
      <c r="I934" s="4">
        <v>-1749.44</v>
      </c>
      <c r="J934" s="4">
        <v>-1749.44</v>
      </c>
      <c r="K934" s="4">
        <v>1749.44</v>
      </c>
      <c r="L934" s="4"/>
      <c r="M934" s="2" t="s">
        <v>1084</v>
      </c>
      <c r="N934" s="2" t="s">
        <v>10</v>
      </c>
      <c r="O934" s="2" t="s">
        <v>10</v>
      </c>
    </row>
    <row r="935" spans="1:15" hidden="1" x14ac:dyDescent="0.25">
      <c r="A935" s="2" t="s">
        <v>551</v>
      </c>
      <c r="B935" s="3">
        <v>45600</v>
      </c>
      <c r="C935" s="5">
        <v>45597</v>
      </c>
      <c r="D935" s="2" t="s">
        <v>9</v>
      </c>
      <c r="E935" s="2">
        <v>6100</v>
      </c>
      <c r="F935" s="2" t="s">
        <v>44</v>
      </c>
      <c r="G935" s="2" t="s">
        <v>1054</v>
      </c>
      <c r="H935" s="4">
        <v>-1092.7</v>
      </c>
      <c r="I935" s="4">
        <v>-1092.7</v>
      </c>
      <c r="J935" s="4">
        <v>-1092.7</v>
      </c>
      <c r="K935" s="4">
        <v>1092.7</v>
      </c>
      <c r="L935" s="4"/>
      <c r="M935" s="2" t="s">
        <v>1084</v>
      </c>
      <c r="N935" s="2" t="s">
        <v>10</v>
      </c>
      <c r="O935" s="2" t="s">
        <v>10</v>
      </c>
    </row>
    <row r="936" spans="1:15" hidden="1" x14ac:dyDescent="0.25">
      <c r="A936" s="2" t="s">
        <v>210</v>
      </c>
      <c r="B936" s="3">
        <v>45517</v>
      </c>
      <c r="C936" s="5">
        <v>45505</v>
      </c>
      <c r="D936" s="2" t="s">
        <v>24</v>
      </c>
      <c r="E936" s="2">
        <v>6300</v>
      </c>
      <c r="F936" s="2" t="s">
        <v>127</v>
      </c>
      <c r="G936" s="2" t="s">
        <v>1035</v>
      </c>
      <c r="H936" s="4">
        <v>-226.54</v>
      </c>
      <c r="I936" s="4">
        <v>-226.54</v>
      </c>
      <c r="J936" s="4">
        <v>-226.54</v>
      </c>
      <c r="K936" s="4">
        <v>226.54</v>
      </c>
      <c r="L936" s="4"/>
      <c r="M936" s="2" t="s">
        <v>1084</v>
      </c>
      <c r="N936" s="2" t="s">
        <v>10</v>
      </c>
      <c r="O936" s="2" t="s">
        <v>10</v>
      </c>
    </row>
    <row r="937" spans="1:15" hidden="1" x14ac:dyDescent="0.25">
      <c r="A937" s="2" t="s">
        <v>471</v>
      </c>
      <c r="B937" s="3">
        <v>45357</v>
      </c>
      <c r="C937" s="5">
        <v>45352</v>
      </c>
      <c r="D937" s="2" t="s">
        <v>31</v>
      </c>
      <c r="E937" s="2">
        <v>4900</v>
      </c>
      <c r="F937" s="2" t="s">
        <v>146</v>
      </c>
      <c r="G937" s="2" t="s">
        <v>1031</v>
      </c>
      <c r="H937" s="4">
        <v>221.57</v>
      </c>
      <c r="I937" s="4">
        <v>221.57</v>
      </c>
      <c r="J937" s="4">
        <v>221.57</v>
      </c>
      <c r="K937" s="4">
        <v>221.57</v>
      </c>
      <c r="L937" s="4"/>
      <c r="M937" s="2" t="s">
        <v>1084</v>
      </c>
      <c r="N937" s="2" t="s">
        <v>10</v>
      </c>
      <c r="O937" s="2" t="s">
        <v>10</v>
      </c>
    </row>
    <row r="938" spans="1:15" hidden="1" x14ac:dyDescent="0.25">
      <c r="A938" s="2" t="s">
        <v>560</v>
      </c>
      <c r="B938" s="3">
        <v>45529</v>
      </c>
      <c r="C938" s="5">
        <v>45505</v>
      </c>
      <c r="D938" s="2" t="s">
        <v>18</v>
      </c>
      <c r="E938" s="2">
        <v>5100</v>
      </c>
      <c r="F938" s="2" t="s">
        <v>81</v>
      </c>
      <c r="G938" s="2" t="s">
        <v>1039</v>
      </c>
      <c r="H938" s="4">
        <v>-11973.78</v>
      </c>
      <c r="I938" s="4">
        <v>-11973.78</v>
      </c>
      <c r="J938" s="4">
        <v>-11973.78</v>
      </c>
      <c r="K938" s="4">
        <v>11973.78</v>
      </c>
      <c r="L938" s="4"/>
      <c r="M938" s="2" t="s">
        <v>1084</v>
      </c>
      <c r="N938" s="2" t="s">
        <v>10</v>
      </c>
      <c r="O938" s="2" t="s">
        <v>10</v>
      </c>
    </row>
    <row r="939" spans="1:15" hidden="1" x14ac:dyDescent="0.25">
      <c r="A939" s="2" t="s">
        <v>962</v>
      </c>
      <c r="B939" s="3">
        <v>45442</v>
      </c>
      <c r="C939" s="5">
        <v>45413</v>
      </c>
      <c r="D939" s="2" t="s">
        <v>18</v>
      </c>
      <c r="E939" s="2">
        <v>5100</v>
      </c>
      <c r="F939" s="2" t="s">
        <v>56</v>
      </c>
      <c r="G939" s="2" t="s">
        <v>1025</v>
      </c>
      <c r="H939" s="4">
        <v>-7435.69</v>
      </c>
      <c r="I939" s="4">
        <v>-7435.69</v>
      </c>
      <c r="J939" s="4">
        <v>-7435.69</v>
      </c>
      <c r="K939" s="4">
        <v>7435.69</v>
      </c>
      <c r="L939" s="4"/>
      <c r="M939" s="2" t="s">
        <v>1084</v>
      </c>
      <c r="N939" s="2" t="s">
        <v>10</v>
      </c>
      <c r="O939" s="2" t="s">
        <v>10</v>
      </c>
    </row>
    <row r="940" spans="1:15" hidden="1" x14ac:dyDescent="0.25">
      <c r="A940" s="2" t="s">
        <v>73</v>
      </c>
      <c r="B940" s="3">
        <v>45314</v>
      </c>
      <c r="C940" s="5">
        <v>45292</v>
      </c>
      <c r="D940" s="2" t="s">
        <v>24</v>
      </c>
      <c r="E940" s="2">
        <v>6300</v>
      </c>
      <c r="F940" s="2" t="s">
        <v>23</v>
      </c>
      <c r="G940" s="2" t="s">
        <v>1045</v>
      </c>
      <c r="H940" s="4">
        <v>-890.4</v>
      </c>
      <c r="I940" s="4">
        <v>-890.4</v>
      </c>
      <c r="J940" s="4">
        <v>-890.4</v>
      </c>
      <c r="K940" s="4">
        <v>890.4</v>
      </c>
      <c r="L940" s="4"/>
      <c r="M940" s="2" t="s">
        <v>1084</v>
      </c>
      <c r="N940" s="2" t="s">
        <v>10</v>
      </c>
      <c r="O940" s="2" t="s">
        <v>10</v>
      </c>
    </row>
    <row r="941" spans="1:15" hidden="1" x14ac:dyDescent="0.25">
      <c r="A941" s="2" t="s">
        <v>348</v>
      </c>
      <c r="B941" s="3">
        <v>45456</v>
      </c>
      <c r="C941" s="5">
        <v>45444</v>
      </c>
      <c r="D941" s="2" t="s">
        <v>13</v>
      </c>
      <c r="E941" s="2">
        <v>6400</v>
      </c>
      <c r="F941" s="2" t="s">
        <v>21</v>
      </c>
      <c r="G941" s="2" t="s">
        <v>1030</v>
      </c>
      <c r="H941" s="4">
        <v>-593.44000000000005</v>
      </c>
      <c r="I941" s="4">
        <v>-593.44000000000005</v>
      </c>
      <c r="J941" s="4">
        <v>-593.44000000000005</v>
      </c>
      <c r="K941" s="4">
        <v>593.44000000000005</v>
      </c>
      <c r="L941" s="4"/>
      <c r="M941" s="2" t="s">
        <v>1084</v>
      </c>
      <c r="N941" s="2" t="s">
        <v>10</v>
      </c>
      <c r="O941" s="2" t="s">
        <v>10</v>
      </c>
    </row>
    <row r="942" spans="1:15" hidden="1" x14ac:dyDescent="0.25">
      <c r="A942" s="2" t="s">
        <v>629</v>
      </c>
      <c r="B942" s="3">
        <v>45359</v>
      </c>
      <c r="C942" s="5">
        <v>45352</v>
      </c>
      <c r="D942" s="2" t="s">
        <v>9</v>
      </c>
      <c r="E942" s="2">
        <v>6100</v>
      </c>
      <c r="F942" s="2" t="s">
        <v>48</v>
      </c>
      <c r="G942" s="2" t="s">
        <v>1043</v>
      </c>
      <c r="H942" s="4">
        <v>-1069.0999999999999</v>
      </c>
      <c r="I942" s="4">
        <v>-1069.0999999999999</v>
      </c>
      <c r="J942" s="4">
        <v>-1069.0999999999999</v>
      </c>
      <c r="K942" s="4">
        <v>1069.0999999999999</v>
      </c>
      <c r="L942" s="4"/>
      <c r="M942" s="2" t="s">
        <v>1084</v>
      </c>
      <c r="N942" s="2" t="s">
        <v>10</v>
      </c>
      <c r="O942" s="2" t="s">
        <v>10</v>
      </c>
    </row>
    <row r="943" spans="1:15" hidden="1" x14ac:dyDescent="0.25">
      <c r="A943" s="2" t="s">
        <v>543</v>
      </c>
      <c r="B943" s="3">
        <v>45381</v>
      </c>
      <c r="C943" s="5">
        <v>45352</v>
      </c>
      <c r="D943" s="2" t="s">
        <v>24</v>
      </c>
      <c r="E943" s="2">
        <v>6300</v>
      </c>
      <c r="F943" s="2" t="s">
        <v>94</v>
      </c>
      <c r="G943" s="2" t="s">
        <v>1053</v>
      </c>
      <c r="H943" s="4">
        <v>-440.33</v>
      </c>
      <c r="I943" s="4">
        <v>-440.33</v>
      </c>
      <c r="J943" s="4">
        <v>-440.33</v>
      </c>
      <c r="K943" s="4">
        <v>440.33</v>
      </c>
      <c r="L943" s="4"/>
      <c r="M943" s="2" t="s">
        <v>1084</v>
      </c>
      <c r="N943" s="2" t="s">
        <v>10</v>
      </c>
      <c r="O943" s="2" t="s">
        <v>10</v>
      </c>
    </row>
    <row r="944" spans="1:15" hidden="1" x14ac:dyDescent="0.25">
      <c r="A944" s="2" t="s">
        <v>368</v>
      </c>
      <c r="B944" s="3">
        <v>45612</v>
      </c>
      <c r="C944" s="5">
        <v>45597</v>
      </c>
      <c r="D944" s="2" t="s">
        <v>31</v>
      </c>
      <c r="E944" s="2">
        <v>4900</v>
      </c>
      <c r="F944" s="2" t="s">
        <v>30</v>
      </c>
      <c r="G944" s="2" t="s">
        <v>1024</v>
      </c>
      <c r="H944" s="4">
        <v>267.76</v>
      </c>
      <c r="I944" s="4">
        <v>267.76</v>
      </c>
      <c r="J944" s="4">
        <v>267.76</v>
      </c>
      <c r="K944" s="4">
        <v>267.76</v>
      </c>
      <c r="L944" s="4"/>
      <c r="M944" s="2" t="s">
        <v>1084</v>
      </c>
      <c r="N944" s="2" t="s">
        <v>10</v>
      </c>
      <c r="O944" s="2" t="s">
        <v>10</v>
      </c>
    </row>
    <row r="945" spans="1:15" hidden="1" x14ac:dyDescent="0.25">
      <c r="A945" s="2" t="s">
        <v>831</v>
      </c>
      <c r="B945" s="3">
        <v>45551</v>
      </c>
      <c r="C945" s="5">
        <v>45536</v>
      </c>
      <c r="D945" s="2" t="s">
        <v>24</v>
      </c>
      <c r="E945" s="2">
        <v>6300</v>
      </c>
      <c r="F945" s="2" t="s">
        <v>94</v>
      </c>
      <c r="G945" s="2" t="s">
        <v>1053</v>
      </c>
      <c r="H945" s="4">
        <v>-622.99</v>
      </c>
      <c r="I945" s="4">
        <v>-622.99</v>
      </c>
      <c r="J945" s="4">
        <v>-622.99</v>
      </c>
      <c r="K945" s="4">
        <v>622.99</v>
      </c>
      <c r="L945" s="4"/>
      <c r="M945" s="2" t="s">
        <v>1084</v>
      </c>
      <c r="N945" s="2" t="s">
        <v>10</v>
      </c>
      <c r="O945" s="2" t="s">
        <v>10</v>
      </c>
    </row>
    <row r="946" spans="1:15" hidden="1" x14ac:dyDescent="0.25">
      <c r="A946" s="2" t="s">
        <v>763</v>
      </c>
      <c r="B946" s="3">
        <v>45340</v>
      </c>
      <c r="C946" s="5">
        <v>45323</v>
      </c>
      <c r="D946" s="2" t="s">
        <v>18</v>
      </c>
      <c r="E946" s="2">
        <v>5100</v>
      </c>
      <c r="F946" s="2" t="s">
        <v>81</v>
      </c>
      <c r="G946" s="2" t="s">
        <v>1039</v>
      </c>
      <c r="H946" s="4">
        <v>-6394.91</v>
      </c>
      <c r="I946" s="4">
        <v>-6394.91</v>
      </c>
      <c r="J946" s="4">
        <v>-6394.91</v>
      </c>
      <c r="K946" s="4">
        <v>6394.91</v>
      </c>
      <c r="L946" s="4"/>
      <c r="M946" s="2" t="s">
        <v>1084</v>
      </c>
      <c r="N946" s="2" t="s">
        <v>10</v>
      </c>
      <c r="O946" s="2" t="s">
        <v>10</v>
      </c>
    </row>
    <row r="947" spans="1:15" hidden="1" x14ac:dyDescent="0.25">
      <c r="A947" s="2" t="s">
        <v>791</v>
      </c>
      <c r="B947" s="3">
        <v>45602</v>
      </c>
      <c r="C947" s="5">
        <v>45597</v>
      </c>
      <c r="D947" s="2" t="s">
        <v>18</v>
      </c>
      <c r="E947" s="2">
        <v>5100</v>
      </c>
      <c r="F947" s="2" t="s">
        <v>17</v>
      </c>
      <c r="G947" s="2" t="s">
        <v>1037</v>
      </c>
      <c r="H947" s="4">
        <v>-5625.4</v>
      </c>
      <c r="I947" s="4">
        <v>-5625.4</v>
      </c>
      <c r="J947" s="4">
        <v>-5625.4</v>
      </c>
      <c r="K947" s="4">
        <v>5625.4</v>
      </c>
      <c r="L947" s="4"/>
      <c r="M947" s="2" t="s">
        <v>1084</v>
      </c>
      <c r="N947" s="2" t="s">
        <v>10</v>
      </c>
      <c r="O947" s="2" t="s">
        <v>10</v>
      </c>
    </row>
    <row r="948" spans="1:15" hidden="1" x14ac:dyDescent="0.25">
      <c r="A948" s="2" t="s">
        <v>427</v>
      </c>
      <c r="B948" s="3">
        <v>45501</v>
      </c>
      <c r="C948" s="5">
        <v>45474</v>
      </c>
      <c r="D948" s="2" t="s">
        <v>31</v>
      </c>
      <c r="E948" s="2">
        <v>4900</v>
      </c>
      <c r="F948" s="2" t="s">
        <v>79</v>
      </c>
      <c r="G948" s="2" t="s">
        <v>1026</v>
      </c>
      <c r="H948" s="4">
        <v>187.58</v>
      </c>
      <c r="I948" s="4">
        <v>187.58</v>
      </c>
      <c r="J948" s="4">
        <v>187.58</v>
      </c>
      <c r="K948" s="4">
        <v>187.58</v>
      </c>
      <c r="L948" s="4"/>
      <c r="M948" s="2" t="s">
        <v>1084</v>
      </c>
      <c r="N948" s="2" t="s">
        <v>10</v>
      </c>
      <c r="O948" s="2" t="s">
        <v>10</v>
      </c>
    </row>
    <row r="949" spans="1:15" hidden="1" x14ac:dyDescent="0.25">
      <c r="A949" s="2" t="s">
        <v>722</v>
      </c>
      <c r="B949" s="3">
        <v>45611</v>
      </c>
      <c r="C949" s="5">
        <v>45597</v>
      </c>
      <c r="D949" s="2" t="s">
        <v>18</v>
      </c>
      <c r="E949" s="2">
        <v>5100</v>
      </c>
      <c r="F949" s="2" t="s">
        <v>56</v>
      </c>
      <c r="G949" s="2" t="s">
        <v>1025</v>
      </c>
      <c r="H949" s="4">
        <v>-5038.1000000000004</v>
      </c>
      <c r="I949" s="4">
        <v>-5038.1000000000004</v>
      </c>
      <c r="J949" s="4">
        <v>-5038.1000000000004</v>
      </c>
      <c r="K949" s="4">
        <v>5038.1000000000004</v>
      </c>
      <c r="L949" s="4"/>
      <c r="M949" s="2" t="s">
        <v>1084</v>
      </c>
      <c r="N949" s="2" t="s">
        <v>10</v>
      </c>
      <c r="O949" s="2" t="s">
        <v>10</v>
      </c>
    </row>
    <row r="950" spans="1:15" hidden="1" x14ac:dyDescent="0.25">
      <c r="A950" s="2" t="s">
        <v>191</v>
      </c>
      <c r="B950" s="3">
        <v>45564</v>
      </c>
      <c r="C950" s="5">
        <v>45536</v>
      </c>
      <c r="D950" s="2" t="s">
        <v>31</v>
      </c>
      <c r="E950" s="2">
        <v>4900</v>
      </c>
      <c r="F950" s="2" t="s">
        <v>146</v>
      </c>
      <c r="G950" s="2" t="s">
        <v>1031</v>
      </c>
      <c r="H950" s="4">
        <v>104.09</v>
      </c>
      <c r="I950" s="4">
        <v>104.09</v>
      </c>
      <c r="J950" s="4">
        <v>104.09</v>
      </c>
      <c r="K950" s="4">
        <v>104.09</v>
      </c>
      <c r="L950" s="4"/>
      <c r="M950" s="2" t="s">
        <v>1084</v>
      </c>
      <c r="N950" s="2" t="s">
        <v>10</v>
      </c>
      <c r="O950" s="2" t="s">
        <v>10</v>
      </c>
    </row>
    <row r="951" spans="1:15" hidden="1" x14ac:dyDescent="0.25">
      <c r="A951" s="2" t="s">
        <v>91</v>
      </c>
      <c r="B951" s="3">
        <v>45415</v>
      </c>
      <c r="C951" s="5">
        <v>45413</v>
      </c>
      <c r="D951" s="2" t="s">
        <v>52</v>
      </c>
      <c r="E951" s="2">
        <v>6000</v>
      </c>
      <c r="F951" s="2" t="s">
        <v>63</v>
      </c>
      <c r="G951" s="2" t="s">
        <v>1051</v>
      </c>
      <c r="H951" s="4">
        <v>-5333</v>
      </c>
      <c r="I951" s="4">
        <v>-5333</v>
      </c>
      <c r="J951" s="4">
        <v>-5333</v>
      </c>
      <c r="K951" s="4">
        <v>5333</v>
      </c>
      <c r="L951" s="4"/>
      <c r="M951" s="2" t="s">
        <v>1084</v>
      </c>
      <c r="N951" s="2" t="s">
        <v>10</v>
      </c>
      <c r="O951" s="2" t="s">
        <v>10</v>
      </c>
    </row>
    <row r="952" spans="1:15" x14ac:dyDescent="0.25">
      <c r="A952" s="2" t="s">
        <v>197</v>
      </c>
      <c r="B952" s="3">
        <v>45308</v>
      </c>
      <c r="C952" s="5">
        <v>45292</v>
      </c>
      <c r="D952" s="2" t="s">
        <v>18</v>
      </c>
      <c r="E952" s="2">
        <v>5100</v>
      </c>
      <c r="F952" s="2" t="s">
        <v>56</v>
      </c>
      <c r="G952" s="2"/>
      <c r="H952" s="4">
        <v>-11925.61</v>
      </c>
      <c r="I952" s="4"/>
      <c r="J952" s="4">
        <v>-11925.61</v>
      </c>
      <c r="K952" s="4">
        <v>11925.61</v>
      </c>
      <c r="L952" s="4"/>
      <c r="M952" s="2" t="s">
        <v>1086</v>
      </c>
      <c r="N952" s="2" t="s">
        <v>123</v>
      </c>
      <c r="O952" s="2" t="s">
        <v>10</v>
      </c>
    </row>
    <row r="953" spans="1:15" x14ac:dyDescent="0.25">
      <c r="A953" s="2" t="s">
        <v>778</v>
      </c>
      <c r="B953" s="3">
        <v>45414</v>
      </c>
      <c r="C953" s="5">
        <v>45413</v>
      </c>
      <c r="D953" s="2" t="s">
        <v>18</v>
      </c>
      <c r="E953" s="2">
        <v>5100</v>
      </c>
      <c r="F953" s="2" t="s">
        <v>56</v>
      </c>
      <c r="G953" s="2"/>
      <c r="H953" s="4">
        <v>-11345.48</v>
      </c>
      <c r="I953" s="4"/>
      <c r="J953" s="4">
        <v>-11345.48</v>
      </c>
      <c r="K953" s="4">
        <v>11345.48</v>
      </c>
      <c r="L953" s="4"/>
      <c r="M953" s="2" t="s">
        <v>1086</v>
      </c>
      <c r="N953" s="2" t="s">
        <v>123</v>
      </c>
      <c r="O953" s="2" t="s">
        <v>10</v>
      </c>
    </row>
    <row r="954" spans="1:15" x14ac:dyDescent="0.25">
      <c r="A954" s="2" t="s">
        <v>313</v>
      </c>
      <c r="B954" s="3">
        <v>45565</v>
      </c>
      <c r="C954" s="5">
        <v>45536</v>
      </c>
      <c r="D954" s="2" t="s">
        <v>9</v>
      </c>
      <c r="E954" s="2">
        <v>6100</v>
      </c>
      <c r="F954" s="2" t="s">
        <v>48</v>
      </c>
      <c r="G954" s="2"/>
      <c r="H954" s="4">
        <v>-4990.0200000000004</v>
      </c>
      <c r="I954" s="4"/>
      <c r="J954" s="4">
        <v>-4990.0200000000004</v>
      </c>
      <c r="K954" s="4">
        <v>4990.0200000000004</v>
      </c>
      <c r="L954" s="4"/>
      <c r="M954" s="2" t="s">
        <v>1086</v>
      </c>
      <c r="N954" s="2" t="s">
        <v>123</v>
      </c>
      <c r="O954" s="2" t="s">
        <v>10</v>
      </c>
    </row>
    <row r="955" spans="1:15" x14ac:dyDescent="0.25">
      <c r="A955" s="2" t="s">
        <v>890</v>
      </c>
      <c r="B955" s="3">
        <v>45330</v>
      </c>
      <c r="C955" s="5">
        <v>45323</v>
      </c>
      <c r="D955" s="2" t="s">
        <v>9</v>
      </c>
      <c r="E955" s="2">
        <v>6100</v>
      </c>
      <c r="F955" s="2" t="s">
        <v>8</v>
      </c>
      <c r="G955" s="2"/>
      <c r="H955" s="4">
        <v>-2085.79</v>
      </c>
      <c r="I955" s="4"/>
      <c r="J955" s="4">
        <v>-2085.79</v>
      </c>
      <c r="K955" s="4">
        <v>2085.79</v>
      </c>
      <c r="L955" s="4"/>
      <c r="M955" s="2" t="s">
        <v>1086</v>
      </c>
      <c r="N955" s="2" t="s">
        <v>123</v>
      </c>
      <c r="O955" s="2" t="s">
        <v>10</v>
      </c>
    </row>
    <row r="956" spans="1:15" x14ac:dyDescent="0.25">
      <c r="A956" s="2" t="s">
        <v>790</v>
      </c>
      <c r="B956" s="3">
        <v>45318</v>
      </c>
      <c r="C956" s="5">
        <v>45292</v>
      </c>
      <c r="D956" s="2" t="s">
        <v>18</v>
      </c>
      <c r="E956" s="2">
        <v>5100</v>
      </c>
      <c r="F956" s="2" t="s">
        <v>56</v>
      </c>
      <c r="G956" s="2"/>
      <c r="H956" s="4">
        <v>-4601.7</v>
      </c>
      <c r="I956" s="4"/>
      <c r="J956" s="4">
        <v>-4601.7</v>
      </c>
      <c r="K956" s="4">
        <v>4601.7</v>
      </c>
      <c r="L956" s="4"/>
      <c r="M956" s="2" t="s">
        <v>1086</v>
      </c>
      <c r="N956" s="2" t="s">
        <v>123</v>
      </c>
      <c r="O956" s="2" t="s">
        <v>10</v>
      </c>
    </row>
    <row r="957" spans="1:15" x14ac:dyDescent="0.25">
      <c r="A957" s="2" t="s">
        <v>655</v>
      </c>
      <c r="B957" s="3">
        <v>45602</v>
      </c>
      <c r="C957" s="5">
        <v>45597</v>
      </c>
      <c r="D957" s="2" t="s">
        <v>52</v>
      </c>
      <c r="E957" s="2">
        <v>6000</v>
      </c>
      <c r="F957" s="2" t="s">
        <v>51</v>
      </c>
      <c r="G957" s="2"/>
      <c r="H957" s="4">
        <v>-4962.75</v>
      </c>
      <c r="I957" s="4"/>
      <c r="J957" s="4">
        <v>-4962.75</v>
      </c>
      <c r="K957" s="4">
        <v>4962.75</v>
      </c>
      <c r="L957" s="4"/>
      <c r="M957" s="2" t="s">
        <v>1086</v>
      </c>
      <c r="N957" s="2" t="s">
        <v>123</v>
      </c>
      <c r="O957" s="2" t="s">
        <v>10</v>
      </c>
    </row>
    <row r="958" spans="1:15" x14ac:dyDescent="0.25">
      <c r="A958" s="2" t="s">
        <v>178</v>
      </c>
      <c r="B958" s="3">
        <v>45508</v>
      </c>
      <c r="C958" s="5">
        <v>45505</v>
      </c>
      <c r="D958" s="2" t="s">
        <v>52</v>
      </c>
      <c r="E958" s="2">
        <v>6000</v>
      </c>
      <c r="F958" s="2" t="s">
        <v>51</v>
      </c>
      <c r="G958" s="2"/>
      <c r="H958" s="4">
        <v>-8659.91</v>
      </c>
      <c r="I958" s="4"/>
      <c r="J958" s="4">
        <v>-8659.91</v>
      </c>
      <c r="K958" s="4">
        <v>8659.91</v>
      </c>
      <c r="L958" s="4"/>
      <c r="M958" s="2" t="s">
        <v>1086</v>
      </c>
      <c r="N958" s="2" t="s">
        <v>123</v>
      </c>
      <c r="O958" s="2" t="s">
        <v>10</v>
      </c>
    </row>
    <row r="959" spans="1:15" x14ac:dyDescent="0.25">
      <c r="A959" s="2" t="s">
        <v>466</v>
      </c>
      <c r="B959" s="3">
        <v>45417</v>
      </c>
      <c r="C959" s="5">
        <v>45413</v>
      </c>
      <c r="D959" s="2" t="s">
        <v>18</v>
      </c>
      <c r="E959" s="2">
        <v>5100</v>
      </c>
      <c r="F959" s="2" t="s">
        <v>81</v>
      </c>
      <c r="G959" s="2"/>
      <c r="H959" s="4">
        <v>-14623.94</v>
      </c>
      <c r="I959" s="4"/>
      <c r="J959" s="4">
        <v>-14623.94</v>
      </c>
      <c r="K959" s="4">
        <v>14623.94</v>
      </c>
      <c r="L959" s="4"/>
      <c r="M959" s="2" t="s">
        <v>1086</v>
      </c>
      <c r="N959" s="2" t="s">
        <v>123</v>
      </c>
      <c r="O959" s="2" t="s">
        <v>10</v>
      </c>
    </row>
    <row r="960" spans="1:15" x14ac:dyDescent="0.25">
      <c r="A960" s="2" t="s">
        <v>795</v>
      </c>
      <c r="B960" s="3">
        <v>45567</v>
      </c>
      <c r="C960" s="5">
        <v>45566</v>
      </c>
      <c r="D960" s="2" t="s">
        <v>52</v>
      </c>
      <c r="E960" s="2">
        <v>6000</v>
      </c>
      <c r="F960" s="2" t="s">
        <v>51</v>
      </c>
      <c r="G960" s="2"/>
      <c r="H960" s="4">
        <v>-7143.09</v>
      </c>
      <c r="I960" s="4"/>
      <c r="J960" s="4">
        <v>-7143.09</v>
      </c>
      <c r="K960" s="4">
        <v>7143.09</v>
      </c>
      <c r="L960" s="4"/>
      <c r="M960" s="2" t="s">
        <v>1086</v>
      </c>
      <c r="N960" s="2" t="s">
        <v>123</v>
      </c>
      <c r="O960" s="2" t="s">
        <v>10</v>
      </c>
    </row>
    <row r="961" spans="1:15" x14ac:dyDescent="0.25">
      <c r="A961" s="2" t="s">
        <v>900</v>
      </c>
      <c r="B961" s="3">
        <v>45600</v>
      </c>
      <c r="C961" s="5">
        <v>45597</v>
      </c>
      <c r="D961" s="2" t="s">
        <v>9</v>
      </c>
      <c r="E961" s="2">
        <v>6100</v>
      </c>
      <c r="F961" s="2" t="s">
        <v>48</v>
      </c>
      <c r="G961" s="2"/>
      <c r="H961" s="4">
        <v>-3333</v>
      </c>
      <c r="I961" s="4"/>
      <c r="J961" s="4">
        <v>-3333</v>
      </c>
      <c r="K961" s="4">
        <v>3333</v>
      </c>
      <c r="L961" s="4"/>
      <c r="M961" s="2" t="s">
        <v>1086</v>
      </c>
      <c r="N961" s="2" t="s">
        <v>123</v>
      </c>
      <c r="O961" s="2" t="s">
        <v>10</v>
      </c>
    </row>
    <row r="962" spans="1:15" x14ac:dyDescent="0.25">
      <c r="A962" s="2" t="s">
        <v>1014</v>
      </c>
      <c r="B962" s="3">
        <v>45423</v>
      </c>
      <c r="C962" s="5">
        <v>45413</v>
      </c>
      <c r="D962" s="2" t="s">
        <v>9</v>
      </c>
      <c r="E962" s="2">
        <v>6100</v>
      </c>
      <c r="F962" s="2" t="s">
        <v>48</v>
      </c>
      <c r="G962" s="2"/>
      <c r="H962" s="4">
        <v>-2030.85</v>
      </c>
      <c r="I962" s="4"/>
      <c r="J962" s="4">
        <v>-2030.85</v>
      </c>
      <c r="K962" s="4">
        <v>2030.85</v>
      </c>
      <c r="L962" s="4"/>
      <c r="M962" s="2" t="s">
        <v>1086</v>
      </c>
      <c r="N962" s="2" t="s">
        <v>123</v>
      </c>
      <c r="O962" s="2" t="s">
        <v>10</v>
      </c>
    </row>
    <row r="963" spans="1:15" x14ac:dyDescent="0.25">
      <c r="A963" s="2" t="s">
        <v>392</v>
      </c>
      <c r="B963" s="3">
        <v>45496</v>
      </c>
      <c r="C963" s="5">
        <v>45474</v>
      </c>
      <c r="D963" s="2" t="s">
        <v>9</v>
      </c>
      <c r="E963" s="2">
        <v>6100</v>
      </c>
      <c r="F963" s="2" t="s">
        <v>44</v>
      </c>
      <c r="G963" s="2"/>
      <c r="H963" s="4">
        <v>-3543.71</v>
      </c>
      <c r="I963" s="4"/>
      <c r="J963" s="4">
        <v>-3543.71</v>
      </c>
      <c r="K963" s="4">
        <v>3543.71</v>
      </c>
      <c r="L963" s="4"/>
      <c r="M963" s="2" t="s">
        <v>1086</v>
      </c>
      <c r="N963" s="2" t="s">
        <v>123</v>
      </c>
      <c r="O963" s="2" t="s">
        <v>10</v>
      </c>
    </row>
    <row r="964" spans="1:15" x14ac:dyDescent="0.25">
      <c r="A964" s="2" t="s">
        <v>332</v>
      </c>
      <c r="B964" s="3">
        <v>45295</v>
      </c>
      <c r="C964" s="5">
        <v>45292</v>
      </c>
      <c r="D964" s="2" t="s">
        <v>18</v>
      </c>
      <c r="E964" s="2">
        <v>5100</v>
      </c>
      <c r="F964" s="2" t="s">
        <v>17</v>
      </c>
      <c r="G964" s="2"/>
      <c r="H964" s="4">
        <v>-13985.64</v>
      </c>
      <c r="I964" s="4"/>
      <c r="J964" s="4">
        <v>-13985.64</v>
      </c>
      <c r="K964" s="4">
        <v>13985.64</v>
      </c>
      <c r="L964" s="4"/>
      <c r="M964" s="2" t="s">
        <v>1086</v>
      </c>
      <c r="N964" s="2" t="s">
        <v>123</v>
      </c>
      <c r="O964" s="2" t="s">
        <v>10</v>
      </c>
    </row>
    <row r="965" spans="1:15" x14ac:dyDescent="0.25">
      <c r="A965" s="2" t="s">
        <v>394</v>
      </c>
      <c r="B965" s="3">
        <v>45403</v>
      </c>
      <c r="C965" s="5">
        <v>45383</v>
      </c>
      <c r="D965" s="2" t="s">
        <v>18</v>
      </c>
      <c r="E965" s="2">
        <v>5100</v>
      </c>
      <c r="F965" s="2" t="s">
        <v>17</v>
      </c>
      <c r="G965" s="2"/>
      <c r="H965" s="4">
        <v>-2032.89</v>
      </c>
      <c r="I965" s="4"/>
      <c r="J965" s="4">
        <v>-2032.89</v>
      </c>
      <c r="K965" s="4">
        <v>2032.89</v>
      </c>
      <c r="L965" s="4"/>
      <c r="M965" s="2" t="s">
        <v>1086</v>
      </c>
      <c r="N965" s="2" t="s">
        <v>123</v>
      </c>
      <c r="O965" s="2" t="s">
        <v>10</v>
      </c>
    </row>
    <row r="966" spans="1:15" x14ac:dyDescent="0.25">
      <c r="A966" s="2" t="s">
        <v>87</v>
      </c>
      <c r="B966" s="3">
        <v>45509</v>
      </c>
      <c r="C966" s="5">
        <v>45505</v>
      </c>
      <c r="D966" s="2" t="s">
        <v>52</v>
      </c>
      <c r="E966" s="2">
        <v>6000</v>
      </c>
      <c r="F966" s="2" t="s">
        <v>63</v>
      </c>
      <c r="G966" s="2"/>
      <c r="H966" s="4">
        <v>-9535.8700000000008</v>
      </c>
      <c r="I966" s="4"/>
      <c r="J966" s="4">
        <v>-9535.8700000000008</v>
      </c>
      <c r="K966" s="4">
        <v>9535.8700000000008</v>
      </c>
      <c r="L966" s="4"/>
      <c r="M966" s="2" t="s">
        <v>1086</v>
      </c>
      <c r="N966" s="2" t="s">
        <v>123</v>
      </c>
      <c r="O966" s="2" t="s">
        <v>10</v>
      </c>
    </row>
    <row r="967" spans="1:15" x14ac:dyDescent="0.25">
      <c r="A967" s="2" t="s">
        <v>280</v>
      </c>
      <c r="B967" s="3">
        <v>45363</v>
      </c>
      <c r="C967" s="5">
        <v>45352</v>
      </c>
      <c r="D967" s="2" t="s">
        <v>18</v>
      </c>
      <c r="E967" s="2">
        <v>5100</v>
      </c>
      <c r="F967" s="2" t="s">
        <v>17</v>
      </c>
      <c r="G967" s="2"/>
      <c r="H967" s="4">
        <v>-1634.63</v>
      </c>
      <c r="I967" s="4"/>
      <c r="J967" s="4">
        <v>-1634.63</v>
      </c>
      <c r="K967" s="4">
        <v>1634.63</v>
      </c>
      <c r="L967" s="4"/>
      <c r="M967" s="2" t="s">
        <v>1086</v>
      </c>
      <c r="N967" s="2" t="s">
        <v>123</v>
      </c>
      <c r="O967" s="2" t="s">
        <v>10</v>
      </c>
    </row>
    <row r="968" spans="1:15" x14ac:dyDescent="0.25">
      <c r="A968" s="2" t="s">
        <v>884</v>
      </c>
      <c r="B968" s="3">
        <v>45653</v>
      </c>
      <c r="C968" s="5">
        <v>45627</v>
      </c>
      <c r="D968" s="2" t="s">
        <v>52</v>
      </c>
      <c r="E968" s="2">
        <v>6000</v>
      </c>
      <c r="F968" s="2" t="s">
        <v>63</v>
      </c>
      <c r="G968" s="2"/>
      <c r="H968" s="4">
        <v>-9119.86</v>
      </c>
      <c r="I968" s="4"/>
      <c r="J968" s="4">
        <v>-9119.86</v>
      </c>
      <c r="K968" s="4">
        <v>9119.86</v>
      </c>
      <c r="L968" s="4"/>
      <c r="M968" s="2" t="s">
        <v>1086</v>
      </c>
      <c r="N968" s="2" t="s">
        <v>123</v>
      </c>
      <c r="O968" s="2" t="s">
        <v>10</v>
      </c>
    </row>
    <row r="969" spans="1:15" x14ac:dyDescent="0.25">
      <c r="A969" s="2" t="s">
        <v>728</v>
      </c>
      <c r="B969" s="3">
        <v>45646</v>
      </c>
      <c r="C969" s="5">
        <v>45627</v>
      </c>
      <c r="D969" s="2" t="s">
        <v>18</v>
      </c>
      <c r="E969" s="2">
        <v>5100</v>
      </c>
      <c r="F969" s="2" t="s">
        <v>81</v>
      </c>
      <c r="G969" s="2"/>
      <c r="H969" s="4">
        <v>-1215.5899999999999</v>
      </c>
      <c r="I969" s="4"/>
      <c r="J969" s="4">
        <v>-1215.5899999999999</v>
      </c>
      <c r="K969" s="4">
        <v>1215.5899999999999</v>
      </c>
      <c r="L969" s="4"/>
      <c r="M969" s="2" t="s">
        <v>1086</v>
      </c>
      <c r="N969" s="2" t="s">
        <v>123</v>
      </c>
      <c r="O969" s="2" t="s">
        <v>10</v>
      </c>
    </row>
    <row r="970" spans="1:15" x14ac:dyDescent="0.25">
      <c r="A970" s="2" t="s">
        <v>706</v>
      </c>
      <c r="B970" s="3">
        <v>45386</v>
      </c>
      <c r="C970" s="5">
        <v>45383</v>
      </c>
      <c r="D970" s="2" t="s">
        <v>18</v>
      </c>
      <c r="E970" s="2">
        <v>5100</v>
      </c>
      <c r="F970" s="2" t="s">
        <v>17</v>
      </c>
      <c r="G970" s="2"/>
      <c r="H970" s="4">
        <v>-9548.1</v>
      </c>
      <c r="I970" s="4"/>
      <c r="J970" s="4">
        <v>-9548.1</v>
      </c>
      <c r="K970" s="4">
        <v>9548.1</v>
      </c>
      <c r="L970" s="4"/>
      <c r="M970" s="2" t="s">
        <v>1086</v>
      </c>
      <c r="N970" s="2" t="s">
        <v>123</v>
      </c>
      <c r="O970" s="2" t="s">
        <v>10</v>
      </c>
    </row>
    <row r="971" spans="1:15" x14ac:dyDescent="0.25">
      <c r="A971" s="2" t="s">
        <v>268</v>
      </c>
      <c r="B971" s="3">
        <v>45436</v>
      </c>
      <c r="C971" s="5">
        <v>45413</v>
      </c>
      <c r="D971" s="2" t="s">
        <v>18</v>
      </c>
      <c r="E971" s="2">
        <v>5100</v>
      </c>
      <c r="F971" s="2" t="s">
        <v>81</v>
      </c>
      <c r="G971" s="2"/>
      <c r="H971" s="4">
        <v>-11408.77</v>
      </c>
      <c r="I971" s="4"/>
      <c r="J971" s="4">
        <v>-11408.77</v>
      </c>
      <c r="K971" s="4">
        <v>11408.77</v>
      </c>
      <c r="L971" s="4"/>
      <c r="M971" s="2" t="s">
        <v>1086</v>
      </c>
      <c r="N971" s="2" t="s">
        <v>123</v>
      </c>
      <c r="O971" s="2" t="s">
        <v>10</v>
      </c>
    </row>
    <row r="972" spans="1:15" x14ac:dyDescent="0.25">
      <c r="A972" s="2" t="s">
        <v>646</v>
      </c>
      <c r="B972" s="3">
        <v>45361</v>
      </c>
      <c r="C972" s="5">
        <v>45352</v>
      </c>
      <c r="D972" s="2" t="s">
        <v>18</v>
      </c>
      <c r="E972" s="2">
        <v>5100</v>
      </c>
      <c r="F972" s="2" t="s">
        <v>17</v>
      </c>
      <c r="G972" s="2"/>
      <c r="H972" s="4">
        <v>-10831.59</v>
      </c>
      <c r="I972" s="4"/>
      <c r="J972" s="4">
        <v>-10831.59</v>
      </c>
      <c r="K972" s="4">
        <v>10831.59</v>
      </c>
      <c r="L972" s="4"/>
      <c r="M972" s="2" t="s">
        <v>1086</v>
      </c>
      <c r="N972" s="2" t="s">
        <v>123</v>
      </c>
      <c r="O972" s="2" t="s">
        <v>10</v>
      </c>
    </row>
    <row r="973" spans="1:15" x14ac:dyDescent="0.25">
      <c r="A973" s="2" t="s">
        <v>622</v>
      </c>
      <c r="B973" s="3">
        <v>45475</v>
      </c>
      <c r="C973" s="5">
        <v>45474</v>
      </c>
      <c r="D973" s="2" t="s">
        <v>9</v>
      </c>
      <c r="E973" s="2">
        <v>6100</v>
      </c>
      <c r="F973" s="2" t="s">
        <v>8</v>
      </c>
      <c r="G973" s="2"/>
      <c r="H973" s="4">
        <v>-3848.12</v>
      </c>
      <c r="I973" s="4"/>
      <c r="J973" s="4">
        <v>-3848.12</v>
      </c>
      <c r="K973" s="4">
        <v>3848.12</v>
      </c>
      <c r="L973" s="4"/>
      <c r="M973" s="2" t="s">
        <v>1086</v>
      </c>
      <c r="N973" s="2" t="s">
        <v>123</v>
      </c>
      <c r="O973" s="2" t="s">
        <v>10</v>
      </c>
    </row>
    <row r="974" spans="1:15" x14ac:dyDescent="0.25">
      <c r="A974" s="2" t="s">
        <v>671</v>
      </c>
      <c r="B974" s="3">
        <v>45337</v>
      </c>
      <c r="C974" s="5">
        <v>45323</v>
      </c>
      <c r="D974" s="2" t="s">
        <v>18</v>
      </c>
      <c r="E974" s="2">
        <v>5100</v>
      </c>
      <c r="F974" s="2" t="s">
        <v>56</v>
      </c>
      <c r="G974" s="2"/>
      <c r="H974" s="4">
        <v>-10519.65</v>
      </c>
      <c r="I974" s="4"/>
      <c r="J974" s="4">
        <v>-10519.65</v>
      </c>
      <c r="K974" s="4">
        <v>10519.65</v>
      </c>
      <c r="L974" s="4"/>
      <c r="M974" s="2" t="s">
        <v>1086</v>
      </c>
      <c r="N974" s="2" t="s">
        <v>123</v>
      </c>
      <c r="O974" s="2" t="s">
        <v>10</v>
      </c>
    </row>
    <row r="975" spans="1:15" x14ac:dyDescent="0.25">
      <c r="A975" s="2" t="s">
        <v>420</v>
      </c>
      <c r="B975" s="3">
        <v>45434</v>
      </c>
      <c r="C975" s="5">
        <v>45413</v>
      </c>
      <c r="D975" s="2" t="s">
        <v>9</v>
      </c>
      <c r="E975" s="2">
        <v>6100</v>
      </c>
      <c r="F975" s="2" t="s">
        <v>44</v>
      </c>
      <c r="G975" s="2"/>
      <c r="H975" s="4">
        <v>-5776.25</v>
      </c>
      <c r="I975" s="4"/>
      <c r="J975" s="4">
        <v>-5776.25</v>
      </c>
      <c r="K975" s="4">
        <v>5776.25</v>
      </c>
      <c r="L975" s="4"/>
      <c r="M975" s="2" t="s">
        <v>1086</v>
      </c>
      <c r="N975" s="2" t="s">
        <v>123</v>
      </c>
      <c r="O975" s="2" t="s">
        <v>10</v>
      </c>
    </row>
    <row r="976" spans="1:15" x14ac:dyDescent="0.25">
      <c r="A976" s="2" t="s">
        <v>898</v>
      </c>
      <c r="B976" s="3">
        <v>45494</v>
      </c>
      <c r="C976" s="5">
        <v>45474</v>
      </c>
      <c r="D976" s="2" t="s">
        <v>18</v>
      </c>
      <c r="E976" s="2">
        <v>5100</v>
      </c>
      <c r="F976" s="2" t="s">
        <v>17</v>
      </c>
      <c r="G976" s="2"/>
      <c r="H976" s="4">
        <v>-10032.299999999999</v>
      </c>
      <c r="I976" s="4"/>
      <c r="J976" s="4">
        <v>-10032.299999999999</v>
      </c>
      <c r="K976" s="4">
        <v>10032.299999999999</v>
      </c>
      <c r="L976" s="4"/>
      <c r="M976" s="2" t="s">
        <v>1086</v>
      </c>
      <c r="N976" s="2" t="s">
        <v>123</v>
      </c>
      <c r="O976" s="2" t="s">
        <v>10</v>
      </c>
    </row>
    <row r="977" spans="1:15" x14ac:dyDescent="0.25">
      <c r="A977" s="2" t="s">
        <v>1059</v>
      </c>
      <c r="B977" s="3">
        <v>45439</v>
      </c>
      <c r="C977" s="5">
        <v>45413</v>
      </c>
      <c r="D977" s="2" t="s">
        <v>1087</v>
      </c>
      <c r="E977" s="2" t="s">
        <v>1088</v>
      </c>
      <c r="F977" s="2"/>
      <c r="G977" s="2" t="s">
        <v>1024</v>
      </c>
      <c r="H977" s="4"/>
      <c r="I977" s="4">
        <v>112.9</v>
      </c>
      <c r="J977" s="4">
        <v>112.9</v>
      </c>
      <c r="K977" s="4">
        <v>112.9</v>
      </c>
      <c r="L977" s="4"/>
      <c r="M977" s="2" t="s">
        <v>1089</v>
      </c>
      <c r="N977" s="2" t="s">
        <v>123</v>
      </c>
      <c r="O977" s="2" t="s">
        <v>10</v>
      </c>
    </row>
    <row r="978" spans="1:15" x14ac:dyDescent="0.25">
      <c r="A978" s="2" t="s">
        <v>1057</v>
      </c>
      <c r="B978" s="3">
        <v>45604</v>
      </c>
      <c r="C978" s="5">
        <v>45597</v>
      </c>
      <c r="D978" s="2" t="s">
        <v>1087</v>
      </c>
      <c r="E978" s="2" t="s">
        <v>1088</v>
      </c>
      <c r="F978" s="2"/>
      <c r="G978" s="2" t="s">
        <v>1048</v>
      </c>
      <c r="H978" s="4"/>
      <c r="I978" s="4">
        <v>-131.58000000000001</v>
      </c>
      <c r="J978" s="4">
        <v>-131.58000000000001</v>
      </c>
      <c r="K978" s="4">
        <v>131.58000000000001</v>
      </c>
      <c r="L978" s="4"/>
      <c r="M978" s="2" t="s">
        <v>1089</v>
      </c>
      <c r="N978" s="2" t="s">
        <v>123</v>
      </c>
      <c r="O978" s="2" t="s">
        <v>10</v>
      </c>
    </row>
    <row r="979" spans="1:15" x14ac:dyDescent="0.25">
      <c r="A979" s="2" t="s">
        <v>1060</v>
      </c>
      <c r="B979" s="3">
        <v>45506</v>
      </c>
      <c r="C979" s="5">
        <v>45505</v>
      </c>
      <c r="D979" s="2" t="s">
        <v>1087</v>
      </c>
      <c r="E979" s="2" t="s">
        <v>1088</v>
      </c>
      <c r="F979" s="2"/>
      <c r="G979" s="2" t="s">
        <v>1041</v>
      </c>
      <c r="H979" s="4"/>
      <c r="I979" s="4">
        <v>-103.46</v>
      </c>
      <c r="J979" s="4">
        <v>-103.46</v>
      </c>
      <c r="K979" s="4">
        <v>103.46</v>
      </c>
      <c r="L979" s="4"/>
      <c r="M979" s="2" t="s">
        <v>1089</v>
      </c>
      <c r="N979" s="2" t="s">
        <v>123</v>
      </c>
      <c r="O979" s="2" t="s">
        <v>10</v>
      </c>
    </row>
    <row r="980" spans="1:15" x14ac:dyDescent="0.25">
      <c r="A980" s="2" t="s">
        <v>1055</v>
      </c>
      <c r="B980" s="3">
        <v>45568</v>
      </c>
      <c r="C980" s="5">
        <v>45566</v>
      </c>
      <c r="D980" s="2" t="s">
        <v>1087</v>
      </c>
      <c r="E980" s="2" t="s">
        <v>1088</v>
      </c>
      <c r="F980" s="2"/>
      <c r="G980" s="2" t="s">
        <v>1024</v>
      </c>
      <c r="H980" s="4"/>
      <c r="I980" s="4">
        <v>238.95</v>
      </c>
      <c r="J980" s="4">
        <v>238.95</v>
      </c>
      <c r="K980" s="4">
        <v>238.95</v>
      </c>
      <c r="L980" s="4"/>
      <c r="M980" s="2" t="s">
        <v>1089</v>
      </c>
      <c r="N980" s="2" t="s">
        <v>123</v>
      </c>
      <c r="O980" s="2" t="s">
        <v>10</v>
      </c>
    </row>
    <row r="981" spans="1:15" x14ac:dyDescent="0.25">
      <c r="A981" s="2" t="s">
        <v>1064</v>
      </c>
      <c r="B981" s="3">
        <v>45506</v>
      </c>
      <c r="C981" s="5">
        <v>45505</v>
      </c>
      <c r="D981" s="2" t="s">
        <v>1087</v>
      </c>
      <c r="E981" s="2" t="s">
        <v>1088</v>
      </c>
      <c r="F981" s="2"/>
      <c r="G981" s="2" t="s">
        <v>1024</v>
      </c>
      <c r="H981" s="4"/>
      <c r="I981" s="4">
        <v>92.59</v>
      </c>
      <c r="J981" s="4">
        <v>92.59</v>
      </c>
      <c r="K981" s="4">
        <v>92.59</v>
      </c>
      <c r="L981" s="4"/>
      <c r="M981" s="2" t="s">
        <v>1089</v>
      </c>
      <c r="N981" s="2" t="s">
        <v>123</v>
      </c>
      <c r="O981" s="2" t="s">
        <v>10</v>
      </c>
    </row>
    <row r="982" spans="1:15" x14ac:dyDescent="0.25">
      <c r="A982" s="2" t="s">
        <v>1073</v>
      </c>
      <c r="B982" s="3">
        <v>45421</v>
      </c>
      <c r="C982" s="5">
        <v>45413</v>
      </c>
      <c r="D982" s="2" t="s">
        <v>1087</v>
      </c>
      <c r="E982" s="2" t="s">
        <v>1088</v>
      </c>
      <c r="F982" s="2"/>
      <c r="G982" s="2" t="s">
        <v>1047</v>
      </c>
      <c r="H982" s="4"/>
      <c r="I982" s="4">
        <v>-124.98</v>
      </c>
      <c r="J982" s="4">
        <v>-124.98</v>
      </c>
      <c r="K982" s="4">
        <v>124.98</v>
      </c>
      <c r="L982" s="4"/>
      <c r="M982" s="2" t="s">
        <v>1089</v>
      </c>
      <c r="N982" s="2" t="s">
        <v>123</v>
      </c>
      <c r="O982" s="2" t="s">
        <v>10</v>
      </c>
    </row>
    <row r="983" spans="1:15" x14ac:dyDescent="0.25">
      <c r="A983" s="2" t="s">
        <v>1056</v>
      </c>
      <c r="B983" s="3">
        <v>45533</v>
      </c>
      <c r="C983" s="5">
        <v>45505</v>
      </c>
      <c r="D983" s="2" t="s">
        <v>1087</v>
      </c>
      <c r="E983" s="2" t="s">
        <v>1088</v>
      </c>
      <c r="F983" s="2"/>
      <c r="G983" s="2" t="s">
        <v>1031</v>
      </c>
      <c r="H983" s="4"/>
      <c r="I983" s="4">
        <v>239.42</v>
      </c>
      <c r="J983" s="4">
        <v>239.42</v>
      </c>
      <c r="K983" s="4">
        <v>239.42</v>
      </c>
      <c r="L983" s="4"/>
      <c r="M983" s="2" t="s">
        <v>1089</v>
      </c>
      <c r="N983" s="2" t="s">
        <v>123</v>
      </c>
      <c r="O983" s="2" t="s">
        <v>10</v>
      </c>
    </row>
    <row r="984" spans="1:15" x14ac:dyDescent="0.25">
      <c r="A984" s="2" t="s">
        <v>1070</v>
      </c>
      <c r="B984" s="3">
        <v>45519</v>
      </c>
      <c r="C984" s="5">
        <v>45505</v>
      </c>
      <c r="D984" s="2" t="s">
        <v>1087</v>
      </c>
      <c r="E984" s="2" t="s">
        <v>1088</v>
      </c>
      <c r="F984" s="2"/>
      <c r="G984" s="2" t="s">
        <v>1048</v>
      </c>
      <c r="H984" s="4"/>
      <c r="I984" s="4">
        <v>-54.1</v>
      </c>
      <c r="J984" s="4">
        <v>-54.1</v>
      </c>
      <c r="K984" s="4">
        <v>54.1</v>
      </c>
      <c r="L984" s="4"/>
      <c r="M984" s="2" t="s">
        <v>1089</v>
      </c>
      <c r="N984" s="2" t="s">
        <v>123</v>
      </c>
      <c r="O984" s="2" t="s">
        <v>10</v>
      </c>
    </row>
    <row r="985" spans="1:15" x14ac:dyDescent="0.25">
      <c r="A985" s="2" t="s">
        <v>1040</v>
      </c>
      <c r="B985" s="3">
        <v>45555</v>
      </c>
      <c r="C985" s="5">
        <v>45536</v>
      </c>
      <c r="D985" s="2" t="s">
        <v>1087</v>
      </c>
      <c r="E985" s="2" t="s">
        <v>1088</v>
      </c>
      <c r="F985" s="2"/>
      <c r="G985" s="2" t="s">
        <v>1041</v>
      </c>
      <c r="H985" s="4"/>
      <c r="I985" s="4">
        <v>-69.709999999999994</v>
      </c>
      <c r="J985" s="4">
        <v>-69.709999999999994</v>
      </c>
      <c r="K985" s="4">
        <v>69.709999999999994</v>
      </c>
      <c r="L985" s="4"/>
      <c r="M985" s="2" t="s">
        <v>1089</v>
      </c>
      <c r="N985" s="2" t="s">
        <v>123</v>
      </c>
      <c r="O985" s="2" t="s">
        <v>10</v>
      </c>
    </row>
    <row r="986" spans="1:15" x14ac:dyDescent="0.25">
      <c r="A986" s="2" t="s">
        <v>1065</v>
      </c>
      <c r="B986" s="3">
        <v>45364</v>
      </c>
      <c r="C986" s="5">
        <v>45352</v>
      </c>
      <c r="D986" s="2" t="s">
        <v>1087</v>
      </c>
      <c r="E986" s="2" t="s">
        <v>1088</v>
      </c>
      <c r="F986" s="2"/>
      <c r="G986" s="2" t="s">
        <v>1048</v>
      </c>
      <c r="H986" s="4"/>
      <c r="I986" s="4">
        <v>-109.88</v>
      </c>
      <c r="J986" s="4">
        <v>-109.88</v>
      </c>
      <c r="K986" s="4">
        <v>109.88</v>
      </c>
      <c r="L986" s="4"/>
      <c r="M986" s="2" t="s">
        <v>1089</v>
      </c>
      <c r="N986" s="2" t="s">
        <v>123</v>
      </c>
      <c r="O986" s="2" t="s">
        <v>10</v>
      </c>
    </row>
    <row r="987" spans="1:15" x14ac:dyDescent="0.25">
      <c r="A987" s="2" t="s">
        <v>1062</v>
      </c>
      <c r="B987" s="3">
        <v>45527</v>
      </c>
      <c r="C987" s="5">
        <v>45505</v>
      </c>
      <c r="D987" s="2" t="s">
        <v>1087</v>
      </c>
      <c r="E987" s="2" t="s">
        <v>1088</v>
      </c>
      <c r="F987" s="2"/>
      <c r="G987" s="2" t="s">
        <v>1048</v>
      </c>
      <c r="H987" s="4"/>
      <c r="I987" s="4">
        <v>-80.36</v>
      </c>
      <c r="J987" s="4">
        <v>-80.36</v>
      </c>
      <c r="K987" s="4">
        <v>80.36</v>
      </c>
      <c r="L987" s="4"/>
      <c r="M987" s="2" t="s">
        <v>1089</v>
      </c>
      <c r="N987" s="2" t="s">
        <v>123</v>
      </c>
      <c r="O987" s="2" t="s">
        <v>10</v>
      </c>
    </row>
    <row r="988" spans="1:15" x14ac:dyDescent="0.25">
      <c r="A988" s="2" t="s">
        <v>1067</v>
      </c>
      <c r="B988" s="3">
        <v>45396</v>
      </c>
      <c r="C988" s="5">
        <v>45383</v>
      </c>
      <c r="D988" s="2" t="s">
        <v>1087</v>
      </c>
      <c r="E988" s="2" t="s">
        <v>1088</v>
      </c>
      <c r="F988" s="2"/>
      <c r="G988" s="2" t="s">
        <v>1024</v>
      </c>
      <c r="H988" s="4"/>
      <c r="I988" s="4">
        <v>24.9</v>
      </c>
      <c r="J988" s="4">
        <v>24.9</v>
      </c>
      <c r="K988" s="4">
        <v>24.9</v>
      </c>
      <c r="L988" s="4"/>
      <c r="M988" s="2" t="s">
        <v>1089</v>
      </c>
      <c r="N988" s="2" t="s">
        <v>123</v>
      </c>
      <c r="O988" s="2" t="s">
        <v>10</v>
      </c>
    </row>
    <row r="989" spans="1:15" x14ac:dyDescent="0.25">
      <c r="A989" s="2" t="s">
        <v>1068</v>
      </c>
      <c r="B989" s="3">
        <v>45582</v>
      </c>
      <c r="C989" s="5">
        <v>45566</v>
      </c>
      <c r="D989" s="2" t="s">
        <v>1087</v>
      </c>
      <c r="E989" s="2" t="s">
        <v>1088</v>
      </c>
      <c r="F989" s="2"/>
      <c r="G989" s="2" t="s">
        <v>1026</v>
      </c>
      <c r="H989" s="4"/>
      <c r="I989" s="4">
        <v>61.49</v>
      </c>
      <c r="J989" s="4">
        <v>61.49</v>
      </c>
      <c r="K989" s="4">
        <v>61.49</v>
      </c>
      <c r="L989" s="4"/>
      <c r="M989" s="2" t="s">
        <v>1089</v>
      </c>
      <c r="N989" s="2" t="s">
        <v>123</v>
      </c>
      <c r="O989" s="2" t="s">
        <v>10</v>
      </c>
    </row>
    <row r="990" spans="1:15" x14ac:dyDescent="0.25">
      <c r="A990" s="2" t="s">
        <v>1063</v>
      </c>
      <c r="B990" s="3">
        <v>45586</v>
      </c>
      <c r="C990" s="5">
        <v>45566</v>
      </c>
      <c r="D990" s="2" t="s">
        <v>1087</v>
      </c>
      <c r="E990" s="2" t="s">
        <v>1088</v>
      </c>
      <c r="F990" s="2"/>
      <c r="G990" s="2" t="s">
        <v>1041</v>
      </c>
      <c r="H990" s="4"/>
      <c r="I990" s="4">
        <v>-59.14</v>
      </c>
      <c r="J990" s="4">
        <v>-59.14</v>
      </c>
      <c r="K990" s="4">
        <v>59.14</v>
      </c>
      <c r="L990" s="4"/>
      <c r="M990" s="2" t="s">
        <v>1089</v>
      </c>
      <c r="N990" s="2" t="s">
        <v>123</v>
      </c>
      <c r="O990" s="2" t="s">
        <v>10</v>
      </c>
    </row>
    <row r="991" spans="1:15" x14ac:dyDescent="0.25">
      <c r="A991" s="2" t="s">
        <v>1058</v>
      </c>
      <c r="B991" s="3">
        <v>45520</v>
      </c>
      <c r="C991" s="5">
        <v>45505</v>
      </c>
      <c r="D991" s="2" t="s">
        <v>1087</v>
      </c>
      <c r="E991" s="2" t="s">
        <v>1088</v>
      </c>
      <c r="F991" s="2"/>
      <c r="G991" s="2" t="s">
        <v>1047</v>
      </c>
      <c r="H991" s="4"/>
      <c r="I991" s="4">
        <v>-141.9</v>
      </c>
      <c r="J991" s="4">
        <v>-141.9</v>
      </c>
      <c r="K991" s="4">
        <v>141.9</v>
      </c>
      <c r="L991" s="4"/>
      <c r="M991" s="2" t="s">
        <v>1089</v>
      </c>
      <c r="N991" s="2" t="s">
        <v>123</v>
      </c>
      <c r="O991" s="2" t="s">
        <v>10</v>
      </c>
    </row>
    <row r="992" spans="1:15" x14ac:dyDescent="0.25">
      <c r="A992" s="2" t="s">
        <v>1061</v>
      </c>
      <c r="B992" s="3">
        <v>45638</v>
      </c>
      <c r="C992" s="5">
        <v>45627</v>
      </c>
      <c r="D992" s="2" t="s">
        <v>1087</v>
      </c>
      <c r="E992" s="2" t="s">
        <v>1088</v>
      </c>
      <c r="F992" s="2"/>
      <c r="G992" s="2" t="s">
        <v>1026</v>
      </c>
      <c r="H992" s="4"/>
      <c r="I992" s="4">
        <v>97.76</v>
      </c>
      <c r="J992" s="4">
        <v>97.76</v>
      </c>
      <c r="K992" s="4">
        <v>97.76</v>
      </c>
      <c r="L992" s="4"/>
      <c r="M992" s="2" t="s">
        <v>1089</v>
      </c>
      <c r="N992" s="2" t="s">
        <v>123</v>
      </c>
      <c r="O992" s="2" t="s">
        <v>10</v>
      </c>
    </row>
    <row r="993" spans="1:15" x14ac:dyDescent="0.25">
      <c r="A993" s="2" t="s">
        <v>1069</v>
      </c>
      <c r="B993" s="3">
        <v>45489</v>
      </c>
      <c r="C993" s="5">
        <v>45474</v>
      </c>
      <c r="D993" s="2" t="s">
        <v>1087</v>
      </c>
      <c r="E993" s="2" t="s">
        <v>1088</v>
      </c>
      <c r="F993" s="2"/>
      <c r="G993" s="2" t="s">
        <v>1026</v>
      </c>
      <c r="H993" s="4"/>
      <c r="I993" s="4">
        <v>46.77</v>
      </c>
      <c r="J993" s="4">
        <v>46.77</v>
      </c>
      <c r="K993" s="4">
        <v>46.77</v>
      </c>
      <c r="L993" s="4"/>
      <c r="M993" s="2" t="s">
        <v>1089</v>
      </c>
      <c r="N993" s="2" t="s">
        <v>123</v>
      </c>
      <c r="O993" s="2" t="s">
        <v>10</v>
      </c>
    </row>
    <row r="994" spans="1:15" x14ac:dyDescent="0.25">
      <c r="A994" s="2" t="s">
        <v>1072</v>
      </c>
      <c r="B994" s="3">
        <v>45301</v>
      </c>
      <c r="C994" s="5">
        <v>45292</v>
      </c>
      <c r="D994" s="2" t="s">
        <v>1087</v>
      </c>
      <c r="E994" s="2" t="s">
        <v>1088</v>
      </c>
      <c r="F994" s="2"/>
      <c r="G994" s="2" t="s">
        <v>1047</v>
      </c>
      <c r="H994" s="4"/>
      <c r="I994" s="4">
        <v>-123.28</v>
      </c>
      <c r="J994" s="4">
        <v>-123.28</v>
      </c>
      <c r="K994" s="4">
        <v>123.28</v>
      </c>
      <c r="L994" s="4"/>
      <c r="M994" s="2" t="s">
        <v>1089</v>
      </c>
      <c r="N994" s="2" t="s">
        <v>123</v>
      </c>
      <c r="O994" s="2" t="s">
        <v>10</v>
      </c>
    </row>
    <row r="995" spans="1:15" x14ac:dyDescent="0.25">
      <c r="A995" s="2" t="s">
        <v>1071</v>
      </c>
      <c r="B995" s="3">
        <v>45515</v>
      </c>
      <c r="C995" s="5">
        <v>45505</v>
      </c>
      <c r="D995" s="2" t="s">
        <v>1087</v>
      </c>
      <c r="E995" s="2" t="s">
        <v>1088</v>
      </c>
      <c r="F995" s="2"/>
      <c r="G995" s="2" t="s">
        <v>1041</v>
      </c>
      <c r="H995" s="4"/>
      <c r="I995" s="4">
        <v>-60.58</v>
      </c>
      <c r="J995" s="4">
        <v>-60.58</v>
      </c>
      <c r="K995" s="4">
        <v>60.58</v>
      </c>
      <c r="L995" s="4"/>
      <c r="M995" s="2" t="s">
        <v>1089</v>
      </c>
      <c r="N995" s="2" t="s">
        <v>123</v>
      </c>
      <c r="O995" s="2" t="s">
        <v>10</v>
      </c>
    </row>
    <row r="996" spans="1:15" x14ac:dyDescent="0.25">
      <c r="A996" s="2" t="s">
        <v>1066</v>
      </c>
      <c r="B996" s="3">
        <v>45576</v>
      </c>
      <c r="C996" s="5">
        <v>45566</v>
      </c>
      <c r="D996" s="2" t="s">
        <v>1087</v>
      </c>
      <c r="E996" s="2" t="s">
        <v>1088</v>
      </c>
      <c r="F996" s="2"/>
      <c r="G996" s="2" t="s">
        <v>1048</v>
      </c>
      <c r="H996" s="4"/>
      <c r="I996" s="4">
        <v>-121.39</v>
      </c>
      <c r="J996" s="4">
        <v>-121.39</v>
      </c>
      <c r="K996" s="4">
        <v>121.39</v>
      </c>
      <c r="L996" s="4"/>
      <c r="M996" s="2" t="s">
        <v>1089</v>
      </c>
      <c r="N996" s="2" t="s">
        <v>123</v>
      </c>
      <c r="O996" s="2" t="s">
        <v>10</v>
      </c>
    </row>
  </sheetData>
  <conditionalFormatting sqref="A2:O996">
    <cfRule type="expression" priority="3">
      <formula>$M1047584="Amount Mismatch" =$M1047584="Only in GL" =$M1047584="Only in Bank"</formula>
    </cfRule>
  </conditionalFormatting>
  <conditionalFormatting sqref="L1:L1048576">
    <cfRule type="dataBar" priority="2">
      <dataBar>
        <cfvo type="min"/>
        <cfvo type="max"/>
        <color rgb="FFFF555A"/>
      </dataBar>
      <extLst>
        <ext xmlns:x14="http://schemas.microsoft.com/office/spreadsheetml/2009/9/main" uri="{B025F937-C7B1-47D3-B67F-A62EFF666E3E}">
          <x14:id>{CDC70443-5BA8-4EB5-818D-6BF323BBBDDF}</x14:id>
        </ext>
      </extLst>
    </cfRule>
  </conditionalFormatting>
  <conditionalFormatting sqref="A1:A1048576">
    <cfRule type="duplicateValues" dxfId="2" priority="1"/>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DC70443-5BA8-4EB5-818D-6BF323BBBDDF}">
            <x14:dataBar minLength="0" maxLength="100" border="1" negativeBarBorderColorSameAsPositive="0">
              <x14:cfvo type="autoMin"/>
              <x14:cfvo type="autoMax"/>
              <x14:borderColor rgb="FFFF555A"/>
              <x14:negativeFillColor rgb="FFFF0000"/>
              <x14:negativeBorderColor rgb="FFFF0000"/>
              <x14:axisColor rgb="FF000000"/>
            </x14:dataBar>
          </x14:cfRule>
          <xm:sqref>L1:L1048576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sheetPr>
    <tabColor rgb="FF1F3864"/>
    <pageSetUpPr fitToPage="1"/>
  </sheetPr>
  <dimension ref="B2:H38"/>
  <sheetViews>
    <sheetView showGridLines="0" tabSelected="1" workbookViewId="0"/>
  </sheetViews>
  <sheetFormatPr defaultRowHeight="15"/>
  <cols>
    <col min="1" max="1" width="3" customWidth="1"/>
    <col min="2" max="2" width="26" customWidth="1"/>
    <col min="3" max="9" width="17" customWidth="1"/>
  </cols>
  <sheetData>
    <row r="2">
      <c r="B2" s="31" t="inlineStr">
        <is>
          <t xml:space="preserve">Audit Reconciliation — Summary</t>
        </is>
      </c>
    </row>
    <row r="3">
      <c r="B3" s="32" t="inlineStr">
        <is>
          <t xml:space="preserve">General Ledger vs Bank Statement  ·  sve KPI vrijednosti su formule vezane na sheet 'Reconciliation' i azuriraju se automatski</t>
        </is>
      </c>
    </row>
    <row r="4">
      <c r="B4" s="32">
        <f>"Report generated: "&amp;TEXT(TODAY(),"DD.MM.YYYY")</f>
      </c>
    </row>
    <row r="6">
      <c r="B6" s="33" t="inlineStr">
        <is>
          <t xml:space="preserve">Total Transactions</t>
        </is>
      </c>
      <c r="C6" s="33"/>
      <c r="D6" s="35" t="inlineStr">
        <is>
          <t xml:space="preserve">Matched</t>
        </is>
      </c>
      <c r="E6" s="35"/>
      <c r="F6" s="37" t="inlineStr">
        <is>
          <t xml:space="preserve">Exceptions</t>
        </is>
      </c>
      <c r="G6" s="37"/>
      <c r="H6" s="37" t="inlineStr">
        <is>
          <t xml:space="preserve">Duplicates</t>
        </is>
      </c>
      <c r="I6" s="37"/>
    </row>
    <row r="7" ht="34" customHeight="1">
      <c r="B7" s="34">
        <f>COUNTA(Reconciliation!$A$2:$A$996)</f>
      </c>
      <c r="C7" s="34"/>
      <c r="D7" s="36">
        <f>COUNTIF(Reconciliation!$M$2:$M$996,"Matched")</f>
      </c>
      <c r="E7" s="36"/>
      <c r="F7" s="38">
        <f>COUNTIF(Reconciliation!$N$2:$N$996,"Yes")</f>
      </c>
      <c r="G7" s="38"/>
      <c r="H7" s="38">
        <f>COUNTIF(Reconciliation!$O$2:$O$996,"Yes")</f>
      </c>
      <c r="I7" s="38"/>
    </row>
    <row r="10">
      <c r="B10" s="37" t="inlineStr">
        <is>
          <t xml:space="preserve">Only in GL</t>
        </is>
      </c>
      <c r="C10" s="37"/>
      <c r="D10" s="37" t="inlineStr">
        <is>
          <t xml:space="preserve">Only in Bank</t>
        </is>
      </c>
      <c r="E10" s="37"/>
      <c r="F10" s="37" t="inlineStr">
        <is>
          <t xml:space="preserve">Amount Mismatch</t>
        </is>
      </c>
      <c r="G10" s="37"/>
      <c r="H10" s="35" t="inlineStr">
        <is>
          <t xml:space="preserve">Match Rate</t>
        </is>
      </c>
      <c r="I10" s="35"/>
    </row>
    <row r="11" ht="34" customHeight="1">
      <c r="B11" s="38">
        <f>COUNTIF(Reconciliation!$M$2:$M$996,"Only in GL")</f>
      </c>
      <c r="C11" s="38"/>
      <c r="D11" s="38">
        <f>COUNTIF(Reconciliation!$M$2:$M$996,"Only in Bank")</f>
      </c>
      <c r="E11" s="38"/>
      <c r="F11" s="38">
        <f>COUNTIF(Reconciliation!$M$2:$M$996,"Amount Mismatch")</f>
      </c>
      <c r="G11" s="38"/>
      <c r="H11" s="39">
        <f>IFERROR(COUNTIF(Reconciliation!$M$2:$M$996,"Matched")/COUNTA(Reconciliation!$A$2:$A$996),0)</f>
      </c>
      <c r="I11" s="39"/>
    </row>
    <row r="14">
      <c r="B14" s="37" t="inlineStr">
        <is>
          <t xml:space="preserve">Exception Value</t>
        </is>
      </c>
      <c r="C14" s="37"/>
      <c r="D14" s="37" t="inlineStr">
        <is>
          <t xml:space="preserve">Above Materiality</t>
        </is>
      </c>
      <c r="E14" s="37"/>
      <c r="F14" s="37" t="inlineStr">
        <is>
          <t xml:space="preserve">Largest Exception</t>
        </is>
      </c>
      <c r="G14" s="37"/>
      <c r="H14" s="37" t="inlineStr">
        <is>
          <t xml:space="preserve">Avg Exception</t>
        </is>
      </c>
      <c r="I14" s="37"/>
    </row>
    <row r="15" ht="34" customHeight="1">
      <c r="B15" s="40">
        <f>SUMIF(Reconciliation!$N$2:$N$996,"Yes",Reconciliation!$K$2:$K$996)</f>
      </c>
      <c r="C15" s="40"/>
      <c r="D15" s="38">
        <f>COUNTIFS(Reconciliation!$N$2:$N$996,"Yes",Reconciliation!$K$2:$K$996,"&gt;"&amp;$B$18)</f>
      </c>
      <c r="E15" s="38"/>
      <c r="F15" s="40">
        <f>SUMPRODUCT(MAX((Reconciliation!$N$2:$N$996="Yes")*Reconciliation!$K$2:$K$996))</f>
      </c>
      <c r="G15" s="40"/>
      <c r="H15" s="40">
        <f>IFERROR(SUMIF(Reconciliation!$N$2:$N$996,"Yes",Reconciliation!$K$2:$K$996)/COUNTIF(Reconciliation!$N$2:$N$996,"Yes"),0)</f>
      </c>
      <c r="I15" s="40"/>
    </row>
    <row r="17">
      <c r="B17" s="41" t="inlineStr">
        <is>
          <t xml:space="preserve">Materiality Threshold (KM)</t>
        </is>
      </c>
      <c r="D17" s="42" t="inlineStr">
        <is>
          <t xml:space="preserve">← plava brojka je jedina celija koju rucno mijenjas; KPI 'Above Materiality' i kolona N na 'Exceptions' se preracunavaju same</t>
        </is>
      </c>
    </row>
    <row r="18" ht="24" customHeight="1">
      <c r="B18" s="43">
        <v>1000</v>
      </c>
    </row>
    <row r="21">
      <c r="B21" s="44" t="inlineStr">
        <is>
          <t xml:space="preserve">Breakdown po statusu</t>
        </is>
      </c>
    </row>
    <row r="22">
      <c r="B22" s="45" t="inlineStr">
        <is>
          <t xml:space="preserve">Status</t>
        </is>
      </c>
      <c r="C22" s="45" t="inlineStr">
        <is>
          <t xml:space="preserve">Transactions</t>
        </is>
      </c>
      <c r="D22" s="45" t="inlineStr">
        <is>
          <t xml:space="preserve">% of Total</t>
        </is>
      </c>
      <c r="E22" s="45" t="inlineStr">
        <is>
          <t xml:space="preserve">Net Amount</t>
        </is>
      </c>
      <c r="F22" s="45" t="inlineStr">
        <is>
          <t xml:space="preserve">Absolute Value</t>
        </is>
      </c>
    </row>
    <row r="23">
      <c r="B23" s="46" t="inlineStr">
        <is>
          <t xml:space="preserve">Matched</t>
        </is>
      </c>
      <c r="C23" s="47">
        <f>COUNTIF(Reconciliation!$M$2:$M$996,$B23)</f>
      </c>
      <c r="D23" s="48">
        <f>IFERROR($C23/COUNTA(Reconciliation!$A$2:$A$996),0)</f>
      </c>
      <c r="E23" s="49">
        <f>SUMIF(Reconciliation!$M$2:$M$996,$B23,Reconciliation!$J$2:$J$996)</f>
      </c>
      <c r="F23" s="50">
        <f>SUMIF(Reconciliation!$M$2:$M$996,$B23,Reconciliation!$K$2:$K$996)</f>
      </c>
    </row>
    <row r="24">
      <c r="B24" s="46" t="inlineStr">
        <is>
          <t xml:space="preserve">Only in GL</t>
        </is>
      </c>
      <c r="C24" s="47">
        <f>COUNTIF(Reconciliation!$M$2:$M$996,$B24)</f>
      </c>
      <c r="D24" s="48">
        <f>IFERROR($C24/COUNTA(Reconciliation!$A$2:$A$996),0)</f>
      </c>
      <c r="E24" s="49">
        <f>SUMIF(Reconciliation!$M$2:$M$996,$B24,Reconciliation!$J$2:$J$996)</f>
      </c>
      <c r="F24" s="50">
        <f>SUMIF(Reconciliation!$M$2:$M$996,$B24,Reconciliation!$K$2:$K$996)</f>
      </c>
    </row>
    <row r="25">
      <c r="B25" s="46" t="inlineStr">
        <is>
          <t xml:space="preserve">Only in Bank</t>
        </is>
      </c>
      <c r="C25" s="47">
        <f>COUNTIF(Reconciliation!$M$2:$M$996,$B25)</f>
      </c>
      <c r="D25" s="48">
        <f>IFERROR($C25/COUNTA(Reconciliation!$A$2:$A$996),0)</f>
      </c>
      <c r="E25" s="49">
        <f>SUMIF(Reconciliation!$M$2:$M$996,$B25,Reconciliation!$J$2:$J$996)</f>
      </c>
      <c r="F25" s="50">
        <f>SUMIF(Reconciliation!$M$2:$M$996,$B25,Reconciliation!$K$2:$K$996)</f>
      </c>
    </row>
    <row r="26">
      <c r="B26" s="46" t="inlineStr">
        <is>
          <t xml:space="preserve">Amount Mismatch</t>
        </is>
      </c>
      <c r="C26" s="47">
        <f>COUNTIF(Reconciliation!$M$2:$M$996,$B26)</f>
      </c>
      <c r="D26" s="48">
        <f>IFERROR($C26/COUNTA(Reconciliation!$A$2:$A$996),0)</f>
      </c>
      <c r="E26" s="49">
        <f>SUMIF(Reconciliation!$M$2:$M$996,$B26,Reconciliation!$J$2:$J$996)</f>
      </c>
      <c r="F26" s="50">
        <f>SUMIF(Reconciliation!$M$2:$M$996,$B26,Reconciliation!$K$2:$K$996)</f>
      </c>
    </row>
    <row r="27">
      <c r="B27" s="51" t="inlineStr">
        <is>
          <t xml:space="preserve">TOTAL</t>
        </is>
      </c>
      <c r="C27" s="52">
        <f>SUM(C23:C26)</f>
      </c>
      <c r="D27" s="53">
        <f>SUM(D23:D26)</f>
      </c>
      <c r="E27" s="54">
        <f>SUM(E23:E26)</f>
      </c>
      <c r="F27" s="55">
        <f>SUM(F23:F26)</f>
      </c>
    </row>
    <row r="30">
      <c r="B30" s="44" t="inlineStr">
        <is>
          <t xml:space="preserve">Napomene / pretpostavke</t>
        </is>
      </c>
    </row>
    <row r="31">
      <c r="B31" s="56" t="inlineStr">
        <is>
          <t xml:space="preserve">•  Podaci su sinteticki (generisani u Pythonu, seed=42) — nisu stvarne transakcije.</t>
        </is>
      </c>
    </row>
    <row r="32">
      <c r="B32" s="56" t="inlineStr">
        <is>
          <t xml:space="preserve">•  Merge je radjen po Transaction_ID (outer join). Prije merge-a je svaka tabela de-duplicirana (keep='first') da jedan ID daje jedan red.</t>
        </is>
      </c>
    </row>
    <row r="33">
      <c r="B33" s="56" t="inlineStr">
        <is>
          <t xml:space="preserve">•  Amount Mismatch = |Amount_GL - Amount_Bank| &gt; 0.01 (tolerancija na zaokruzivanje).</t>
        </is>
      </c>
    </row>
    <row r="34">
      <c r="B34" s="56" t="inlineStr">
        <is>
          <t xml:space="preserve">•  'Duplicates' broji jedinstvene Transaction_ID-eve koji se pojavljuju vise od jednom u GL ili Bank tabeli.</t>
        </is>
      </c>
    </row>
    <row r="35">
      <c r="B35" s="56" t="inlineStr">
        <is>
          <t xml:space="preserve">•  Bank Statement nema Category/Account — bank-only redovi su oznaceni kao 'Unclassified (Bank only)'.</t>
        </is>
      </c>
    </row>
    <row r="36">
      <c r="B36" s="56" t="inlineStr">
        <is>
          <t xml:space="preserve">•  Datumi u banci su 0-3 dana kasniji od GL (clearing delay); to nije tretirano kao izuzetak.</t>
        </is>
      </c>
    </row>
    <row r="37">
      <c r="B37" s="56" t="inlineStr">
        <is>
          <t xml:space="preserve">•  Materiality threshold (1000 KM u celiji B18) je proizvoljno postavljen za demonstraciju — u stvarnoj reviziji izvodi se iz ukupnog prometa ili bilansne sume.</t>
        </is>
      </c>
    </row>
    <row r="38">
      <c r="B38" s="56" t="inlineStr">
        <is>
          <t xml:space="preserve">•  'Absolute Value' koristi Abs_Amount da se prihodi i troskovi medjusobno ne ponistavaju.</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3:D62"/>
  <sheetViews>
    <sheetView tabSelected="1" topLeftCell="A19" workbookViewId="0">
      <selection activeCell="T38" sqref="T38"/>
    </sheetView>
  </sheetViews>
  <sheetFormatPr defaultRowHeight="15" x14ac:dyDescent="0.25"/>
  <cols>
    <col min="1" max="1" width="13.140625" customWidth="1"/>
    <col min="2" max="2" width="22.42578125" customWidth="1"/>
    <col min="3" max="3" width="23.42578125" customWidth="1"/>
    <col min="4" max="4" width="11.28515625" bestFit="1" customWidth="1"/>
  </cols>
  <sheetData>
    <row r="3" spans="1:3" x14ac:dyDescent="0.25">
      <c r="A3" s="26" t="s">
        <v>1108</v>
      </c>
      <c r="B3" t="s">
        <v>1110</v>
      </c>
      <c r="C3" t="s">
        <v>1111</v>
      </c>
    </row>
    <row r="4" spans="1:3" x14ac:dyDescent="0.25">
      <c r="A4" s="27" t="s">
        <v>1084</v>
      </c>
      <c r="B4" s="28">
        <v>932</v>
      </c>
      <c r="C4" s="29">
        <v>0.93668341708542713</v>
      </c>
    </row>
    <row r="5" spans="1:3" x14ac:dyDescent="0.25">
      <c r="A5" s="27" t="s">
        <v>1086</v>
      </c>
      <c r="B5" s="28">
        <v>25</v>
      </c>
      <c r="C5" s="29">
        <v>2.5125628140703519E-2</v>
      </c>
    </row>
    <row r="6" spans="1:3" x14ac:dyDescent="0.25">
      <c r="A6" s="27" t="s">
        <v>1089</v>
      </c>
      <c r="B6" s="28">
        <v>20</v>
      </c>
      <c r="C6" s="29">
        <v>2.0100502512562814E-2</v>
      </c>
    </row>
    <row r="7" spans="1:3" x14ac:dyDescent="0.25">
      <c r="A7" s="27" t="s">
        <v>1085</v>
      </c>
      <c r="B7" s="28">
        <v>18</v>
      </c>
      <c r="C7" s="29">
        <v>1.8090452261306532E-2</v>
      </c>
    </row>
    <row r="8" spans="1:3" x14ac:dyDescent="0.25">
      <c r="A8" s="27" t="s">
        <v>1109</v>
      </c>
      <c r="B8" s="28">
        <v>995</v>
      </c>
      <c r="C8" s="29">
        <v>1</v>
      </c>
    </row>
    <row r="27" spans="1:4" x14ac:dyDescent="0.25">
      <c r="A27" s="26" t="s">
        <v>1113</v>
      </c>
      <c r="B27" s="26" t="s">
        <v>1112</v>
      </c>
    </row>
    <row r="28" spans="1:4" x14ac:dyDescent="0.25">
      <c r="A28" s="26" t="s">
        <v>1108</v>
      </c>
      <c r="B28" t="s">
        <v>10</v>
      </c>
      <c r="C28" t="s">
        <v>123</v>
      </c>
      <c r="D28" t="s">
        <v>1109</v>
      </c>
    </row>
    <row r="29" spans="1:4" x14ac:dyDescent="0.25">
      <c r="A29" s="27" t="s">
        <v>35</v>
      </c>
      <c r="B29" s="28">
        <v>1078173.6199999999</v>
      </c>
      <c r="C29" s="28">
        <v>18808.11</v>
      </c>
      <c r="D29" s="28">
        <v>1096981.73</v>
      </c>
    </row>
    <row r="30" spans="1:4" x14ac:dyDescent="0.25">
      <c r="A30" s="27" t="s">
        <v>18</v>
      </c>
      <c r="B30" s="28">
        <v>822259.98999999987</v>
      </c>
      <c r="C30" s="28">
        <v>153310.68</v>
      </c>
      <c r="D30" s="28">
        <v>975570.66999999993</v>
      </c>
    </row>
    <row r="31" spans="1:4" x14ac:dyDescent="0.25">
      <c r="A31" s="27" t="s">
        <v>52</v>
      </c>
      <c r="B31" s="28">
        <v>532843.88999999966</v>
      </c>
      <c r="C31" s="28">
        <v>46445.120000000003</v>
      </c>
      <c r="D31" s="28">
        <v>579289.00999999966</v>
      </c>
    </row>
    <row r="32" spans="1:4" x14ac:dyDescent="0.25">
      <c r="A32" s="27" t="s">
        <v>39</v>
      </c>
      <c r="B32" s="28">
        <v>424140.8499999998</v>
      </c>
      <c r="C32" s="28"/>
      <c r="D32" s="28">
        <v>424140.8499999998</v>
      </c>
    </row>
    <row r="33" spans="1:4" x14ac:dyDescent="0.25">
      <c r="A33" s="27" t="s">
        <v>9</v>
      </c>
      <c r="B33" s="28">
        <v>309720.48000000004</v>
      </c>
      <c r="C33" s="28">
        <v>34196.69</v>
      </c>
      <c r="D33" s="28">
        <v>343917.17000000004</v>
      </c>
    </row>
    <row r="34" spans="1:4" x14ac:dyDescent="0.25">
      <c r="A34" s="27" t="s">
        <v>13</v>
      </c>
      <c r="B34" s="28">
        <v>170228.14000000004</v>
      </c>
      <c r="C34" s="28">
        <v>3989.45</v>
      </c>
      <c r="D34" s="28">
        <v>174217.59000000005</v>
      </c>
    </row>
    <row r="35" spans="1:4" x14ac:dyDescent="0.25">
      <c r="A35" s="27" t="s">
        <v>24</v>
      </c>
      <c r="B35" s="28">
        <v>52095.909999999982</v>
      </c>
      <c r="C35" s="28">
        <v>1154.46</v>
      </c>
      <c r="D35" s="28">
        <v>53250.369999999981</v>
      </c>
    </row>
    <row r="36" spans="1:4" x14ac:dyDescent="0.25">
      <c r="A36" s="27" t="s">
        <v>59</v>
      </c>
      <c r="B36" s="28">
        <v>41177.740000000013</v>
      </c>
      <c r="C36" s="28">
        <v>747.51</v>
      </c>
      <c r="D36" s="28">
        <v>41925.250000000015</v>
      </c>
    </row>
    <row r="37" spans="1:4" x14ac:dyDescent="0.25">
      <c r="A37" s="27" t="s">
        <v>31</v>
      </c>
      <c r="B37" s="28">
        <v>21137.26</v>
      </c>
      <c r="C37" s="28"/>
      <c r="D37" s="28">
        <v>21137.26</v>
      </c>
    </row>
    <row r="38" spans="1:4" x14ac:dyDescent="0.25">
      <c r="A38" s="27" t="s">
        <v>28</v>
      </c>
      <c r="B38" s="28">
        <v>6585.07</v>
      </c>
      <c r="C38" s="28">
        <v>137.82999999999998</v>
      </c>
      <c r="D38" s="28">
        <v>6722.9</v>
      </c>
    </row>
    <row r="39" spans="1:4" x14ac:dyDescent="0.25">
      <c r="A39" s="27" t="s">
        <v>1087</v>
      </c>
      <c r="B39" s="28"/>
      <c r="C39" s="28">
        <v>2095.14</v>
      </c>
      <c r="D39" s="28">
        <v>2095.14</v>
      </c>
    </row>
    <row r="40" spans="1:4" x14ac:dyDescent="0.25">
      <c r="A40" s="27" t="s">
        <v>1109</v>
      </c>
      <c r="B40" s="28">
        <v>3458362.9499999993</v>
      </c>
      <c r="C40" s="28">
        <v>260884.99</v>
      </c>
      <c r="D40" s="28">
        <v>3719247.9399999995</v>
      </c>
    </row>
    <row r="47" spans="1:4" x14ac:dyDescent="0.25">
      <c r="A47" s="26" t="s">
        <v>1082</v>
      </c>
      <c r="B47" t="s">
        <v>123</v>
      </c>
    </row>
    <row r="49" spans="1:2" x14ac:dyDescent="0.25">
      <c r="A49" s="26" t="s">
        <v>1108</v>
      </c>
      <c r="B49" t="s">
        <v>1110</v>
      </c>
    </row>
    <row r="50" spans="1:2" x14ac:dyDescent="0.25">
      <c r="A50" s="30">
        <v>45292</v>
      </c>
      <c r="B50" s="28">
        <v>7</v>
      </c>
    </row>
    <row r="51" spans="1:2" x14ac:dyDescent="0.25">
      <c r="A51" s="30">
        <v>45323</v>
      </c>
      <c r="B51" s="28">
        <v>2</v>
      </c>
    </row>
    <row r="52" spans="1:2" x14ac:dyDescent="0.25">
      <c r="A52" s="30">
        <v>45352</v>
      </c>
      <c r="B52" s="28">
        <v>4</v>
      </c>
    </row>
    <row r="53" spans="1:2" x14ac:dyDescent="0.25">
      <c r="A53" s="30">
        <v>45383</v>
      </c>
      <c r="B53" s="28">
        <v>5</v>
      </c>
    </row>
    <row r="54" spans="1:2" x14ac:dyDescent="0.25">
      <c r="A54" s="30">
        <v>45413</v>
      </c>
      <c r="B54" s="28">
        <v>7</v>
      </c>
    </row>
    <row r="55" spans="1:2" x14ac:dyDescent="0.25">
      <c r="A55" s="30">
        <v>45444</v>
      </c>
      <c r="B55" s="28">
        <v>2</v>
      </c>
    </row>
    <row r="56" spans="1:2" x14ac:dyDescent="0.25">
      <c r="A56" s="30">
        <v>45474</v>
      </c>
      <c r="B56" s="28">
        <v>7</v>
      </c>
    </row>
    <row r="57" spans="1:2" x14ac:dyDescent="0.25">
      <c r="A57" s="30">
        <v>45505</v>
      </c>
      <c r="B57" s="28">
        <v>10</v>
      </c>
    </row>
    <row r="58" spans="1:2" x14ac:dyDescent="0.25">
      <c r="A58" s="30">
        <v>45536</v>
      </c>
      <c r="B58" s="28">
        <v>4</v>
      </c>
    </row>
    <row r="59" spans="1:2" x14ac:dyDescent="0.25">
      <c r="A59" s="30">
        <v>45566</v>
      </c>
      <c r="B59" s="28">
        <v>6</v>
      </c>
    </row>
    <row r="60" spans="1:2" x14ac:dyDescent="0.25">
      <c r="A60" s="30">
        <v>45597</v>
      </c>
      <c r="B60" s="28">
        <v>4</v>
      </c>
    </row>
    <row r="61" spans="1:2" x14ac:dyDescent="0.25">
      <c r="A61" s="30">
        <v>45627</v>
      </c>
      <c r="B61" s="28">
        <v>5</v>
      </c>
    </row>
    <row r="62" spans="1:2" x14ac:dyDescent="0.25">
      <c r="A62" s="30" t="s">
        <v>1109</v>
      </c>
      <c r="B62" s="28">
        <v>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sheetPr>
    <tabColor rgb="FFC00000"/>
    <pageSetUpPr fitToPage="1"/>
  </sheetPr>
  <dimension ref="A1:R73"/>
  <sheetViews>
    <sheetView showGridLines="0" workbookViewId="0">
      <pane xSplit="1" ySplit="1" topLeftCell="B2" activePane="bottomRight" state="frozen"/>
    </sheetView>
  </sheetViews>
  <sheetFormatPr defaultRowHeight="15"/>
  <cols>
    <col min="1" max="1" width="15" customWidth="1"/>
    <col min="2" max="2" width="12" customWidth="1"/>
    <col min="3" max="3" width="24" customWidth="1"/>
    <col min="4" max="4" width="10" customWidth="1"/>
    <col min="5" max="5" width="26" customWidth="1"/>
    <col min="6" max="6" width="26" customWidth="1"/>
    <col min="7" max="7" width="15" customWidth="1"/>
    <col min="8" max="8" width="15" customWidth="1"/>
    <col min="9" max="9" width="15" customWidth="1"/>
    <col min="10" max="10" width="15" customWidth="1"/>
    <col min="11" max="11" width="15" customWidth="1"/>
    <col min="12" max="12" width="14" customWidth="1"/>
    <col min="13" max="13" width="17" customWidth="1"/>
    <col min="14" max="14" width="18" customWidth="1"/>
    <col min="15" max="15" width="10" customWidth="1"/>
    <col min="16" max="16" width="16" customWidth="1"/>
    <col min="17" max="17" width="34" customWidth="1"/>
    <col min="18" max="18" width="12" customWidth="1"/>
  </cols>
  <sheetData>
    <row r="1" ht="30" customHeight="1">
      <c r="A1" s="57" t="inlineStr">
        <is>
          <t xml:space="preserve">Transaction_ID</t>
        </is>
      </c>
      <c r="B1" s="57" t="inlineStr">
        <is>
          <t xml:space="preserve">Date</t>
        </is>
      </c>
      <c r="C1" s="57" t="inlineStr">
        <is>
          <t xml:space="preserve">Category</t>
        </is>
      </c>
      <c r="D1" s="57" t="inlineStr">
        <is>
          <t xml:space="preserve">Account</t>
        </is>
      </c>
      <c r="E1" s="57" t="inlineStr">
        <is>
          <t xml:space="preserve">Description_GL</t>
        </is>
      </c>
      <c r="F1" s="57" t="inlineStr">
        <is>
          <t xml:space="preserve">Description_Bank</t>
        </is>
      </c>
      <c r="G1" s="57" t="inlineStr">
        <is>
          <t xml:space="preserve">Amount_GL</t>
        </is>
      </c>
      <c r="H1" s="57" t="inlineStr">
        <is>
          <t xml:space="preserve">Amount_Bank</t>
        </is>
      </c>
      <c r="I1" s="57" t="inlineStr">
        <is>
          <t xml:space="preserve">Amount</t>
        </is>
      </c>
      <c r="J1" s="57" t="inlineStr">
        <is>
          <t xml:space="preserve">Abs_Amount</t>
        </is>
      </c>
      <c r="K1" s="57" t="inlineStr">
        <is>
          <t xml:space="preserve">Amount_Diff</t>
        </is>
      </c>
      <c r="L1" s="57" t="inlineStr">
        <is>
          <t xml:space="preserve">Abs_Diff</t>
        </is>
      </c>
      <c r="M1" s="57" t="inlineStr">
        <is>
          <t xml:space="preserve">Status</t>
        </is>
      </c>
      <c r="N1" s="57" t="inlineStr">
        <is>
          <t xml:space="preserve">Above_Materiality</t>
        </is>
      </c>
      <c r="O1" s="57" t="inlineStr">
        <is>
          <t xml:space="preserve">Priority</t>
        </is>
      </c>
      <c r="P1" s="57" t="inlineStr">
        <is>
          <t xml:space="preserve">Assigned_To</t>
        </is>
      </c>
      <c r="Q1" s="57" t="inlineStr">
        <is>
          <t xml:space="preserve">Resolution_Notes</t>
        </is>
      </c>
      <c r="R1" s="57" t="inlineStr">
        <is>
          <t xml:space="preserve">Resolved</t>
        </is>
      </c>
    </row>
    <row r="2">
      <c r="A2" s="46" t="inlineStr">
        <is>
          <t xml:space="preserve">TXN-00376</t>
        </is>
      </c>
      <c r="B2" s="58">
        <v>45360</v>
      </c>
      <c r="C2" s="46" t="inlineStr">
        <is>
          <t xml:space="preserve">Sales Revenue</t>
        </is>
      </c>
      <c r="D2" s="47">
        <v>4000.0</v>
      </c>
      <c r="E2" s="46" t="inlineStr">
        <is>
          <t xml:space="preserve">Invoice payment received</t>
        </is>
      </c>
      <c r="F2" s="46" t="inlineStr">
        <is>
          <t xml:space="preserve">INVOICE PAYMENT RECEIV</t>
        </is>
      </c>
      <c r="G2" s="49">
        <v>18808.11</v>
      </c>
      <c r="H2" s="49">
        <v>188081.1</v>
      </c>
      <c r="I2" s="49">
        <v>18808.11</v>
      </c>
      <c r="J2" s="50">
        <v>18808.11</v>
      </c>
      <c r="K2" s="49">
        <v>-169272.99</v>
      </c>
      <c r="L2" s="50">
        <f>IFERROR(ABS(K2),"")</f>
      </c>
      <c r="M2" s="59" t="inlineStr">
        <is>
          <t xml:space="preserve">Amount Mismatch</t>
        </is>
      </c>
      <c r="N2" s="60">
        <f>IF(J2&gt;Summary!$B$18,"Yes","No")</f>
      </c>
      <c r="O2" s="61">
        <f>RANK(J2,$J$2:$J$64,0)</f>
      </c>
      <c r="P2" s="62"/>
      <c r="Q2" s="62"/>
      <c r="R2" s="63"/>
    </row>
    <row r="3">
      <c r="A3" s="46" t="inlineStr">
        <is>
          <t xml:space="preserve">TXN-00120</t>
        </is>
      </c>
      <c r="B3" s="58">
        <v>45295</v>
      </c>
      <c r="C3" s="46" t="inlineStr">
        <is>
          <t xml:space="preserve">Vendor Payment</t>
        </is>
      </c>
      <c r="D3" s="47">
        <v>5100.0</v>
      </c>
      <c r="E3" s="46" t="inlineStr">
        <is>
          <t xml:space="preserve">Contractor fee</t>
        </is>
      </c>
      <c r="F3" s="46" t="inlineStr">
        <is>
          <t xml:space="preserve">CONTRACTOR FEE</t>
        </is>
      </c>
      <c r="G3" s="49">
        <v>-14882.22</v>
      </c>
      <c r="H3" s="49">
        <v>-148822.2</v>
      </c>
      <c r="I3" s="49">
        <v>-14882.22</v>
      </c>
      <c r="J3" s="50">
        <v>14882.22</v>
      </c>
      <c r="K3" s="49">
        <v>133939.98</v>
      </c>
      <c r="L3" s="50">
        <f>IFERROR(ABS(K3),"")</f>
      </c>
      <c r="M3" s="59" t="inlineStr">
        <is>
          <t xml:space="preserve">Amount Mismatch</t>
        </is>
      </c>
      <c r="N3" s="60">
        <f>IF(J3&gt;Summary!$B$18,"Yes","No")</f>
      </c>
      <c r="O3" s="61">
        <f>RANK(J3,$J$2:$J$64,0)</f>
      </c>
      <c r="P3" s="62"/>
      <c r="Q3" s="62"/>
      <c r="R3" s="63"/>
    </row>
    <row r="4">
      <c r="A4" s="46" t="inlineStr">
        <is>
          <t xml:space="preserve">TXN-09008</t>
        </is>
      </c>
      <c r="B4" s="58">
        <v>45417</v>
      </c>
      <c r="C4" s="46" t="inlineStr">
        <is>
          <t xml:space="preserve">Vendor Payment</t>
        </is>
      </c>
      <c r="D4" s="47">
        <v>5100.0</v>
      </c>
      <c r="E4" s="46" t="inlineStr">
        <is>
          <t xml:space="preserve">Contractor fee</t>
        </is>
      </c>
      <c r="F4" s="46"/>
      <c r="G4" s="49">
        <v>-14623.94</v>
      </c>
      <c r="H4" s="49"/>
      <c r="I4" s="49">
        <v>-14623.94</v>
      </c>
      <c r="J4" s="50">
        <v>14623.94</v>
      </c>
      <c r="K4" s="49"/>
      <c r="L4" s="50">
        <f>IFERROR(ABS(K4),"")</f>
      </c>
      <c r="M4" s="59" t="inlineStr">
        <is>
          <t xml:space="preserve">Only in GL</t>
        </is>
      </c>
      <c r="N4" s="60">
        <f>IF(J4&gt;Summary!$B$18,"Yes","No")</f>
      </c>
      <c r="O4" s="61">
        <f>RANK(J4,$J$2:$J$64,0)</f>
      </c>
      <c r="P4" s="62"/>
      <c r="Q4" s="62"/>
      <c r="R4" s="63"/>
    </row>
    <row r="5">
      <c r="A5" s="46" t="inlineStr">
        <is>
          <t xml:space="preserve">TXN-09013</t>
        </is>
      </c>
      <c r="B5" s="58">
        <v>45295</v>
      </c>
      <c r="C5" s="46" t="inlineStr">
        <is>
          <t xml:space="preserve">Vendor Payment</t>
        </is>
      </c>
      <c r="D5" s="47">
        <v>5100.0</v>
      </c>
      <c r="E5" s="46" t="inlineStr">
        <is>
          <t xml:space="preserve">Supplier invoice</t>
        </is>
      </c>
      <c r="F5" s="46"/>
      <c r="G5" s="49">
        <v>-13985.64</v>
      </c>
      <c r="H5" s="49"/>
      <c r="I5" s="49">
        <v>-13985.64</v>
      </c>
      <c r="J5" s="50">
        <v>13985.64</v>
      </c>
      <c r="K5" s="49"/>
      <c r="L5" s="50">
        <f>IFERROR(ABS(K5),"")</f>
      </c>
      <c r="M5" s="59" t="inlineStr">
        <is>
          <t xml:space="preserve">Only in GL</t>
        </is>
      </c>
      <c r="N5" s="60">
        <f>IF(J5&gt;Summary!$B$18,"Yes","No")</f>
      </c>
      <c r="O5" s="61">
        <f>RANK(J5,$J$2:$J$64,0)</f>
      </c>
      <c r="P5" s="62"/>
      <c r="Q5" s="62"/>
      <c r="R5" s="63"/>
    </row>
    <row r="6">
      <c r="A6" s="46" t="inlineStr">
        <is>
          <t xml:space="preserve">TXN-00670</t>
        </is>
      </c>
      <c r="B6" s="58">
        <v>45653</v>
      </c>
      <c r="C6" s="46" t="inlineStr">
        <is>
          <t xml:space="preserve">Vendor Payment</t>
        </is>
      </c>
      <c r="D6" s="47">
        <v>5100.0</v>
      </c>
      <c r="E6" s="46" t="inlineStr">
        <is>
          <t xml:space="preserve">Contractor fee</t>
        </is>
      </c>
      <c r="F6" s="46" t="inlineStr">
        <is>
          <t xml:space="preserve">CONTRACTOR FEE</t>
        </is>
      </c>
      <c r="G6" s="49">
        <v>-13607.35</v>
      </c>
      <c r="H6" s="49">
        <v>-13.6</v>
      </c>
      <c r="I6" s="49">
        <v>-13607.35</v>
      </c>
      <c r="J6" s="50">
        <v>13607.35</v>
      </c>
      <c r="K6" s="49">
        <v>-13593.75</v>
      </c>
      <c r="L6" s="50">
        <f>IFERROR(ABS(K6),"")</f>
      </c>
      <c r="M6" s="59" t="inlineStr">
        <is>
          <t xml:space="preserve">Amount Mismatch</t>
        </is>
      </c>
      <c r="N6" s="60">
        <f>IF(J6&gt;Summary!$B$18,"Yes","No")</f>
      </c>
      <c r="O6" s="61">
        <f>RANK(J6,$J$2:$J$64,0)</f>
      </c>
      <c r="P6" s="62"/>
      <c r="Q6" s="62"/>
      <c r="R6" s="63"/>
    </row>
    <row r="7">
      <c r="A7" s="46" t="inlineStr">
        <is>
          <t xml:space="preserve">TXN-09001</t>
        </is>
      </c>
      <c r="B7" s="58">
        <v>45308</v>
      </c>
      <c r="C7" s="46" t="inlineStr">
        <is>
          <t xml:space="preserve">Vendor Payment</t>
        </is>
      </c>
      <c r="D7" s="47">
        <v>5100.0</v>
      </c>
      <c r="E7" s="46" t="inlineStr">
        <is>
          <t xml:space="preserve">Vendor payment - materials</t>
        </is>
      </c>
      <c r="F7" s="46"/>
      <c r="G7" s="49">
        <v>-11925.61</v>
      </c>
      <c r="H7" s="49"/>
      <c r="I7" s="49">
        <v>-11925.61</v>
      </c>
      <c r="J7" s="50">
        <v>11925.61</v>
      </c>
      <c r="K7" s="49"/>
      <c r="L7" s="50">
        <f>IFERROR(ABS(K7),"")</f>
      </c>
      <c r="M7" s="59" t="inlineStr">
        <is>
          <t xml:space="preserve">Only in GL</t>
        </is>
      </c>
      <c r="N7" s="60">
        <f>IF(J7&gt;Summary!$B$18,"Yes","No")</f>
      </c>
      <c r="O7" s="61">
        <f>RANK(J7,$J$2:$J$64,0)</f>
      </c>
      <c r="P7" s="62"/>
      <c r="Q7" s="62"/>
      <c r="R7" s="63"/>
    </row>
    <row r="8">
      <c r="A8" s="46" t="inlineStr">
        <is>
          <t xml:space="preserve">TXN-09020</t>
        </is>
      </c>
      <c r="B8" s="58">
        <v>45436</v>
      </c>
      <c r="C8" s="46" t="inlineStr">
        <is>
          <t xml:space="preserve">Vendor Payment</t>
        </is>
      </c>
      <c r="D8" s="47">
        <v>5100.0</v>
      </c>
      <c r="E8" s="46" t="inlineStr">
        <is>
          <t xml:space="preserve">Contractor fee</t>
        </is>
      </c>
      <c r="F8" s="46"/>
      <c r="G8" s="49">
        <v>-11408.77</v>
      </c>
      <c r="H8" s="49"/>
      <c r="I8" s="49">
        <v>-11408.77</v>
      </c>
      <c r="J8" s="50">
        <v>11408.77</v>
      </c>
      <c r="K8" s="49"/>
      <c r="L8" s="50">
        <f>IFERROR(ABS(K8),"")</f>
      </c>
      <c r="M8" s="59" t="inlineStr">
        <is>
          <t xml:space="preserve">Only in GL</t>
        </is>
      </c>
      <c r="N8" s="60">
        <f>IF(J8&gt;Summary!$B$18,"Yes","No")</f>
      </c>
      <c r="O8" s="61">
        <f>RANK(J8,$J$2:$J$64,0)</f>
      </c>
      <c r="P8" s="62"/>
      <c r="Q8" s="62"/>
      <c r="R8" s="63"/>
    </row>
    <row r="9">
      <c r="A9" s="46" t="inlineStr">
        <is>
          <t xml:space="preserve">TXN-09002</t>
        </is>
      </c>
      <c r="B9" s="58">
        <v>45414</v>
      </c>
      <c r="C9" s="46" t="inlineStr">
        <is>
          <t xml:space="preserve">Vendor Payment</t>
        </is>
      </c>
      <c r="D9" s="47">
        <v>5100.0</v>
      </c>
      <c r="E9" s="46" t="inlineStr">
        <is>
          <t xml:space="preserve">Vendor payment - materials</t>
        </is>
      </c>
      <c r="F9" s="46"/>
      <c r="G9" s="49">
        <v>-11345.48</v>
      </c>
      <c r="H9" s="49"/>
      <c r="I9" s="49">
        <v>-11345.48</v>
      </c>
      <c r="J9" s="50">
        <v>11345.48</v>
      </c>
      <c r="K9" s="49"/>
      <c r="L9" s="50">
        <f>IFERROR(ABS(K9),"")</f>
      </c>
      <c r="M9" s="59" t="inlineStr">
        <is>
          <t xml:space="preserve">Only in GL</t>
        </is>
      </c>
      <c r="N9" s="60">
        <f>IF(J9&gt;Summary!$B$18,"Yes","No")</f>
      </c>
      <c r="O9" s="61">
        <f>RANK(J9,$J$2:$J$64,0)</f>
      </c>
      <c r="P9" s="62"/>
      <c r="Q9" s="62"/>
      <c r="R9" s="63"/>
    </row>
    <row r="10">
      <c r="A10" s="46" t="inlineStr">
        <is>
          <t xml:space="preserve">TXN-00583</t>
        </is>
      </c>
      <c r="B10" s="58">
        <v>45632</v>
      </c>
      <c r="C10" s="46" t="inlineStr">
        <is>
          <t xml:space="preserve">Vendor Payment</t>
        </is>
      </c>
      <c r="D10" s="47">
        <v>5100.0</v>
      </c>
      <c r="E10" s="46" t="inlineStr">
        <is>
          <t xml:space="preserve">Vendor payment - materials</t>
        </is>
      </c>
      <c r="F10" s="46" t="inlineStr">
        <is>
          <t xml:space="preserve">VENDOR PAYMENT - MATER</t>
        </is>
      </c>
      <c r="G10" s="49">
        <v>-11115.22</v>
      </c>
      <c r="H10" s="49">
        <v>-11490.6</v>
      </c>
      <c r="I10" s="49">
        <v>-11115.22</v>
      </c>
      <c r="J10" s="50">
        <v>11115.22</v>
      </c>
      <c r="K10" s="49">
        <v>375.38</v>
      </c>
      <c r="L10" s="50">
        <f>IFERROR(ABS(K10),"")</f>
      </c>
      <c r="M10" s="59" t="inlineStr">
        <is>
          <t xml:space="preserve">Amount Mismatch</t>
        </is>
      </c>
      <c r="N10" s="60">
        <f>IF(J10&gt;Summary!$B$18,"Yes","No")</f>
      </c>
      <c r="O10" s="61">
        <f>RANK(J10,$J$2:$J$64,0)</f>
      </c>
      <c r="P10" s="62"/>
      <c r="Q10" s="62"/>
      <c r="R10" s="63"/>
    </row>
    <row r="11">
      <c r="A11" s="46" t="inlineStr">
        <is>
          <t xml:space="preserve">TXN-09021</t>
        </is>
      </c>
      <c r="B11" s="58">
        <v>45361</v>
      </c>
      <c r="C11" s="46" t="inlineStr">
        <is>
          <t xml:space="preserve">Vendor Payment</t>
        </is>
      </c>
      <c r="D11" s="47">
        <v>5100.0</v>
      </c>
      <c r="E11" s="46" t="inlineStr">
        <is>
          <t xml:space="preserve">Supplier invoice</t>
        </is>
      </c>
      <c r="F11" s="46"/>
      <c r="G11" s="49">
        <v>-10831.59</v>
      </c>
      <c r="H11" s="49"/>
      <c r="I11" s="49">
        <v>-10831.59</v>
      </c>
      <c r="J11" s="50">
        <v>10831.59</v>
      </c>
      <c r="K11" s="49"/>
      <c r="L11" s="50">
        <f>IFERROR(ABS(K11),"")</f>
      </c>
      <c r="M11" s="59" t="inlineStr">
        <is>
          <t xml:space="preserve">Only in GL</t>
        </is>
      </c>
      <c r="N11" s="60">
        <f>IF(J11&gt;Summary!$B$18,"Yes","No")</f>
      </c>
      <c r="O11" s="61">
        <f>RANK(J11,$J$2:$J$64,0)</f>
      </c>
      <c r="P11" s="62"/>
      <c r="Q11" s="62"/>
      <c r="R11" s="63"/>
    </row>
    <row r="12">
      <c r="A12" s="46" t="inlineStr">
        <is>
          <t xml:space="preserve">TXN-09023</t>
        </is>
      </c>
      <c r="B12" s="58">
        <v>45337</v>
      </c>
      <c r="C12" s="46" t="inlineStr">
        <is>
          <t xml:space="preserve">Vendor Payment</t>
        </is>
      </c>
      <c r="D12" s="47">
        <v>5100.0</v>
      </c>
      <c r="E12" s="46" t="inlineStr">
        <is>
          <t xml:space="preserve">Vendor payment - materials</t>
        </is>
      </c>
      <c r="F12" s="46"/>
      <c r="G12" s="49">
        <v>-10519.65</v>
      </c>
      <c r="H12" s="49"/>
      <c r="I12" s="49">
        <v>-10519.65</v>
      </c>
      <c r="J12" s="50">
        <v>10519.65</v>
      </c>
      <c r="K12" s="49"/>
      <c r="L12" s="50">
        <f>IFERROR(ABS(K12),"")</f>
      </c>
      <c r="M12" s="59" t="inlineStr">
        <is>
          <t xml:space="preserve">Only in GL</t>
        </is>
      </c>
      <c r="N12" s="60">
        <f>IF(J12&gt;Summary!$B$18,"Yes","No")</f>
      </c>
      <c r="O12" s="61">
        <f>RANK(J12,$J$2:$J$64,0)</f>
      </c>
      <c r="P12" s="62"/>
      <c r="Q12" s="62"/>
      <c r="R12" s="63"/>
    </row>
    <row r="13">
      <c r="A13" s="46" t="inlineStr">
        <is>
          <t xml:space="preserve">TXN-09025</t>
        </is>
      </c>
      <c r="B13" s="58">
        <v>45494</v>
      </c>
      <c r="C13" s="46" t="inlineStr">
        <is>
          <t xml:space="preserve">Vendor Payment</t>
        </is>
      </c>
      <c r="D13" s="47">
        <v>5100.0</v>
      </c>
      <c r="E13" s="46" t="inlineStr">
        <is>
          <t xml:space="preserve">Supplier invoice</t>
        </is>
      </c>
      <c r="F13" s="46"/>
      <c r="G13" s="49">
        <v>-10032.3</v>
      </c>
      <c r="H13" s="49"/>
      <c r="I13" s="49">
        <v>-10032.3</v>
      </c>
      <c r="J13" s="50">
        <v>10032.3</v>
      </c>
      <c r="K13" s="49"/>
      <c r="L13" s="50">
        <f>IFERROR(ABS(K13),"")</f>
      </c>
      <c r="M13" s="59" t="inlineStr">
        <is>
          <t xml:space="preserve">Only in GL</t>
        </is>
      </c>
      <c r="N13" s="60">
        <f>IF(J13&gt;Summary!$B$18,"Yes","No")</f>
      </c>
      <c r="O13" s="61">
        <f>RANK(J13,$J$2:$J$64,0)</f>
      </c>
      <c r="P13" s="62"/>
      <c r="Q13" s="62"/>
      <c r="R13" s="63"/>
    </row>
    <row r="14">
      <c r="A14" s="46" t="inlineStr">
        <is>
          <t xml:space="preserve">TXN-09019</t>
        </is>
      </c>
      <c r="B14" s="58">
        <v>45386</v>
      </c>
      <c r="C14" s="46" t="inlineStr">
        <is>
          <t xml:space="preserve">Vendor Payment</t>
        </is>
      </c>
      <c r="D14" s="47">
        <v>5100.0</v>
      </c>
      <c r="E14" s="46" t="inlineStr">
        <is>
          <t xml:space="preserve">Supplier invoice</t>
        </is>
      </c>
      <c r="F14" s="46"/>
      <c r="G14" s="49">
        <v>-9548.1</v>
      </c>
      <c r="H14" s="49"/>
      <c r="I14" s="49">
        <v>-9548.1</v>
      </c>
      <c r="J14" s="50">
        <v>9548.1</v>
      </c>
      <c r="K14" s="49"/>
      <c r="L14" s="50">
        <f>IFERROR(ABS(K14),"")</f>
      </c>
      <c r="M14" s="59" t="inlineStr">
        <is>
          <t xml:space="preserve">Only in GL</t>
        </is>
      </c>
      <c r="N14" s="60">
        <f>IF(J14&gt;Summary!$B$18,"Yes","No")</f>
      </c>
      <c r="O14" s="61">
        <f>RANK(J14,$J$2:$J$64,0)</f>
      </c>
      <c r="P14" s="62"/>
      <c r="Q14" s="62"/>
      <c r="R14" s="63"/>
    </row>
    <row r="15">
      <c r="A15" s="46" t="inlineStr">
        <is>
          <t xml:space="preserve">TXN-09015</t>
        </is>
      </c>
      <c r="B15" s="58">
        <v>45509</v>
      </c>
      <c r="C15" s="46" t="inlineStr">
        <is>
          <t xml:space="preserve">Payroll</t>
        </is>
      </c>
      <c r="D15" s="47">
        <v>6000.0</v>
      </c>
      <c r="E15" s="46" t="inlineStr">
        <is>
          <t xml:space="preserve">Monthly salary run</t>
        </is>
      </c>
      <c r="F15" s="46"/>
      <c r="G15" s="49">
        <v>-9535.87</v>
      </c>
      <c r="H15" s="49"/>
      <c r="I15" s="49">
        <v>-9535.87</v>
      </c>
      <c r="J15" s="50">
        <v>9535.87</v>
      </c>
      <c r="K15" s="49"/>
      <c r="L15" s="50">
        <f>IFERROR(ABS(K15),"")</f>
      </c>
      <c r="M15" s="59" t="inlineStr">
        <is>
          <t xml:space="preserve">Only in GL</t>
        </is>
      </c>
      <c r="N15" s="60">
        <f>IF(J15&gt;Summary!$B$18,"Yes","No")</f>
      </c>
      <c r="O15" s="61">
        <f>RANK(J15,$J$2:$J$64,0)</f>
      </c>
      <c r="P15" s="62"/>
      <c r="Q15" s="62"/>
      <c r="R15" s="63"/>
    </row>
    <row r="16">
      <c r="A16" s="46" t="inlineStr">
        <is>
          <t xml:space="preserve">TXN-09017</t>
        </is>
      </c>
      <c r="B16" s="58">
        <v>45653</v>
      </c>
      <c r="C16" s="46" t="inlineStr">
        <is>
          <t xml:space="preserve">Payroll</t>
        </is>
      </c>
      <c r="D16" s="47">
        <v>6000.0</v>
      </c>
      <c r="E16" s="46" t="inlineStr">
        <is>
          <t xml:space="preserve">Monthly salary run</t>
        </is>
      </c>
      <c r="F16" s="46"/>
      <c r="G16" s="49">
        <v>-9119.86</v>
      </c>
      <c r="H16" s="49"/>
      <c r="I16" s="49">
        <v>-9119.86</v>
      </c>
      <c r="J16" s="50">
        <v>9119.86</v>
      </c>
      <c r="K16" s="49"/>
      <c r="L16" s="50">
        <f>IFERROR(ABS(K16),"")</f>
      </c>
      <c r="M16" s="59" t="inlineStr">
        <is>
          <t xml:space="preserve">Only in GL</t>
        </is>
      </c>
      <c r="N16" s="60">
        <f>IF(J16&gt;Summary!$B$18,"Yes","No")</f>
      </c>
      <c r="O16" s="61">
        <f>RANK(J16,$J$2:$J$64,0)</f>
      </c>
      <c r="P16" s="62"/>
      <c r="Q16" s="62"/>
      <c r="R16" s="63"/>
    </row>
    <row r="17">
      <c r="A17" s="46" t="inlineStr">
        <is>
          <t xml:space="preserve">TXN-09007</t>
        </is>
      </c>
      <c r="B17" s="58">
        <v>45508</v>
      </c>
      <c r="C17" s="46" t="inlineStr">
        <is>
          <t xml:space="preserve">Payroll</t>
        </is>
      </c>
      <c r="D17" s="47">
        <v>6000.0</v>
      </c>
      <c r="E17" s="46" t="inlineStr">
        <is>
          <t xml:space="preserve">Payroll transfer</t>
        </is>
      </c>
      <c r="F17" s="46"/>
      <c r="G17" s="49">
        <v>-8659.91</v>
      </c>
      <c r="H17" s="49"/>
      <c r="I17" s="49">
        <v>-8659.91</v>
      </c>
      <c r="J17" s="50">
        <v>8659.91</v>
      </c>
      <c r="K17" s="49"/>
      <c r="L17" s="50">
        <f>IFERROR(ABS(K17),"")</f>
      </c>
      <c r="M17" s="59" t="inlineStr">
        <is>
          <t xml:space="preserve">Only in GL</t>
        </is>
      </c>
      <c r="N17" s="60">
        <f>IF(J17&gt;Summary!$B$18,"Yes","No")</f>
      </c>
      <c r="O17" s="61">
        <f>RANK(J17,$J$2:$J$64,0)</f>
      </c>
      <c r="P17" s="62"/>
      <c r="Q17" s="62"/>
      <c r="R17" s="63"/>
    </row>
    <row r="18">
      <c r="A18" s="46" t="inlineStr">
        <is>
          <t xml:space="preserve">TXN-09009</t>
        </is>
      </c>
      <c r="B18" s="58">
        <v>45567</v>
      </c>
      <c r="C18" s="46" t="inlineStr">
        <is>
          <t xml:space="preserve">Payroll</t>
        </is>
      </c>
      <c r="D18" s="47">
        <v>6000.0</v>
      </c>
      <c r="E18" s="46" t="inlineStr">
        <is>
          <t xml:space="preserve">Payroll transfer</t>
        </is>
      </c>
      <c r="F18" s="46"/>
      <c r="G18" s="49">
        <v>-7143.09</v>
      </c>
      <c r="H18" s="49"/>
      <c r="I18" s="49">
        <v>-7143.09</v>
      </c>
      <c r="J18" s="50">
        <v>7143.09</v>
      </c>
      <c r="K18" s="49"/>
      <c r="L18" s="50">
        <f>IFERROR(ABS(K18),"")</f>
      </c>
      <c r="M18" s="59" t="inlineStr">
        <is>
          <t xml:space="preserve">Only in GL</t>
        </is>
      </c>
      <c r="N18" s="60">
        <f>IF(J18&gt;Summary!$B$18,"Yes","No")</f>
      </c>
      <c r="O18" s="61">
        <f>RANK(J18,$J$2:$J$64,0)</f>
      </c>
      <c r="P18" s="62"/>
      <c r="Q18" s="62"/>
      <c r="R18" s="63"/>
    </row>
    <row r="19">
      <c r="A19" s="46" t="inlineStr">
        <is>
          <t xml:space="preserve">TXN-00206</t>
        </is>
      </c>
      <c r="B19" s="58">
        <v>45506</v>
      </c>
      <c r="C19" s="46" t="inlineStr">
        <is>
          <t xml:space="preserve">Payroll</t>
        </is>
      </c>
      <c r="D19" s="47">
        <v>6000.0</v>
      </c>
      <c r="E19" s="46" t="inlineStr">
        <is>
          <t xml:space="preserve">Employee wages</t>
        </is>
      </c>
      <c r="F19" s="46" t="inlineStr">
        <is>
          <t xml:space="preserve">EMPLOYEE WAGES</t>
        </is>
      </c>
      <c r="G19" s="49">
        <v>-7023.64</v>
      </c>
      <c r="H19" s="49">
        <v>-70.23</v>
      </c>
      <c r="I19" s="49">
        <v>-7023.64</v>
      </c>
      <c r="J19" s="50">
        <v>7023.64</v>
      </c>
      <c r="K19" s="49">
        <v>-6953.41</v>
      </c>
      <c r="L19" s="50">
        <f>IFERROR(ABS(K19),"")</f>
      </c>
      <c r="M19" s="59" t="inlineStr">
        <is>
          <t xml:space="preserve">Amount Mismatch</t>
        </is>
      </c>
      <c r="N19" s="60">
        <f>IF(J19&gt;Summary!$B$18,"Yes","No")</f>
      </c>
      <c r="O19" s="61">
        <f>RANK(J19,$J$2:$J$64,0)</f>
      </c>
      <c r="P19" s="62"/>
      <c r="Q19" s="62"/>
      <c r="R19" s="63"/>
    </row>
    <row r="20">
      <c r="A20" s="46" t="inlineStr">
        <is>
          <t xml:space="preserve">TXN-00616</t>
        </is>
      </c>
      <c r="B20" s="58">
        <v>45457</v>
      </c>
      <c r="C20" s="46" t="inlineStr">
        <is>
          <t xml:space="preserve">Rent</t>
        </is>
      </c>
      <c r="D20" s="47">
        <v>6100.0</v>
      </c>
      <c r="E20" s="46" t="inlineStr">
        <is>
          <t xml:space="preserve">Warehouse lease</t>
        </is>
      </c>
      <c r="F20" s="46" t="inlineStr">
        <is>
          <t xml:space="preserve">WAREHOUSE LEASE</t>
        </is>
      </c>
      <c r="G20" s="49">
        <v>-5922.24</v>
      </c>
      <c r="H20" s="49">
        <v>-5971.2</v>
      </c>
      <c r="I20" s="49">
        <v>-5922.24</v>
      </c>
      <c r="J20" s="50">
        <v>5922.24</v>
      </c>
      <c r="K20" s="49">
        <v>48.96</v>
      </c>
      <c r="L20" s="50">
        <f>IFERROR(ABS(K20),"")</f>
      </c>
      <c r="M20" s="59" t="inlineStr">
        <is>
          <t xml:space="preserve">Amount Mismatch</t>
        </is>
      </c>
      <c r="N20" s="60">
        <f>IF(J20&gt;Summary!$B$18,"Yes","No")</f>
      </c>
      <c r="O20" s="61">
        <f>RANK(J20,$J$2:$J$64,0)</f>
      </c>
      <c r="P20" s="62"/>
      <c r="Q20" s="62"/>
      <c r="R20" s="63"/>
    </row>
    <row r="21">
      <c r="A21" s="46" t="inlineStr">
        <is>
          <t xml:space="preserve">TXN-09024</t>
        </is>
      </c>
      <c r="B21" s="58">
        <v>45434</v>
      </c>
      <c r="C21" s="46" t="inlineStr">
        <is>
          <t xml:space="preserve">Rent</t>
        </is>
      </c>
      <c r="D21" s="47">
        <v>6100.0</v>
      </c>
      <c r="E21" s="46" t="inlineStr">
        <is>
          <t xml:space="preserve">Monthly office rent</t>
        </is>
      </c>
      <c r="F21" s="46"/>
      <c r="G21" s="49">
        <v>-5776.25</v>
      </c>
      <c r="H21" s="49"/>
      <c r="I21" s="49">
        <v>-5776.25</v>
      </c>
      <c r="J21" s="50">
        <v>5776.25</v>
      </c>
      <c r="K21" s="49"/>
      <c r="L21" s="50">
        <f>IFERROR(ABS(K21),"")</f>
      </c>
      <c r="M21" s="59" t="inlineStr">
        <is>
          <t xml:space="preserve">Only in GL</t>
        </is>
      </c>
      <c r="N21" s="60">
        <f>IF(J21&gt;Summary!$B$18,"Yes","No")</f>
      </c>
      <c r="O21" s="61">
        <f>RANK(J21,$J$2:$J$64,0)</f>
      </c>
      <c r="P21" s="62"/>
      <c r="Q21" s="62"/>
      <c r="R21" s="63"/>
    </row>
    <row r="22">
      <c r="A22" s="46" t="inlineStr">
        <is>
          <t xml:space="preserve">TXN-09003</t>
        </is>
      </c>
      <c r="B22" s="58">
        <v>45565</v>
      </c>
      <c r="C22" s="46" t="inlineStr">
        <is>
          <t xml:space="preserve">Rent</t>
        </is>
      </c>
      <c r="D22" s="47">
        <v>6100.0</v>
      </c>
      <c r="E22" s="46" t="inlineStr">
        <is>
          <t xml:space="preserve">Warehouse lease</t>
        </is>
      </c>
      <c r="F22" s="46"/>
      <c r="G22" s="49">
        <v>-4990.02</v>
      </c>
      <c r="H22" s="49"/>
      <c r="I22" s="49">
        <v>-4990.02</v>
      </c>
      <c r="J22" s="50">
        <v>4990.02</v>
      </c>
      <c r="K22" s="49"/>
      <c r="L22" s="50">
        <f>IFERROR(ABS(K22),"")</f>
      </c>
      <c r="M22" s="59" t="inlineStr">
        <is>
          <t xml:space="preserve">Only in GL</t>
        </is>
      </c>
      <c r="N22" s="60">
        <f>IF(J22&gt;Summary!$B$18,"Yes","No")</f>
      </c>
      <c r="O22" s="61">
        <f>RANK(J22,$J$2:$J$64,0)</f>
      </c>
      <c r="P22" s="62"/>
      <c r="Q22" s="62"/>
      <c r="R22" s="63"/>
    </row>
    <row r="23">
      <c r="A23" s="46" t="inlineStr">
        <is>
          <t xml:space="preserve">TXN-09006</t>
        </is>
      </c>
      <c r="B23" s="58">
        <v>45602</v>
      </c>
      <c r="C23" s="46" t="inlineStr">
        <is>
          <t xml:space="preserve">Payroll</t>
        </is>
      </c>
      <c r="D23" s="47">
        <v>6000.0</v>
      </c>
      <c r="E23" s="46" t="inlineStr">
        <is>
          <t xml:space="preserve">Payroll transfer</t>
        </is>
      </c>
      <c r="F23" s="46"/>
      <c r="G23" s="49">
        <v>-4962.75</v>
      </c>
      <c r="H23" s="49"/>
      <c r="I23" s="49">
        <v>-4962.75</v>
      </c>
      <c r="J23" s="50">
        <v>4962.75</v>
      </c>
      <c r="K23" s="49"/>
      <c r="L23" s="50">
        <f>IFERROR(ABS(K23),"")</f>
      </c>
      <c r="M23" s="59" t="inlineStr">
        <is>
          <t xml:space="preserve">Only in GL</t>
        </is>
      </c>
      <c r="N23" s="60">
        <f>IF(J23&gt;Summary!$B$18,"Yes","No")</f>
      </c>
      <c r="O23" s="61">
        <f>RANK(J23,$J$2:$J$64,0)</f>
      </c>
      <c r="P23" s="62"/>
      <c r="Q23" s="62"/>
      <c r="R23" s="63"/>
    </row>
    <row r="24">
      <c r="A24" s="46" t="inlineStr">
        <is>
          <t xml:space="preserve">TXN-09005</t>
        </is>
      </c>
      <c r="B24" s="58">
        <v>45318</v>
      </c>
      <c r="C24" s="46" t="inlineStr">
        <is>
          <t xml:space="preserve">Vendor Payment</t>
        </is>
      </c>
      <c r="D24" s="47">
        <v>5100.0</v>
      </c>
      <c r="E24" s="46" t="inlineStr">
        <is>
          <t xml:space="preserve">Vendor payment - materials</t>
        </is>
      </c>
      <c r="F24" s="46"/>
      <c r="G24" s="49">
        <v>-4601.7</v>
      </c>
      <c r="H24" s="49"/>
      <c r="I24" s="49">
        <v>-4601.7</v>
      </c>
      <c r="J24" s="50">
        <v>4601.7</v>
      </c>
      <c r="K24" s="49"/>
      <c r="L24" s="50">
        <f>IFERROR(ABS(K24),"")</f>
      </c>
      <c r="M24" s="59" t="inlineStr">
        <is>
          <t xml:space="preserve">Only in GL</t>
        </is>
      </c>
      <c r="N24" s="60">
        <f>IF(J24&gt;Summary!$B$18,"Yes","No")</f>
      </c>
      <c r="O24" s="61">
        <f>RANK(J24,$J$2:$J$64,0)</f>
      </c>
      <c r="P24" s="62"/>
      <c r="Q24" s="62"/>
      <c r="R24" s="63"/>
    </row>
    <row r="25">
      <c r="A25" s="46" t="inlineStr">
        <is>
          <t xml:space="preserve">TXN-09022</t>
        </is>
      </c>
      <c r="B25" s="58">
        <v>45475</v>
      </c>
      <c r="C25" s="46" t="inlineStr">
        <is>
          <t xml:space="preserve">Rent</t>
        </is>
      </c>
      <c r="D25" s="47">
        <v>6100.0</v>
      </c>
      <c r="E25" s="46" t="inlineStr">
        <is>
          <t xml:space="preserve">Rent payment</t>
        </is>
      </c>
      <c r="F25" s="46"/>
      <c r="G25" s="49">
        <v>-3848.12</v>
      </c>
      <c r="H25" s="49"/>
      <c r="I25" s="49">
        <v>-3848.12</v>
      </c>
      <c r="J25" s="50">
        <v>3848.12</v>
      </c>
      <c r="K25" s="49"/>
      <c r="L25" s="50">
        <f>IFERROR(ABS(K25),"")</f>
      </c>
      <c r="M25" s="59" t="inlineStr">
        <is>
          <t xml:space="preserve">Only in GL</t>
        </is>
      </c>
      <c r="N25" s="60">
        <f>IF(J25&gt;Summary!$B$18,"Yes","No")</f>
      </c>
      <c r="O25" s="61">
        <f>RANK(J25,$J$2:$J$64,0)</f>
      </c>
      <c r="P25" s="62"/>
      <c r="Q25" s="62"/>
      <c r="R25" s="63"/>
    </row>
    <row r="26">
      <c r="A26" s="46" t="inlineStr">
        <is>
          <t xml:space="preserve">TXN-09012</t>
        </is>
      </c>
      <c r="B26" s="58">
        <v>45496</v>
      </c>
      <c r="C26" s="46" t="inlineStr">
        <is>
          <t xml:space="preserve">Rent</t>
        </is>
      </c>
      <c r="D26" s="47">
        <v>6100.0</v>
      </c>
      <c r="E26" s="46" t="inlineStr">
        <is>
          <t xml:space="preserve">Monthly office rent</t>
        </is>
      </c>
      <c r="F26" s="46"/>
      <c r="G26" s="49">
        <v>-3543.71</v>
      </c>
      <c r="H26" s="49"/>
      <c r="I26" s="49">
        <v>-3543.71</v>
      </c>
      <c r="J26" s="50">
        <v>3543.71</v>
      </c>
      <c r="K26" s="49"/>
      <c r="L26" s="50">
        <f>IFERROR(ABS(K26),"")</f>
      </c>
      <c r="M26" s="59" t="inlineStr">
        <is>
          <t xml:space="preserve">Only in GL</t>
        </is>
      </c>
      <c r="N26" s="60">
        <f>IF(J26&gt;Summary!$B$18,"Yes","No")</f>
      </c>
      <c r="O26" s="61">
        <f>RANK(J26,$J$2:$J$64,0)</f>
      </c>
      <c r="P26" s="62"/>
      <c r="Q26" s="62"/>
      <c r="R26" s="63"/>
    </row>
    <row r="27">
      <c r="A27" s="46" t="inlineStr">
        <is>
          <t xml:space="preserve">TXN-09010</t>
        </is>
      </c>
      <c r="B27" s="58">
        <v>45600</v>
      </c>
      <c r="C27" s="46" t="inlineStr">
        <is>
          <t xml:space="preserve">Rent</t>
        </is>
      </c>
      <c r="D27" s="47">
        <v>6100.0</v>
      </c>
      <c r="E27" s="46" t="inlineStr">
        <is>
          <t xml:space="preserve">Warehouse lease</t>
        </is>
      </c>
      <c r="F27" s="46"/>
      <c r="G27" s="49">
        <v>-3333.0</v>
      </c>
      <c r="H27" s="49"/>
      <c r="I27" s="49">
        <v>-3333.0</v>
      </c>
      <c r="J27" s="50">
        <v>3333.0</v>
      </c>
      <c r="K27" s="49"/>
      <c r="L27" s="50">
        <f>IFERROR(ABS(K27),"")</f>
      </c>
      <c r="M27" s="59" t="inlineStr">
        <is>
          <t xml:space="preserve">Only in GL</t>
        </is>
      </c>
      <c r="N27" s="60">
        <f>IF(J27&gt;Summary!$B$18,"Yes","No")</f>
      </c>
      <c r="O27" s="61">
        <f>RANK(J27,$J$2:$J$64,0)</f>
      </c>
      <c r="P27" s="62"/>
      <c r="Q27" s="62"/>
      <c r="R27" s="63"/>
    </row>
    <row r="28">
      <c r="A28" s="46" t="inlineStr">
        <is>
          <t xml:space="preserve">TXN-00789</t>
        </is>
      </c>
      <c r="B28" s="58">
        <v>45293</v>
      </c>
      <c r="C28" s="46" t="inlineStr">
        <is>
          <t xml:space="preserve">Travel &amp; Entertainment</t>
        </is>
      </c>
      <c r="D28" s="47">
        <v>6400.0</v>
      </c>
      <c r="E28" s="46" t="inlineStr">
        <is>
          <t xml:space="preserve">Client dinner</t>
        </is>
      </c>
      <c r="F28" s="46" t="inlineStr">
        <is>
          <t xml:space="preserve">CLIENT DINNER</t>
        </is>
      </c>
      <c r="G28" s="49">
        <v>-3255.56</v>
      </c>
      <c r="H28" s="49">
        <v>-32555.6</v>
      </c>
      <c r="I28" s="49">
        <v>-3255.56</v>
      </c>
      <c r="J28" s="50">
        <v>3255.56</v>
      </c>
      <c r="K28" s="49">
        <v>29300.04</v>
      </c>
      <c r="L28" s="50">
        <f>IFERROR(ABS(K28),"")</f>
      </c>
      <c r="M28" s="59" t="inlineStr">
        <is>
          <t xml:space="preserve">Amount Mismatch</t>
        </is>
      </c>
      <c r="N28" s="60">
        <f>IF(J28&gt;Summary!$B$18,"Yes","No")</f>
      </c>
      <c r="O28" s="61">
        <f>RANK(J28,$J$2:$J$64,0)</f>
      </c>
      <c r="P28" s="62"/>
      <c r="Q28" s="62"/>
      <c r="R28" s="63"/>
    </row>
    <row r="29">
      <c r="A29" s="46" t="inlineStr">
        <is>
          <t xml:space="preserve">TXN-09004</t>
        </is>
      </c>
      <c r="B29" s="58">
        <v>45330</v>
      </c>
      <c r="C29" s="46" t="inlineStr">
        <is>
          <t xml:space="preserve">Rent</t>
        </is>
      </c>
      <c r="D29" s="47">
        <v>6100.0</v>
      </c>
      <c r="E29" s="46" t="inlineStr">
        <is>
          <t xml:space="preserve">Rent payment</t>
        </is>
      </c>
      <c r="F29" s="46"/>
      <c r="G29" s="49">
        <v>-2085.79</v>
      </c>
      <c r="H29" s="49"/>
      <c r="I29" s="49">
        <v>-2085.79</v>
      </c>
      <c r="J29" s="50">
        <v>2085.79</v>
      </c>
      <c r="K29" s="49"/>
      <c r="L29" s="50">
        <f>IFERROR(ABS(K29),"")</f>
      </c>
      <c r="M29" s="59" t="inlineStr">
        <is>
          <t xml:space="preserve">Only in GL</t>
        </is>
      </c>
      <c r="N29" s="60">
        <f>IF(J29&gt;Summary!$B$18,"Yes","No")</f>
      </c>
      <c r="O29" s="61">
        <f>RANK(J29,$J$2:$J$64,0)</f>
      </c>
      <c r="P29" s="62"/>
      <c r="Q29" s="62"/>
      <c r="R29" s="63"/>
    </row>
    <row r="30">
      <c r="A30" s="46" t="inlineStr">
        <is>
          <t xml:space="preserve">TXN-09014</t>
        </is>
      </c>
      <c r="B30" s="58">
        <v>45403</v>
      </c>
      <c r="C30" s="46" t="inlineStr">
        <is>
          <t xml:space="preserve">Vendor Payment</t>
        </is>
      </c>
      <c r="D30" s="47">
        <v>5100.0</v>
      </c>
      <c r="E30" s="46" t="inlineStr">
        <is>
          <t xml:space="preserve">Supplier invoice</t>
        </is>
      </c>
      <c r="F30" s="46"/>
      <c r="G30" s="49">
        <v>-2032.89</v>
      </c>
      <c r="H30" s="49"/>
      <c r="I30" s="49">
        <v>-2032.89</v>
      </c>
      <c r="J30" s="50">
        <v>2032.89</v>
      </c>
      <c r="K30" s="49"/>
      <c r="L30" s="50">
        <f>IFERROR(ABS(K30),"")</f>
      </c>
      <c r="M30" s="59" t="inlineStr">
        <is>
          <t xml:space="preserve">Only in GL</t>
        </is>
      </c>
      <c r="N30" s="60">
        <f>IF(J30&gt;Summary!$B$18,"Yes","No")</f>
      </c>
      <c r="O30" s="61">
        <f>RANK(J30,$J$2:$J$64,0)</f>
      </c>
      <c r="P30" s="62"/>
      <c r="Q30" s="62"/>
      <c r="R30" s="63"/>
    </row>
    <row r="31">
      <c r="A31" s="46" t="inlineStr">
        <is>
          <t xml:space="preserve">TXN-09011</t>
        </is>
      </c>
      <c r="B31" s="58">
        <v>45423</v>
      </c>
      <c r="C31" s="46" t="inlineStr">
        <is>
          <t xml:space="preserve">Rent</t>
        </is>
      </c>
      <c r="D31" s="47">
        <v>6100.0</v>
      </c>
      <c r="E31" s="46" t="inlineStr">
        <is>
          <t xml:space="preserve">Warehouse lease</t>
        </is>
      </c>
      <c r="F31" s="46"/>
      <c r="G31" s="49">
        <v>-2030.85</v>
      </c>
      <c r="H31" s="49"/>
      <c r="I31" s="49">
        <v>-2030.85</v>
      </c>
      <c r="J31" s="50">
        <v>2030.85</v>
      </c>
      <c r="K31" s="49"/>
      <c r="L31" s="50">
        <f>IFERROR(ABS(K31),"")</f>
      </c>
      <c r="M31" s="59" t="inlineStr">
        <is>
          <t xml:space="preserve">Only in GL</t>
        </is>
      </c>
      <c r="N31" s="60">
        <f>IF(J31&gt;Summary!$B$18,"Yes","No")</f>
      </c>
      <c r="O31" s="61">
        <f>RANK(J31,$J$2:$J$64,0)</f>
      </c>
      <c r="P31" s="62"/>
      <c r="Q31" s="62"/>
      <c r="R31" s="63"/>
    </row>
    <row r="32">
      <c r="A32" s="46" t="inlineStr">
        <is>
          <t xml:space="preserve">TXN-00641</t>
        </is>
      </c>
      <c r="B32" s="58">
        <v>45560</v>
      </c>
      <c r="C32" s="46" t="inlineStr">
        <is>
          <t xml:space="preserve">Rent</t>
        </is>
      </c>
      <c r="D32" s="47">
        <v>6100.0</v>
      </c>
      <c r="E32" s="46" t="inlineStr">
        <is>
          <t xml:space="preserve">Monthly office rent</t>
        </is>
      </c>
      <c r="F32" s="46" t="inlineStr">
        <is>
          <t xml:space="preserve">MONTHLY OFFICE RENT</t>
        </is>
      </c>
      <c r="G32" s="49">
        <v>-1728.74</v>
      </c>
      <c r="H32" s="49">
        <v>-1316.02</v>
      </c>
      <c r="I32" s="49">
        <v>-1728.74</v>
      </c>
      <c r="J32" s="50">
        <v>1728.74</v>
      </c>
      <c r="K32" s="49">
        <v>-412.72</v>
      </c>
      <c r="L32" s="50">
        <f>IFERROR(ABS(K32),"")</f>
      </c>
      <c r="M32" s="59" t="inlineStr">
        <is>
          <t xml:space="preserve">Amount Mismatch</t>
        </is>
      </c>
      <c r="N32" s="60">
        <f>IF(J32&gt;Summary!$B$18,"Yes","No")</f>
      </c>
      <c r="O32" s="61">
        <f>RANK(J32,$J$2:$J$64,0)</f>
      </c>
      <c r="P32" s="62"/>
      <c r="Q32" s="62"/>
      <c r="R32" s="63"/>
    </row>
    <row r="33">
      <c r="A33" s="46" t="inlineStr">
        <is>
          <t xml:space="preserve">TXN-09016</t>
        </is>
      </c>
      <c r="B33" s="58">
        <v>45363</v>
      </c>
      <c r="C33" s="46" t="inlineStr">
        <is>
          <t xml:space="preserve">Vendor Payment</t>
        </is>
      </c>
      <c r="D33" s="47">
        <v>5100.0</v>
      </c>
      <c r="E33" s="46" t="inlineStr">
        <is>
          <t xml:space="preserve">Supplier invoice</t>
        </is>
      </c>
      <c r="F33" s="46"/>
      <c r="G33" s="49">
        <v>-1634.63</v>
      </c>
      <c r="H33" s="49"/>
      <c r="I33" s="49">
        <v>-1634.63</v>
      </c>
      <c r="J33" s="50">
        <v>1634.63</v>
      </c>
      <c r="K33" s="49"/>
      <c r="L33" s="50">
        <f>IFERROR(ABS(K33),"")</f>
      </c>
      <c r="M33" s="59" t="inlineStr">
        <is>
          <t xml:space="preserve">Only in GL</t>
        </is>
      </c>
      <c r="N33" s="60">
        <f>IF(J33&gt;Summary!$B$18,"Yes","No")</f>
      </c>
      <c r="O33" s="61">
        <f>RANK(J33,$J$2:$J$64,0)</f>
      </c>
      <c r="P33" s="62"/>
      <c r="Q33" s="62"/>
      <c r="R33" s="63"/>
    </row>
    <row r="34">
      <c r="A34" s="46" t="inlineStr">
        <is>
          <t xml:space="preserve">TXN-09018</t>
        </is>
      </c>
      <c r="B34" s="58">
        <v>45646</v>
      </c>
      <c r="C34" s="46" t="inlineStr">
        <is>
          <t xml:space="preserve">Vendor Payment</t>
        </is>
      </c>
      <c r="D34" s="47">
        <v>5100.0</v>
      </c>
      <c r="E34" s="46" t="inlineStr">
        <is>
          <t xml:space="preserve">Contractor fee</t>
        </is>
      </c>
      <c r="F34" s="46"/>
      <c r="G34" s="49">
        <v>-1215.59</v>
      </c>
      <c r="H34" s="49"/>
      <c r="I34" s="49">
        <v>-1215.59</v>
      </c>
      <c r="J34" s="50">
        <v>1215.59</v>
      </c>
      <c r="K34" s="49"/>
      <c r="L34" s="50">
        <f>IFERROR(ABS(K34),"")</f>
      </c>
      <c r="M34" s="59" t="inlineStr">
        <is>
          <t xml:space="preserve">Only in GL</t>
        </is>
      </c>
      <c r="N34" s="60">
        <f>IF(J34&gt;Summary!$B$18,"Yes","No")</f>
      </c>
      <c r="O34" s="61">
        <f>RANK(J34,$J$2:$J$64,0)</f>
      </c>
      <c r="P34" s="62"/>
      <c r="Q34" s="62"/>
      <c r="R34" s="63"/>
    </row>
    <row r="35">
      <c r="A35" s="46" t="inlineStr">
        <is>
          <t xml:space="preserve">TXN-00245</t>
        </is>
      </c>
      <c r="B35" s="58">
        <v>45483</v>
      </c>
      <c r="C35" s="46" t="inlineStr">
        <is>
          <t xml:space="preserve">Rent</t>
        </is>
      </c>
      <c r="D35" s="47">
        <v>6100.0</v>
      </c>
      <c r="E35" s="46" t="inlineStr">
        <is>
          <t xml:space="preserve">Rent payment</t>
        </is>
      </c>
      <c r="F35" s="46" t="inlineStr">
        <is>
          <t xml:space="preserve">RENT PAYMENT</t>
        </is>
      </c>
      <c r="G35" s="49">
        <v>-937.97</v>
      </c>
      <c r="H35" s="49">
        <v>-93.79</v>
      </c>
      <c r="I35" s="49">
        <v>-937.97</v>
      </c>
      <c r="J35" s="50">
        <v>937.97</v>
      </c>
      <c r="K35" s="49">
        <v>-844.18</v>
      </c>
      <c r="L35" s="50">
        <f>IFERROR(ABS(K35),"")</f>
      </c>
      <c r="M35" s="59" t="inlineStr">
        <is>
          <t xml:space="preserve">Amount Mismatch</t>
        </is>
      </c>
      <c r="N35" s="60">
        <f>IF(J35&gt;Summary!$B$18,"Yes","No")</f>
      </c>
      <c r="O35" s="61">
        <f>RANK(J35,$J$2:$J$64,0)</f>
      </c>
      <c r="P35" s="62"/>
      <c r="Q35" s="62"/>
      <c r="R35" s="63"/>
    </row>
    <row r="36">
      <c r="A36" s="46" t="inlineStr">
        <is>
          <t xml:space="preserve">TXN-00871</t>
        </is>
      </c>
      <c r="B36" s="58">
        <v>45406</v>
      </c>
      <c r="C36" s="46" t="inlineStr">
        <is>
          <t xml:space="preserve">Office Supplies</t>
        </is>
      </c>
      <c r="D36" s="47">
        <v>6300.0</v>
      </c>
      <c r="E36" s="46" t="inlineStr">
        <is>
          <t xml:space="preserve">Stationery purchase</t>
        </is>
      </c>
      <c r="F36" s="46" t="inlineStr">
        <is>
          <t xml:space="preserve">STATIONERY PURCHASE</t>
        </is>
      </c>
      <c r="G36" s="49">
        <v>-820.62</v>
      </c>
      <c r="H36" s="49">
        <v>-521.53</v>
      </c>
      <c r="I36" s="49">
        <v>-820.62</v>
      </c>
      <c r="J36" s="50">
        <v>820.62</v>
      </c>
      <c r="K36" s="49">
        <v>-299.09</v>
      </c>
      <c r="L36" s="50">
        <f>IFERROR(ABS(K36),"")</f>
      </c>
      <c r="M36" s="59" t="inlineStr">
        <is>
          <t xml:space="preserve">Amount Mismatch</t>
        </is>
      </c>
      <c r="N36" s="60">
        <f>IF(J36&gt;Summary!$B$18,"Yes","No")</f>
      </c>
      <c r="O36" s="61">
        <f>RANK(J36,$J$2:$J$64,0)</f>
      </c>
      <c r="P36" s="62"/>
      <c r="Q36" s="62"/>
      <c r="R36" s="63"/>
    </row>
    <row r="37">
      <c r="A37" s="46" t="inlineStr">
        <is>
          <t xml:space="preserve">TXN-00770</t>
        </is>
      </c>
      <c r="B37" s="58">
        <v>45480</v>
      </c>
      <c r="C37" s="46" t="inlineStr">
        <is>
          <t xml:space="preserve">Utilities</t>
        </is>
      </c>
      <c r="D37" s="47">
        <v>6200.0</v>
      </c>
      <c r="E37" s="46" t="inlineStr">
        <is>
          <t xml:space="preserve">Internet &amp; telecom</t>
        </is>
      </c>
      <c r="F37" s="46" t="inlineStr">
        <is>
          <t xml:space="preserve">INTERNET &amp; TELECOM</t>
        </is>
      </c>
      <c r="G37" s="49">
        <v>-747.51</v>
      </c>
      <c r="H37" s="49">
        <v>-689.45</v>
      </c>
      <c r="I37" s="49">
        <v>-747.51</v>
      </c>
      <c r="J37" s="50">
        <v>747.51</v>
      </c>
      <c r="K37" s="49">
        <v>-58.06</v>
      </c>
      <c r="L37" s="50">
        <f>IFERROR(ABS(K37),"")</f>
      </c>
      <c r="M37" s="59" t="inlineStr">
        <is>
          <t xml:space="preserve">Amount Mismatch</t>
        </is>
      </c>
      <c r="N37" s="60">
        <f>IF(J37&gt;Summary!$B$18,"Yes","No")</f>
      </c>
      <c r="O37" s="61">
        <f>RANK(J37,$J$2:$J$64,0)</f>
      </c>
      <c r="P37" s="62"/>
      <c r="Q37" s="62"/>
      <c r="R37" s="63"/>
    </row>
    <row r="38">
      <c r="A38" s="46" t="inlineStr">
        <is>
          <t xml:space="preserve">TXN-00876</t>
        </is>
      </c>
      <c r="B38" s="58">
        <v>45621</v>
      </c>
      <c r="C38" s="46" t="inlineStr">
        <is>
          <t xml:space="preserve">Travel &amp; Entertainment</t>
        </is>
      </c>
      <c r="D38" s="47">
        <v>6400.0</v>
      </c>
      <c r="E38" s="46" t="inlineStr">
        <is>
          <t xml:space="preserve">Hotel accommodation</t>
        </is>
      </c>
      <c r="F38" s="46" t="inlineStr">
        <is>
          <t xml:space="preserve">HOTEL ACCOMMODATION</t>
        </is>
      </c>
      <c r="G38" s="49">
        <v>-397.33</v>
      </c>
      <c r="H38" s="49">
        <v>-284.39</v>
      </c>
      <c r="I38" s="49">
        <v>-397.33</v>
      </c>
      <c r="J38" s="50">
        <v>397.33</v>
      </c>
      <c r="K38" s="49">
        <v>-112.94</v>
      </c>
      <c r="L38" s="50">
        <f>IFERROR(ABS(K38),"")</f>
      </c>
      <c r="M38" s="59" t="inlineStr">
        <is>
          <t xml:space="preserve">Amount Mismatch</t>
        </is>
      </c>
      <c r="N38" s="60">
        <f>IF(J38&gt;Summary!$B$18,"Yes","No")</f>
      </c>
      <c r="O38" s="61">
        <f>RANK(J38,$J$2:$J$64,0)</f>
      </c>
      <c r="P38" s="62"/>
      <c r="Q38" s="62"/>
      <c r="R38" s="63"/>
    </row>
    <row r="39">
      <c r="A39" s="46" t="inlineStr">
        <is>
          <t xml:space="preserve">TXN-00677</t>
        </is>
      </c>
      <c r="B39" s="58">
        <v>45502</v>
      </c>
      <c r="C39" s="46" t="inlineStr">
        <is>
          <t xml:space="preserve">Travel &amp; Entertainment</t>
        </is>
      </c>
      <c r="D39" s="47">
        <v>6400.0</v>
      </c>
      <c r="E39" s="46" t="inlineStr">
        <is>
          <t xml:space="preserve">Client dinner</t>
        </is>
      </c>
      <c r="F39" s="46" t="inlineStr">
        <is>
          <t xml:space="preserve">CLIENT DINNER</t>
        </is>
      </c>
      <c r="G39" s="49">
        <v>-336.56</v>
      </c>
      <c r="H39" s="49">
        <v>-3365.6</v>
      </c>
      <c r="I39" s="49">
        <v>-336.56</v>
      </c>
      <c r="J39" s="50">
        <v>336.56</v>
      </c>
      <c r="K39" s="49">
        <v>3029.04</v>
      </c>
      <c r="L39" s="50">
        <f>IFERROR(ABS(K39),"")</f>
      </c>
      <c r="M39" s="59" t="inlineStr">
        <is>
          <t xml:space="preserve">Amount Mismatch</t>
        </is>
      </c>
      <c r="N39" s="60">
        <f>IF(J39&gt;Summary!$B$18,"Yes","No")</f>
      </c>
      <c r="O39" s="61">
        <f>RANK(J39,$J$2:$J$64,0)</f>
      </c>
      <c r="P39" s="62"/>
      <c r="Q39" s="62"/>
      <c r="R39" s="63"/>
    </row>
    <row r="40">
      <c r="A40" s="46" t="inlineStr">
        <is>
          <t xml:space="preserve">TXN-09507</t>
        </is>
      </c>
      <c r="B40" s="58">
        <v>45533</v>
      </c>
      <c r="C40" s="46" t="inlineStr">
        <is>
          <t xml:space="preserve">Unclassified (Bank only)</t>
        </is>
      </c>
      <c r="D40" s="47"/>
      <c r="E40" s="46"/>
      <c r="F40" s="46" t="inlineStr">
        <is>
          <t xml:space="preserve">INTEREST ACCRUAL</t>
        </is>
      </c>
      <c r="G40" s="49"/>
      <c r="H40" s="49">
        <v>239.42</v>
      </c>
      <c r="I40" s="49">
        <v>239.42</v>
      </c>
      <c r="J40" s="50">
        <v>239.42</v>
      </c>
      <c r="K40" s="49"/>
      <c r="L40" s="50">
        <f>IFERROR(ABS(K40),"")</f>
      </c>
      <c r="M40" s="59" t="inlineStr">
        <is>
          <t xml:space="preserve">Only in Bank</t>
        </is>
      </c>
      <c r="N40" s="60">
        <f>IF(J40&gt;Summary!$B$18,"Yes","No")</f>
      </c>
      <c r="O40" s="61">
        <f>RANK(J40,$J$2:$J$64,0)</f>
      </c>
      <c r="P40" s="62"/>
      <c r="Q40" s="62"/>
      <c r="R40" s="63"/>
    </row>
    <row r="41">
      <c r="A41" s="46" t="inlineStr">
        <is>
          <t xml:space="preserve">TXN-09504</t>
        </is>
      </c>
      <c r="B41" s="58">
        <v>45568</v>
      </c>
      <c r="C41" s="46" t="inlineStr">
        <is>
          <t xml:space="preserve">Unclassified (Bank only)</t>
        </is>
      </c>
      <c r="D41" s="47"/>
      <c r="E41" s="46"/>
      <c r="F41" s="46" t="inlineStr">
        <is>
          <t xml:space="preserve">DEPOSIT INTEREST CREDI</t>
        </is>
      </c>
      <c r="G41" s="49"/>
      <c r="H41" s="49">
        <v>238.95</v>
      </c>
      <c r="I41" s="49">
        <v>238.95</v>
      </c>
      <c r="J41" s="50">
        <v>238.95</v>
      </c>
      <c r="K41" s="49"/>
      <c r="L41" s="50">
        <f>IFERROR(ABS(K41),"")</f>
      </c>
      <c r="M41" s="59" t="inlineStr">
        <is>
          <t xml:space="preserve">Only in Bank</t>
        </is>
      </c>
      <c r="N41" s="60">
        <f>IF(J41&gt;Summary!$B$18,"Yes","No")</f>
      </c>
      <c r="O41" s="61">
        <f>RANK(J41,$J$2:$J$64,0)</f>
      </c>
      <c r="P41" s="62"/>
      <c r="Q41" s="62"/>
      <c r="R41" s="63"/>
    </row>
    <row r="42">
      <c r="A42" s="46" t="inlineStr">
        <is>
          <t xml:space="preserve">TXN-00183</t>
        </is>
      </c>
      <c r="B42" s="58">
        <v>45581</v>
      </c>
      <c r="C42" s="46" t="inlineStr">
        <is>
          <t xml:space="preserve">Office Supplies</t>
        </is>
      </c>
      <c r="D42" s="47">
        <v>6300.0</v>
      </c>
      <c r="E42" s="46" t="inlineStr">
        <is>
          <t xml:space="preserve">Office equipment</t>
        </is>
      </c>
      <c r="F42" s="46" t="inlineStr">
        <is>
          <t xml:space="preserve">OFFICE EQUIPMENT</t>
        </is>
      </c>
      <c r="G42" s="49">
        <v>-171.33</v>
      </c>
      <c r="H42" s="49">
        <v>-17.13</v>
      </c>
      <c r="I42" s="49">
        <v>-171.33</v>
      </c>
      <c r="J42" s="50">
        <v>171.33</v>
      </c>
      <c r="K42" s="49">
        <v>-154.2</v>
      </c>
      <c r="L42" s="50">
        <f>IFERROR(ABS(K42),"")</f>
      </c>
      <c r="M42" s="59" t="inlineStr">
        <is>
          <t xml:space="preserve">Amount Mismatch</t>
        </is>
      </c>
      <c r="N42" s="60">
        <f>IF(J42&gt;Summary!$B$18,"Yes","No")</f>
      </c>
      <c r="O42" s="61">
        <f>RANK(J42,$J$2:$J$64,0)</f>
      </c>
      <c r="P42" s="62"/>
      <c r="Q42" s="62"/>
      <c r="R42" s="63"/>
    </row>
    <row r="43">
      <c r="A43" s="46" t="inlineStr">
        <is>
          <t xml:space="preserve">TXN-00474</t>
        </is>
      </c>
      <c r="B43" s="58">
        <v>45538</v>
      </c>
      <c r="C43" s="46" t="inlineStr">
        <is>
          <t xml:space="preserve">Office Supplies</t>
        </is>
      </c>
      <c r="D43" s="47">
        <v>6300.0</v>
      </c>
      <c r="E43" s="46" t="inlineStr">
        <is>
          <t xml:space="preserve">Printer consumables</t>
        </is>
      </c>
      <c r="F43" s="46" t="inlineStr">
        <is>
          <t xml:space="preserve">PRINTER CONSUMABLES</t>
        </is>
      </c>
      <c r="G43" s="49">
        <v>-162.51</v>
      </c>
      <c r="H43" s="49">
        <v>138.6</v>
      </c>
      <c r="I43" s="49">
        <v>-162.51</v>
      </c>
      <c r="J43" s="50">
        <v>162.51</v>
      </c>
      <c r="K43" s="49">
        <v>-301.11</v>
      </c>
      <c r="L43" s="50">
        <f>IFERROR(ABS(K43),"")</f>
      </c>
      <c r="M43" s="59" t="inlineStr">
        <is>
          <t xml:space="preserve">Amount Mismatch</t>
        </is>
      </c>
      <c r="N43" s="60">
        <f>IF(J43&gt;Summary!$B$18,"Yes","No")</f>
      </c>
      <c r="O43" s="61">
        <f>RANK(J43,$J$2:$J$64,0)</f>
      </c>
      <c r="P43" s="62"/>
      <c r="Q43" s="62"/>
      <c r="R43" s="63"/>
    </row>
    <row r="44">
      <c r="A44" s="46" t="inlineStr">
        <is>
          <t xml:space="preserve">TXN-09515</t>
        </is>
      </c>
      <c r="B44" s="58">
        <v>45520</v>
      </c>
      <c r="C44" s="46" t="inlineStr">
        <is>
          <t xml:space="preserve">Unclassified (Bank only)</t>
        </is>
      </c>
      <c r="D44" s="47"/>
      <c r="E44" s="46"/>
      <c r="F44" s="46" t="inlineStr">
        <is>
          <t xml:space="preserve">ACCOUNT MAINTENANCE FE</t>
        </is>
      </c>
      <c r="G44" s="49"/>
      <c r="H44" s="49">
        <v>-141.9</v>
      </c>
      <c r="I44" s="49">
        <v>-141.9</v>
      </c>
      <c r="J44" s="50">
        <v>141.9</v>
      </c>
      <c r="K44" s="49"/>
      <c r="L44" s="50">
        <f>IFERROR(ABS(K44),"")</f>
      </c>
      <c r="M44" s="59" t="inlineStr">
        <is>
          <t xml:space="preserve">Only in Bank</t>
        </is>
      </c>
      <c r="N44" s="60">
        <f>IF(J44&gt;Summary!$B$18,"Yes","No")</f>
      </c>
      <c r="O44" s="61">
        <f>RANK(J44,$J$2:$J$64,0)</f>
      </c>
      <c r="P44" s="62"/>
      <c r="Q44" s="62"/>
      <c r="R44" s="63"/>
    </row>
    <row r="45">
      <c r="A45" s="46" t="inlineStr">
        <is>
          <t xml:space="preserve">TXN-09502</t>
        </is>
      </c>
      <c r="B45" s="58">
        <v>45604</v>
      </c>
      <c r="C45" s="46" t="inlineStr">
        <is>
          <t xml:space="preserve">Unclassified (Bank only)</t>
        </is>
      </c>
      <c r="D45" s="47"/>
      <c r="E45" s="46"/>
      <c r="F45" s="46" t="inlineStr">
        <is>
          <t xml:space="preserve">CARD PROCESSING FEE</t>
        </is>
      </c>
      <c r="G45" s="49"/>
      <c r="H45" s="49">
        <v>-131.58</v>
      </c>
      <c r="I45" s="49">
        <v>-131.58</v>
      </c>
      <c r="J45" s="50">
        <v>131.58</v>
      </c>
      <c r="K45" s="49"/>
      <c r="L45" s="50">
        <f>IFERROR(ABS(K45),"")</f>
      </c>
      <c r="M45" s="59" t="inlineStr">
        <is>
          <t xml:space="preserve">Only in Bank</t>
        </is>
      </c>
      <c r="N45" s="60">
        <f>IF(J45&gt;Summary!$B$18,"Yes","No")</f>
      </c>
      <c r="O45" s="61">
        <f>RANK(J45,$J$2:$J$64,0)</f>
      </c>
      <c r="P45" s="62"/>
      <c r="Q45" s="62"/>
      <c r="R45" s="63"/>
    </row>
    <row r="46">
      <c r="A46" s="46" t="inlineStr">
        <is>
          <t xml:space="preserve">TXN-09506</t>
        </is>
      </c>
      <c r="B46" s="58">
        <v>45421</v>
      </c>
      <c r="C46" s="46" t="inlineStr">
        <is>
          <t xml:space="preserve">Unclassified (Bank only)</t>
        </is>
      </c>
      <c r="D46" s="47"/>
      <c r="E46" s="46"/>
      <c r="F46" s="46" t="inlineStr">
        <is>
          <t xml:space="preserve">ACCOUNT MAINTENANCE FE</t>
        </is>
      </c>
      <c r="G46" s="49"/>
      <c r="H46" s="49">
        <v>-124.98</v>
      </c>
      <c r="I46" s="49">
        <v>-124.98</v>
      </c>
      <c r="J46" s="50">
        <v>124.98</v>
      </c>
      <c r="K46" s="49"/>
      <c r="L46" s="50">
        <f>IFERROR(ABS(K46),"")</f>
      </c>
      <c r="M46" s="59" t="inlineStr">
        <is>
          <t xml:space="preserve">Only in Bank</t>
        </is>
      </c>
      <c r="N46" s="60">
        <f>IF(J46&gt;Summary!$B$18,"Yes","No")</f>
      </c>
      <c r="O46" s="61">
        <f>RANK(J46,$J$2:$J$64,0)</f>
      </c>
      <c r="P46" s="62"/>
      <c r="Q46" s="62"/>
      <c r="R46" s="63"/>
    </row>
    <row r="47">
      <c r="A47" s="46" t="inlineStr">
        <is>
          <t xml:space="preserve">TXN-09518</t>
        </is>
      </c>
      <c r="B47" s="58">
        <v>45301</v>
      </c>
      <c r="C47" s="46" t="inlineStr">
        <is>
          <t xml:space="preserve">Unclassified (Bank only)</t>
        </is>
      </c>
      <c r="D47" s="47"/>
      <c r="E47" s="46"/>
      <c r="F47" s="46" t="inlineStr">
        <is>
          <t xml:space="preserve">ACCOUNT MAINTENANCE FE</t>
        </is>
      </c>
      <c r="G47" s="49"/>
      <c r="H47" s="49">
        <v>-123.28</v>
      </c>
      <c r="I47" s="49">
        <v>-123.28</v>
      </c>
      <c r="J47" s="50">
        <v>123.28</v>
      </c>
      <c r="K47" s="49"/>
      <c r="L47" s="50">
        <f>IFERROR(ABS(K47),"")</f>
      </c>
      <c r="M47" s="59" t="inlineStr">
        <is>
          <t xml:space="preserve">Only in Bank</t>
        </is>
      </c>
      <c r="N47" s="60">
        <f>IF(J47&gt;Summary!$B$18,"Yes","No")</f>
      </c>
      <c r="O47" s="61">
        <f>RANK(J47,$J$2:$J$64,0)</f>
      </c>
      <c r="P47" s="62"/>
      <c r="Q47" s="62"/>
      <c r="R47" s="63"/>
    </row>
    <row r="48">
      <c r="A48" s="46" t="inlineStr">
        <is>
          <t xml:space="preserve">TXN-09520</t>
        </is>
      </c>
      <c r="B48" s="58">
        <v>45576</v>
      </c>
      <c r="C48" s="46" t="inlineStr">
        <is>
          <t xml:space="preserve">Unclassified (Bank only)</t>
        </is>
      </c>
      <c r="D48" s="47"/>
      <c r="E48" s="46"/>
      <c r="F48" s="46" t="inlineStr">
        <is>
          <t xml:space="preserve">CARD PROCESSING FEE</t>
        </is>
      </c>
      <c r="G48" s="49"/>
      <c r="H48" s="49">
        <v>-121.39</v>
      </c>
      <c r="I48" s="49">
        <v>-121.39</v>
      </c>
      <c r="J48" s="50">
        <v>121.39</v>
      </c>
      <c r="K48" s="49"/>
      <c r="L48" s="50">
        <f>IFERROR(ABS(K48),"")</f>
      </c>
      <c r="M48" s="59" t="inlineStr">
        <is>
          <t xml:space="preserve">Only in Bank</t>
        </is>
      </c>
      <c r="N48" s="60">
        <f>IF(J48&gt;Summary!$B$18,"Yes","No")</f>
      </c>
      <c r="O48" s="61">
        <f>RANK(J48,$J$2:$J$64,0)</f>
      </c>
      <c r="P48" s="62"/>
      <c r="Q48" s="62"/>
      <c r="R48" s="63"/>
    </row>
    <row r="49">
      <c r="A49" s="46" t="inlineStr">
        <is>
          <t xml:space="preserve">TXN-09501</t>
        </is>
      </c>
      <c r="B49" s="58">
        <v>45439</v>
      </c>
      <c r="C49" s="46" t="inlineStr">
        <is>
          <t xml:space="preserve">Unclassified (Bank only)</t>
        </is>
      </c>
      <c r="D49" s="47"/>
      <c r="E49" s="46"/>
      <c r="F49" s="46" t="inlineStr">
        <is>
          <t xml:space="preserve">DEPOSIT INTEREST CREDI</t>
        </is>
      </c>
      <c r="G49" s="49"/>
      <c r="H49" s="49">
        <v>112.9</v>
      </c>
      <c r="I49" s="49">
        <v>112.9</v>
      </c>
      <c r="J49" s="50">
        <v>112.9</v>
      </c>
      <c r="K49" s="49"/>
      <c r="L49" s="50">
        <f>IFERROR(ABS(K49),"")</f>
      </c>
      <c r="M49" s="59" t="inlineStr">
        <is>
          <t xml:space="preserve">Only in Bank</t>
        </is>
      </c>
      <c r="N49" s="60">
        <f>IF(J49&gt;Summary!$B$18,"Yes","No")</f>
      </c>
      <c r="O49" s="61">
        <f>RANK(J49,$J$2:$J$64,0)</f>
      </c>
      <c r="P49" s="62"/>
      <c r="Q49" s="62"/>
      <c r="R49" s="63"/>
    </row>
    <row r="50">
      <c r="A50" s="46" t="inlineStr">
        <is>
          <t xml:space="preserve">TXN-09510</t>
        </is>
      </c>
      <c r="B50" s="58">
        <v>45364</v>
      </c>
      <c r="C50" s="46" t="inlineStr">
        <is>
          <t xml:space="preserve">Unclassified (Bank only)</t>
        </is>
      </c>
      <c r="D50" s="47"/>
      <c r="E50" s="46"/>
      <c r="F50" s="46" t="inlineStr">
        <is>
          <t xml:space="preserve">CARD PROCESSING FEE</t>
        </is>
      </c>
      <c r="G50" s="49"/>
      <c r="H50" s="49">
        <v>-109.88</v>
      </c>
      <c r="I50" s="49">
        <v>-109.88</v>
      </c>
      <c r="J50" s="50">
        <v>109.88</v>
      </c>
      <c r="K50" s="49"/>
      <c r="L50" s="50">
        <f>IFERROR(ABS(K50),"")</f>
      </c>
      <c r="M50" s="59" t="inlineStr">
        <is>
          <t xml:space="preserve">Only in Bank</t>
        </is>
      </c>
      <c r="N50" s="60">
        <f>IF(J50&gt;Summary!$B$18,"Yes","No")</f>
      </c>
      <c r="O50" s="61">
        <f>RANK(J50,$J$2:$J$64,0)</f>
      </c>
      <c r="P50" s="62"/>
      <c r="Q50" s="62"/>
      <c r="R50" s="63"/>
    </row>
    <row r="51">
      <c r="A51" s="46" t="inlineStr">
        <is>
          <t xml:space="preserve">TXN-09503</t>
        </is>
      </c>
      <c r="B51" s="58">
        <v>45506</v>
      </c>
      <c r="C51" s="46" t="inlineStr">
        <is>
          <t xml:space="preserve">Unclassified (Bank only)</t>
        </is>
      </c>
      <c r="D51" s="47"/>
      <c r="E51" s="46"/>
      <c r="F51" s="46" t="inlineStr">
        <is>
          <t xml:space="preserve">WIRE TRANSFER FEE</t>
        </is>
      </c>
      <c r="G51" s="49"/>
      <c r="H51" s="49">
        <v>-103.46</v>
      </c>
      <c r="I51" s="49">
        <v>-103.46</v>
      </c>
      <c r="J51" s="50">
        <v>103.46</v>
      </c>
      <c r="K51" s="49"/>
      <c r="L51" s="50">
        <f>IFERROR(ABS(K51),"")</f>
      </c>
      <c r="M51" s="59" t="inlineStr">
        <is>
          <t xml:space="preserve">Only in Bank</t>
        </is>
      </c>
      <c r="N51" s="60">
        <f>IF(J51&gt;Summary!$B$18,"Yes","No")</f>
      </c>
      <c r="O51" s="61">
        <f>RANK(J51,$J$2:$J$64,0)</f>
      </c>
      <c r="P51" s="62"/>
      <c r="Q51" s="62"/>
      <c r="R51" s="63"/>
    </row>
    <row r="52">
      <c r="A52" s="46" t="inlineStr">
        <is>
          <t xml:space="preserve">TXN-09516</t>
        </is>
      </c>
      <c r="B52" s="58">
        <v>45638</v>
      </c>
      <c r="C52" s="46" t="inlineStr">
        <is>
          <t xml:space="preserve">Unclassified (Bank only)</t>
        </is>
      </c>
      <c r="D52" s="47"/>
      <c r="E52" s="46"/>
      <c r="F52" s="46" t="inlineStr">
        <is>
          <t xml:space="preserve">SAVINGS INTEREST</t>
        </is>
      </c>
      <c r="G52" s="49"/>
      <c r="H52" s="49">
        <v>97.76</v>
      </c>
      <c r="I52" s="49">
        <v>97.76</v>
      </c>
      <c r="J52" s="50">
        <v>97.76</v>
      </c>
      <c r="K52" s="49"/>
      <c r="L52" s="50">
        <f>IFERROR(ABS(K52),"")</f>
      </c>
      <c r="M52" s="59" t="inlineStr">
        <is>
          <t xml:space="preserve">Only in Bank</t>
        </is>
      </c>
      <c r="N52" s="60">
        <f>IF(J52&gt;Summary!$B$18,"Yes","No")</f>
      </c>
      <c r="O52" s="61">
        <f>RANK(J52,$J$2:$J$64,0)</f>
      </c>
      <c r="P52" s="62"/>
      <c r="Q52" s="62"/>
      <c r="R52" s="63"/>
    </row>
    <row r="53">
      <c r="A53" s="46" t="inlineStr">
        <is>
          <t xml:space="preserve">TXN-09505</t>
        </is>
      </c>
      <c r="B53" s="58">
        <v>45506</v>
      </c>
      <c r="C53" s="46" t="inlineStr">
        <is>
          <t xml:space="preserve">Unclassified (Bank only)</t>
        </is>
      </c>
      <c r="D53" s="47"/>
      <c r="E53" s="46"/>
      <c r="F53" s="46" t="inlineStr">
        <is>
          <t xml:space="preserve">DEPOSIT INTEREST CREDI</t>
        </is>
      </c>
      <c r="G53" s="49"/>
      <c r="H53" s="49">
        <v>92.59</v>
      </c>
      <c r="I53" s="49">
        <v>92.59</v>
      </c>
      <c r="J53" s="50">
        <v>92.59</v>
      </c>
      <c r="K53" s="49"/>
      <c r="L53" s="50">
        <f>IFERROR(ABS(K53),"")</f>
      </c>
      <c r="M53" s="59" t="inlineStr">
        <is>
          <t xml:space="preserve">Only in Bank</t>
        </is>
      </c>
      <c r="N53" s="60">
        <f>IF(J53&gt;Summary!$B$18,"Yes","No")</f>
      </c>
      <c r="O53" s="61">
        <f>RANK(J53,$J$2:$J$64,0)</f>
      </c>
      <c r="P53" s="62"/>
      <c r="Q53" s="62"/>
      <c r="R53" s="63"/>
    </row>
    <row r="54">
      <c r="A54" s="46" t="inlineStr">
        <is>
          <t xml:space="preserve">TXN-09511</t>
        </is>
      </c>
      <c r="B54" s="58">
        <v>45527</v>
      </c>
      <c r="C54" s="46" t="inlineStr">
        <is>
          <t xml:space="preserve">Unclassified (Bank only)</t>
        </is>
      </c>
      <c r="D54" s="47"/>
      <c r="E54" s="46"/>
      <c r="F54" s="46" t="inlineStr">
        <is>
          <t xml:space="preserve">CARD PROCESSING FEE</t>
        </is>
      </c>
      <c r="G54" s="49"/>
      <c r="H54" s="49">
        <v>-80.36</v>
      </c>
      <c r="I54" s="49">
        <v>-80.36</v>
      </c>
      <c r="J54" s="50">
        <v>80.36</v>
      </c>
      <c r="K54" s="49"/>
      <c r="L54" s="50">
        <f>IFERROR(ABS(K54),"")</f>
      </c>
      <c r="M54" s="59" t="inlineStr">
        <is>
          <t xml:space="preserve">Only in Bank</t>
        </is>
      </c>
      <c r="N54" s="60">
        <f>IF(J54&gt;Summary!$B$18,"Yes","No")</f>
      </c>
      <c r="O54" s="61">
        <f>RANK(J54,$J$2:$J$64,0)</f>
      </c>
      <c r="P54" s="62"/>
      <c r="Q54" s="62"/>
      <c r="R54" s="63"/>
    </row>
    <row r="55">
      <c r="A55" s="46" t="inlineStr">
        <is>
          <t xml:space="preserve">TXN-00579</t>
        </is>
      </c>
      <c r="B55" s="58">
        <v>45299</v>
      </c>
      <c r="C55" s="46" t="inlineStr">
        <is>
          <t xml:space="preserve">Bank Fees</t>
        </is>
      </c>
      <c r="D55" s="47">
        <v>6900.0</v>
      </c>
      <c r="E55" s="46" t="inlineStr">
        <is>
          <t xml:space="preserve">Card processing fee</t>
        </is>
      </c>
      <c r="F55" s="46" t="inlineStr">
        <is>
          <t xml:space="preserve">CARD PROCESSING FEE</t>
        </is>
      </c>
      <c r="G55" s="49">
        <v>-77.38</v>
      </c>
      <c r="H55" s="49">
        <v>-773.8</v>
      </c>
      <c r="I55" s="49">
        <v>-77.38</v>
      </c>
      <c r="J55" s="50">
        <v>77.38</v>
      </c>
      <c r="K55" s="49">
        <v>696.42</v>
      </c>
      <c r="L55" s="50">
        <f>IFERROR(ABS(K55),"")</f>
      </c>
      <c r="M55" s="59" t="inlineStr">
        <is>
          <t xml:space="preserve">Amount Mismatch</t>
        </is>
      </c>
      <c r="N55" s="60">
        <f>IF(J55&gt;Summary!$B$18,"Yes","No")</f>
      </c>
      <c r="O55" s="61">
        <f>RANK(J55,$J$2:$J$64,0)</f>
      </c>
      <c r="P55" s="62"/>
      <c r="Q55" s="62"/>
      <c r="R55" s="63"/>
    </row>
    <row r="56">
      <c r="A56" s="46" t="inlineStr">
        <is>
          <t xml:space="preserve">TXN-09509</t>
        </is>
      </c>
      <c r="B56" s="58">
        <v>45555</v>
      </c>
      <c r="C56" s="46" t="inlineStr">
        <is>
          <t xml:space="preserve">Unclassified (Bank only)</t>
        </is>
      </c>
      <c r="D56" s="47"/>
      <c r="E56" s="46"/>
      <c r="F56" s="46" t="inlineStr">
        <is>
          <t xml:space="preserve">WIRE TRANSFER FEE</t>
        </is>
      </c>
      <c r="G56" s="49"/>
      <c r="H56" s="49">
        <v>-69.71</v>
      </c>
      <c r="I56" s="49">
        <v>-69.71</v>
      </c>
      <c r="J56" s="50">
        <v>69.71</v>
      </c>
      <c r="K56" s="49"/>
      <c r="L56" s="50">
        <f>IFERROR(ABS(K56),"")</f>
      </c>
      <c r="M56" s="59" t="inlineStr">
        <is>
          <t xml:space="preserve">Only in Bank</t>
        </is>
      </c>
      <c r="N56" s="60">
        <f>IF(J56&gt;Summary!$B$18,"Yes","No")</f>
      </c>
      <c r="O56" s="61">
        <f>RANK(J56,$J$2:$J$64,0)</f>
      </c>
      <c r="P56" s="62"/>
      <c r="Q56" s="62"/>
      <c r="R56" s="63"/>
    </row>
    <row r="57">
      <c r="A57" s="46" t="inlineStr">
        <is>
          <t xml:space="preserve">TXN-09513</t>
        </is>
      </c>
      <c r="B57" s="58">
        <v>45582</v>
      </c>
      <c r="C57" s="46" t="inlineStr">
        <is>
          <t xml:space="preserve">Unclassified (Bank only)</t>
        </is>
      </c>
      <c r="D57" s="47"/>
      <c r="E57" s="46"/>
      <c r="F57" s="46" t="inlineStr">
        <is>
          <t xml:space="preserve">SAVINGS INTEREST</t>
        </is>
      </c>
      <c r="G57" s="49"/>
      <c r="H57" s="49">
        <v>61.49</v>
      </c>
      <c r="I57" s="49">
        <v>61.49</v>
      </c>
      <c r="J57" s="50">
        <v>61.49</v>
      </c>
      <c r="K57" s="49"/>
      <c r="L57" s="50">
        <f>IFERROR(ABS(K57),"")</f>
      </c>
      <c r="M57" s="59" t="inlineStr">
        <is>
          <t xml:space="preserve">Only in Bank</t>
        </is>
      </c>
      <c r="N57" s="60">
        <f>IF(J57&gt;Summary!$B$18,"Yes","No")</f>
      </c>
      <c r="O57" s="61">
        <f>RANK(J57,$J$2:$J$64,0)</f>
      </c>
      <c r="P57" s="62"/>
      <c r="Q57" s="62"/>
      <c r="R57" s="63"/>
    </row>
    <row r="58">
      <c r="A58" s="46" t="inlineStr">
        <is>
          <t xml:space="preserve">TXN-09519</t>
        </is>
      </c>
      <c r="B58" s="58">
        <v>45515</v>
      </c>
      <c r="C58" s="46" t="inlineStr">
        <is>
          <t xml:space="preserve">Unclassified (Bank only)</t>
        </is>
      </c>
      <c r="D58" s="47"/>
      <c r="E58" s="46"/>
      <c r="F58" s="46" t="inlineStr">
        <is>
          <t xml:space="preserve">WIRE TRANSFER FEE</t>
        </is>
      </c>
      <c r="G58" s="49"/>
      <c r="H58" s="49">
        <v>-60.58</v>
      </c>
      <c r="I58" s="49">
        <v>-60.58</v>
      </c>
      <c r="J58" s="50">
        <v>60.58</v>
      </c>
      <c r="K58" s="49"/>
      <c r="L58" s="50">
        <f>IFERROR(ABS(K58),"")</f>
      </c>
      <c r="M58" s="59" t="inlineStr">
        <is>
          <t xml:space="preserve">Only in Bank</t>
        </is>
      </c>
      <c r="N58" s="60">
        <f>IF(J58&gt;Summary!$B$18,"Yes","No")</f>
      </c>
      <c r="O58" s="61">
        <f>RANK(J58,$J$2:$J$64,0)</f>
      </c>
      <c r="P58" s="62"/>
      <c r="Q58" s="62"/>
      <c r="R58" s="63"/>
    </row>
    <row r="59">
      <c r="A59" s="46" t="inlineStr">
        <is>
          <t xml:space="preserve">TXN-09514</t>
        </is>
      </c>
      <c r="B59" s="58">
        <v>45586</v>
      </c>
      <c r="C59" s="46" t="inlineStr">
        <is>
          <t xml:space="preserve">Unclassified (Bank only)</t>
        </is>
      </c>
      <c r="D59" s="47"/>
      <c r="E59" s="46"/>
      <c r="F59" s="46" t="inlineStr">
        <is>
          <t xml:space="preserve">WIRE TRANSFER FEE</t>
        </is>
      </c>
      <c r="G59" s="49"/>
      <c r="H59" s="49">
        <v>-59.14</v>
      </c>
      <c r="I59" s="49">
        <v>-59.14</v>
      </c>
      <c r="J59" s="50">
        <v>59.14</v>
      </c>
      <c r="K59" s="49"/>
      <c r="L59" s="50">
        <f>IFERROR(ABS(K59),"")</f>
      </c>
      <c r="M59" s="59" t="inlineStr">
        <is>
          <t xml:space="preserve">Only in Bank</t>
        </is>
      </c>
      <c r="N59" s="60">
        <f>IF(J59&gt;Summary!$B$18,"Yes","No")</f>
      </c>
      <c r="O59" s="61">
        <f>RANK(J59,$J$2:$J$64,0)</f>
      </c>
      <c r="P59" s="62"/>
      <c r="Q59" s="62"/>
      <c r="R59" s="63"/>
    </row>
    <row r="60">
      <c r="A60" s="46" t="inlineStr">
        <is>
          <t xml:space="preserve">TXN-09508</t>
        </is>
      </c>
      <c r="B60" s="58">
        <v>45519</v>
      </c>
      <c r="C60" s="46" t="inlineStr">
        <is>
          <t xml:space="preserve">Unclassified (Bank only)</t>
        </is>
      </c>
      <c r="D60" s="47"/>
      <c r="E60" s="46"/>
      <c r="F60" s="46" t="inlineStr">
        <is>
          <t xml:space="preserve">CARD PROCESSING FEE</t>
        </is>
      </c>
      <c r="G60" s="49"/>
      <c r="H60" s="49">
        <v>-54.1</v>
      </c>
      <c r="I60" s="49">
        <v>-54.1</v>
      </c>
      <c r="J60" s="50">
        <v>54.1</v>
      </c>
      <c r="K60" s="49"/>
      <c r="L60" s="50">
        <f>IFERROR(ABS(K60),"")</f>
      </c>
      <c r="M60" s="59" t="inlineStr">
        <is>
          <t xml:space="preserve">Only in Bank</t>
        </is>
      </c>
      <c r="N60" s="60">
        <f>IF(J60&gt;Summary!$B$18,"Yes","No")</f>
      </c>
      <c r="O60" s="61">
        <f>RANK(J60,$J$2:$J$64,0)</f>
      </c>
      <c r="P60" s="62"/>
      <c r="Q60" s="62"/>
      <c r="R60" s="63"/>
    </row>
    <row r="61">
      <c r="A61" s="46" t="inlineStr">
        <is>
          <t xml:space="preserve">TXN-00166</t>
        </is>
      </c>
      <c r="B61" s="58">
        <v>45470</v>
      </c>
      <c r="C61" s="46" t="inlineStr">
        <is>
          <t xml:space="preserve">Bank Fees</t>
        </is>
      </c>
      <c r="D61" s="47">
        <v>6900.0</v>
      </c>
      <c r="E61" s="46" t="inlineStr">
        <is>
          <t xml:space="preserve">Account maintenance fee</t>
        </is>
      </c>
      <c r="F61" s="46" t="inlineStr">
        <is>
          <t xml:space="preserve">ACCOUNT MAINTENANCE FE</t>
        </is>
      </c>
      <c r="G61" s="49">
        <v>-46.92</v>
      </c>
      <c r="H61" s="49">
        <v>-469.2</v>
      </c>
      <c r="I61" s="49">
        <v>-46.92</v>
      </c>
      <c r="J61" s="50">
        <v>46.92</v>
      </c>
      <c r="K61" s="49">
        <v>422.28</v>
      </c>
      <c r="L61" s="50">
        <f>IFERROR(ABS(K61),"")</f>
      </c>
      <c r="M61" s="59" t="inlineStr">
        <is>
          <t xml:space="preserve">Amount Mismatch</t>
        </is>
      </c>
      <c r="N61" s="60">
        <f>IF(J61&gt;Summary!$B$18,"Yes","No")</f>
      </c>
      <c r="O61" s="61">
        <f>RANK(J61,$J$2:$J$64,0)</f>
      </c>
      <c r="P61" s="62"/>
      <c r="Q61" s="62"/>
      <c r="R61" s="63"/>
    </row>
    <row r="62">
      <c r="A62" s="46" t="inlineStr">
        <is>
          <t xml:space="preserve">TXN-09517</t>
        </is>
      </c>
      <c r="B62" s="58">
        <v>45489</v>
      </c>
      <c r="C62" s="46" t="inlineStr">
        <is>
          <t xml:space="preserve">Unclassified (Bank only)</t>
        </is>
      </c>
      <c r="D62" s="47"/>
      <c r="E62" s="46"/>
      <c r="F62" s="46" t="inlineStr">
        <is>
          <t xml:space="preserve">SAVINGS INTEREST</t>
        </is>
      </c>
      <c r="G62" s="49"/>
      <c r="H62" s="49">
        <v>46.77</v>
      </c>
      <c r="I62" s="49">
        <v>46.77</v>
      </c>
      <c r="J62" s="50">
        <v>46.77</v>
      </c>
      <c r="K62" s="49"/>
      <c r="L62" s="50">
        <f>IFERROR(ABS(K62),"")</f>
      </c>
      <c r="M62" s="59" t="inlineStr">
        <is>
          <t xml:space="preserve">Only in Bank</t>
        </is>
      </c>
      <c r="N62" s="60">
        <f>IF(J62&gt;Summary!$B$18,"Yes","No")</f>
      </c>
      <c r="O62" s="61">
        <f>RANK(J62,$J$2:$J$64,0)</f>
      </c>
      <c r="P62" s="62"/>
      <c r="Q62" s="62"/>
      <c r="R62" s="63"/>
    </row>
    <row r="63">
      <c r="A63" s="46" t="inlineStr">
        <is>
          <t xml:space="preserve">TXN-09512</t>
        </is>
      </c>
      <c r="B63" s="58">
        <v>45396</v>
      </c>
      <c r="C63" s="46" t="inlineStr">
        <is>
          <t xml:space="preserve">Unclassified (Bank only)</t>
        </is>
      </c>
      <c r="D63" s="47"/>
      <c r="E63" s="46"/>
      <c r="F63" s="46" t="inlineStr">
        <is>
          <t xml:space="preserve">DEPOSIT INTEREST CREDI</t>
        </is>
      </c>
      <c r="G63" s="49"/>
      <c r="H63" s="49">
        <v>24.9</v>
      </c>
      <c r="I63" s="49">
        <v>24.9</v>
      </c>
      <c r="J63" s="50">
        <v>24.9</v>
      </c>
      <c r="K63" s="49"/>
      <c r="L63" s="50">
        <f>IFERROR(ABS(K63),"")</f>
      </c>
      <c r="M63" s="59" t="inlineStr">
        <is>
          <t xml:space="preserve">Only in Bank</t>
        </is>
      </c>
      <c r="N63" s="60">
        <f>IF(J63&gt;Summary!$B$18,"Yes","No")</f>
      </c>
      <c r="O63" s="61">
        <f>RANK(J63,$J$2:$J$64,0)</f>
      </c>
      <c r="P63" s="62"/>
      <c r="Q63" s="62"/>
      <c r="R63" s="63"/>
    </row>
    <row r="64">
      <c r="A64" s="46" t="inlineStr">
        <is>
          <t xml:space="preserve">TXN-00829</t>
        </is>
      </c>
      <c r="B64" s="58">
        <v>45404</v>
      </c>
      <c r="C64" s="46" t="inlineStr">
        <is>
          <t xml:space="preserve">Bank Fees</t>
        </is>
      </c>
      <c r="D64" s="47">
        <v>6900.0</v>
      </c>
      <c r="E64" s="46" t="inlineStr">
        <is>
          <t xml:space="preserve">Wire transfer fee</t>
        </is>
      </c>
      <c r="F64" s="46" t="inlineStr">
        <is>
          <t xml:space="preserve">WIRE TRANSFER FEE</t>
        </is>
      </c>
      <c r="G64" s="49">
        <v>-13.53</v>
      </c>
      <c r="H64" s="49">
        <v>228.18</v>
      </c>
      <c r="I64" s="49">
        <v>-13.53</v>
      </c>
      <c r="J64" s="50">
        <v>13.53</v>
      </c>
      <c r="K64" s="49">
        <v>-241.71</v>
      </c>
      <c r="L64" s="50">
        <f>IFERROR(ABS(K64),"")</f>
      </c>
      <c r="M64" s="59" t="inlineStr">
        <is>
          <t xml:space="preserve">Amount Mismatch</t>
        </is>
      </c>
      <c r="N64" s="60">
        <f>IF(J64&gt;Summary!$B$18,"Yes","No")</f>
      </c>
      <c r="O64" s="61">
        <f>RANK(J64,$J$2:$J$64,0)</f>
      </c>
      <c r="P64" s="62"/>
      <c r="Q64" s="62"/>
      <c r="R64" s="63"/>
    </row>
    <row r="67">
      <c r="A67" s="44" t="inlineStr">
        <is>
          <t xml:space="preserve">Kako se koristi ovaj sheet</t>
        </is>
      </c>
    </row>
    <row r="68">
      <c r="A68" s="56" t="inlineStr">
        <is>
          <t xml:space="preserve">•  Bijele kolone P (Assigned_To), Q (Resolution_Notes) i R (Resolved) su jedine za rucni unos — sve ostalo dolazi iz reconciliation-a ili je formula.</t>
        </is>
      </c>
    </row>
    <row r="69">
      <c r="A69" s="56" t="inlineStr">
        <is>
          <t xml:space="preserve">•  Primjer popunjenog reda:  Assigned_To = "Ahmed H."  |  Resolution_Notes = "Kontaktirana banka, greska u unosu iznosa, ispravka knjizena 15.03."  |  Resolved = "Yes"</t>
        </is>
      </c>
    </row>
    <row r="70">
      <c r="A70" s="56" t="inlineStr">
        <is>
          <t xml:space="preserve">•  Kad upises "Yes" u kolonu R, cijeli red se oboji zeleno i vise ne trazi paznju.</t>
        </is>
      </c>
    </row>
    <row r="71">
      <c r="A71" s="56" t="inlineStr">
        <is>
          <t xml:space="preserve">•  Redovi su sortirani po Abs_Amount silazno — radi odozgo nadolje.</t>
        </is>
      </c>
    </row>
    <row r="72">
      <c r="A72" s="56" t="inlineStr">
        <is>
          <t xml:space="preserve">•  Kolona L (Abs_Diff) ima data bars: sve vrijednosti su pozitivne pa barovi krecu od lijeve ivice i duzina direktno znaci velicinu greske.</t>
        </is>
      </c>
    </row>
    <row r="73">
      <c r="A73" s="56" t="inlineStr">
        <is>
          <t xml:space="preserve">•  Above_Materiality (kolona N) poredi Abs_Amount sa pragom u Summary!B18.</t>
        </is>
      </c>
    </row>
  </sheetData>
  <conditionalFormatting sqref="A2:R64">
    <cfRule type="expression" dxfId="6" priority="1" stopIfTrue="1">
      <formula>$R2="Yes"</formula>
    </cfRule>
    <cfRule type="expression" dxfId="3" priority="2">
      <formula>$M2="Amount Mismatch"</formula>
    </cfRule>
    <cfRule type="expression" dxfId="4" priority="3">
      <formula>$M2="Only in GL"</formula>
    </cfRule>
    <cfRule type="expression" dxfId="5" priority="4">
      <formula>$M2="Only in Bank"</formula>
    </cfRule>
  </conditionalFormatting>
  <conditionalFormatting sqref="L2:L64">
    <cfRule type="dataBar" priority="5">
      <dataBar showValue="1">
        <cfvo type="num" val="0"/>
        <cfvo type="max"/>
        <color rgb="FF638EC6"/>
      </dataBar>
    </cfRule>
  </conditionalFormatting>
  <pageMargins left="0.4" right="0.4" top="0.5" bottom="0.5" header="0.3" footer="0.3"/>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GL_Data</vt:lpstr>
      <vt:lpstr>Bank_Data</vt:lpstr>
      <vt:lpstr>Reconciliation</vt:lpstr>
      <vt:lpstr>Summary</vt:lpstr>
      <vt:lpstr>Sheet1</vt:lpstr>
      <vt:lpstr>Exceptions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korisnik</cp:lastModifiedBy>
  <cp:revision>0</cp:revision>
  <dcterms:created xsi:type="dcterms:W3CDTF">2026-09-03T16:42:40Z</dcterms:created>
  <dcterms:modified xsi:type="dcterms:W3CDTF">2026-09-03T17:25:38Z</dcterms:modified>
  <dc:language>en-US</dc:language>
</cp:coreProperties>
</file>